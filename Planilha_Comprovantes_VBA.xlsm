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EstaPasta_de_trabalho"/>
  <bookViews>
    <workbookView xWindow="210" yWindow="495" windowWidth="20100" windowHeight="9660" activeTab="2"/>
  </bookViews>
  <sheets>
    <sheet name="Despesas" sheetId="1" r:id="rId1"/>
    <sheet name="Controle" sheetId="2" r:id="rId2"/>
    <sheet name="Resumo e Rateio" sheetId="3" r:id="rId3"/>
    <sheet name="Config" sheetId="4" r:id="rId4"/>
    <sheet name="Import" sheetId="5" r:id="rId5"/>
    <sheet name="Fila" sheetId="6" r:id="rId6"/>
    <sheet name="Editar" sheetId="7" state="hidden" r:id="rId7"/>
    <sheet name="Cadastros" sheetId="8" r:id="rId8"/>
  </sheets>
  <functionGroups builtInGroupCount="17"/>
  <definedNames>
    <definedName name="_FilterDatabase" localSheetId="1" hidden="1">Controle!$A$3:$I$671</definedName>
  </definedNames>
  <calcPr calcId="145621"/>
</workbook>
</file>

<file path=xl/calcChain.xml><?xml version="1.0" encoding="utf-8"?>
<calcChain xmlns="http://schemas.openxmlformats.org/spreadsheetml/2006/main">
  <c r="F712" i="2" l="1"/>
  <c r="E712" i="2"/>
  <c r="B10" i="4"/>
  <c r="F13" i="3" s="1"/>
  <c r="F14" i="3" s="1"/>
  <c r="B9" i="4"/>
  <c r="G13" i="3" s="1"/>
  <c r="G14" i="3" s="1"/>
  <c r="C13" i="3"/>
  <c r="C5" i="3"/>
  <c r="T120" i="1"/>
  <c r="S120" i="1"/>
  <c r="Q120" i="1"/>
  <c r="P120" i="1"/>
  <c r="T119" i="1"/>
  <c r="S119" i="1"/>
  <c r="Q119" i="1"/>
  <c r="P119" i="1"/>
  <c r="T118" i="1"/>
  <c r="S118" i="1"/>
  <c r="Q118" i="1"/>
  <c r="P118" i="1"/>
  <c r="T117" i="1"/>
  <c r="S117" i="1"/>
  <c r="Q117" i="1"/>
  <c r="P117" i="1"/>
  <c r="T116" i="1"/>
  <c r="S116" i="1"/>
  <c r="Q116" i="1"/>
  <c r="P116" i="1"/>
  <c r="T115" i="1"/>
  <c r="S115" i="1"/>
  <c r="Q115" i="1"/>
  <c r="P115" i="1"/>
  <c r="T114" i="1"/>
  <c r="S114" i="1"/>
  <c r="Q114" i="1"/>
  <c r="P114" i="1"/>
  <c r="T113" i="1"/>
  <c r="S113" i="1"/>
  <c r="Q113" i="1"/>
  <c r="P113" i="1"/>
  <c r="T112" i="1"/>
  <c r="S112" i="1"/>
  <c r="Q112" i="1"/>
  <c r="P112" i="1"/>
  <c r="T111" i="1"/>
  <c r="S111" i="1"/>
  <c r="Q111" i="1"/>
  <c r="P111" i="1"/>
  <c r="T110" i="1"/>
  <c r="S110" i="1"/>
  <c r="Q110" i="1"/>
  <c r="P110" i="1"/>
  <c r="T109" i="1"/>
  <c r="S109" i="1"/>
  <c r="Q109" i="1"/>
  <c r="P109" i="1"/>
  <c r="T108" i="1"/>
  <c r="S108" i="1"/>
  <c r="Q108" i="1"/>
  <c r="P108" i="1"/>
  <c r="T107" i="1"/>
  <c r="S107" i="1"/>
  <c r="Q107" i="1"/>
  <c r="P107" i="1"/>
  <c r="T106" i="1"/>
  <c r="S106" i="1"/>
  <c r="Q106" i="1"/>
  <c r="P106" i="1"/>
  <c r="T105" i="1"/>
  <c r="S105" i="1"/>
  <c r="Q105" i="1"/>
  <c r="P105" i="1"/>
  <c r="T104" i="1"/>
  <c r="S104" i="1"/>
  <c r="Q104" i="1"/>
  <c r="P104" i="1"/>
  <c r="T103" i="1"/>
  <c r="S103" i="1"/>
  <c r="Q103" i="1"/>
  <c r="P103" i="1"/>
  <c r="T102" i="1"/>
  <c r="S102" i="1"/>
  <c r="Q102" i="1"/>
  <c r="P102" i="1"/>
  <c r="T101" i="1"/>
  <c r="S101" i="1"/>
  <c r="Q101" i="1"/>
  <c r="P101" i="1"/>
  <c r="T100" i="1"/>
  <c r="S100" i="1"/>
  <c r="Q100" i="1"/>
  <c r="P100" i="1"/>
  <c r="T99" i="1"/>
  <c r="S99" i="1"/>
  <c r="Q99" i="1"/>
  <c r="P99" i="1"/>
  <c r="T98" i="1"/>
  <c r="S98" i="1"/>
  <c r="Q98" i="1"/>
  <c r="P98" i="1"/>
  <c r="T97" i="1"/>
  <c r="S97" i="1"/>
  <c r="Q97" i="1"/>
  <c r="P97" i="1"/>
  <c r="T96" i="1"/>
  <c r="S96" i="1"/>
  <c r="Q96" i="1"/>
  <c r="P96" i="1"/>
  <c r="T95" i="1"/>
  <c r="S95" i="1"/>
  <c r="Q95" i="1"/>
  <c r="P95" i="1"/>
  <c r="T94" i="1"/>
  <c r="S94" i="1"/>
  <c r="Q94" i="1"/>
  <c r="P94" i="1"/>
  <c r="T93" i="1"/>
  <c r="S93" i="1"/>
  <c r="Q93" i="1"/>
  <c r="P93" i="1"/>
  <c r="T92" i="1"/>
  <c r="S92" i="1"/>
  <c r="Q92" i="1"/>
  <c r="P92" i="1"/>
  <c r="T91" i="1"/>
  <c r="S91" i="1"/>
  <c r="Q91" i="1"/>
  <c r="P91" i="1"/>
  <c r="T90" i="1"/>
  <c r="S90" i="1"/>
  <c r="Q90" i="1"/>
  <c r="P90" i="1"/>
  <c r="T89" i="1"/>
  <c r="S89" i="1"/>
  <c r="Q89" i="1"/>
  <c r="P89" i="1"/>
  <c r="T88" i="1"/>
  <c r="S88" i="1"/>
  <c r="Q88" i="1"/>
  <c r="P88" i="1"/>
  <c r="T87" i="1"/>
  <c r="S87" i="1"/>
  <c r="Q87" i="1"/>
  <c r="P87" i="1"/>
  <c r="T86" i="1"/>
  <c r="S86" i="1"/>
  <c r="Q86" i="1"/>
  <c r="P86" i="1"/>
  <c r="T85" i="1"/>
  <c r="S85" i="1"/>
  <c r="Q85" i="1"/>
  <c r="P85" i="1"/>
  <c r="T84" i="1"/>
  <c r="S84" i="1"/>
  <c r="Q84" i="1"/>
  <c r="P84" i="1"/>
  <c r="T83" i="1"/>
  <c r="S83" i="1"/>
  <c r="Q83" i="1"/>
  <c r="P83" i="1"/>
  <c r="T82" i="1"/>
  <c r="S82" i="1"/>
  <c r="Q82" i="1"/>
  <c r="P82" i="1"/>
  <c r="T81" i="1"/>
  <c r="S81" i="1"/>
  <c r="Q81" i="1"/>
  <c r="P81" i="1"/>
  <c r="T80" i="1"/>
  <c r="S80" i="1"/>
  <c r="Q80" i="1"/>
  <c r="P80" i="1"/>
  <c r="T79" i="1"/>
  <c r="S79" i="1"/>
  <c r="Q79" i="1"/>
  <c r="P79" i="1"/>
  <c r="T78" i="1"/>
  <c r="S78" i="1"/>
  <c r="Q78" i="1"/>
  <c r="P78" i="1"/>
  <c r="T77" i="1"/>
  <c r="S77" i="1"/>
  <c r="Q77" i="1"/>
  <c r="P77" i="1"/>
  <c r="T76" i="1"/>
  <c r="S76" i="1"/>
  <c r="Q76" i="1"/>
  <c r="P76" i="1"/>
  <c r="T75" i="1"/>
  <c r="S75" i="1"/>
  <c r="Q75" i="1"/>
  <c r="P75" i="1"/>
  <c r="T74" i="1"/>
  <c r="S74" i="1"/>
  <c r="Q74" i="1"/>
  <c r="P74" i="1"/>
  <c r="T73" i="1"/>
  <c r="S73" i="1"/>
  <c r="Q73" i="1"/>
  <c r="P73" i="1"/>
  <c r="T72" i="1"/>
  <c r="S72" i="1"/>
  <c r="Q72" i="1"/>
  <c r="P72" i="1"/>
  <c r="T71" i="1"/>
  <c r="S71" i="1"/>
  <c r="Q71" i="1"/>
  <c r="P71" i="1"/>
  <c r="T70" i="1"/>
  <c r="S70" i="1"/>
  <c r="Q70" i="1"/>
  <c r="P70" i="1"/>
  <c r="T69" i="1"/>
  <c r="S69" i="1"/>
  <c r="Q69" i="1"/>
  <c r="P69" i="1"/>
  <c r="T68" i="1"/>
  <c r="S68" i="1"/>
  <c r="Q68" i="1"/>
  <c r="P68" i="1"/>
  <c r="T67" i="1"/>
  <c r="S67" i="1"/>
  <c r="Q67" i="1"/>
  <c r="P67" i="1"/>
  <c r="T66" i="1"/>
  <c r="S66" i="1"/>
  <c r="Q66" i="1"/>
  <c r="P66" i="1"/>
  <c r="T65" i="1"/>
  <c r="S65" i="1"/>
  <c r="Q65" i="1"/>
  <c r="P65" i="1"/>
  <c r="T64" i="1"/>
  <c r="S64" i="1"/>
  <c r="Q64" i="1"/>
  <c r="P64" i="1"/>
  <c r="T63" i="1"/>
  <c r="S63" i="1"/>
  <c r="Q63" i="1"/>
  <c r="P63" i="1"/>
  <c r="T62" i="1"/>
  <c r="S62" i="1"/>
  <c r="Q62" i="1"/>
  <c r="P62" i="1"/>
  <c r="Q61" i="1"/>
  <c r="S61" i="1" s="1"/>
  <c r="C9" i="3" s="1"/>
  <c r="P61" i="1"/>
  <c r="T61" i="1" s="1"/>
  <c r="Q60" i="1"/>
  <c r="S60" i="1" s="1"/>
  <c r="P60" i="1"/>
  <c r="T60" i="1" s="1"/>
  <c r="Q59" i="1"/>
  <c r="S59" i="1" s="1"/>
  <c r="P59" i="1"/>
  <c r="T59" i="1" s="1"/>
  <c r="Q58" i="1"/>
  <c r="S58" i="1" s="1"/>
  <c r="P58" i="1"/>
  <c r="T58" i="1" s="1"/>
  <c r="B14" i="3" s="1"/>
  <c r="Q57" i="1"/>
  <c r="S57" i="1" s="1"/>
  <c r="P57" i="1"/>
  <c r="T57" i="1" s="1"/>
  <c r="Q56" i="1"/>
  <c r="S56" i="1" s="1"/>
  <c r="C14" i="3" s="1"/>
  <c r="P56" i="1"/>
  <c r="T56" i="1" s="1"/>
  <c r="Q55" i="1"/>
  <c r="S55" i="1" s="1"/>
  <c r="P55" i="1"/>
  <c r="T55" i="1" s="1"/>
  <c r="B13" i="3" s="1"/>
  <c r="Q54" i="1"/>
  <c r="S54" i="1" s="1"/>
  <c r="P54" i="1"/>
  <c r="T54" i="1" s="1"/>
  <c r="Q53" i="1"/>
  <c r="S53" i="1" s="1"/>
  <c r="P53" i="1"/>
  <c r="T53" i="1" s="1"/>
  <c r="Q52" i="1"/>
  <c r="S52" i="1" s="1"/>
  <c r="P52" i="1"/>
  <c r="T52" i="1" s="1"/>
  <c r="Q51" i="1"/>
  <c r="S51" i="1" s="1"/>
  <c r="C12" i="3" s="1"/>
  <c r="P51" i="1"/>
  <c r="T51" i="1" s="1"/>
  <c r="Q50" i="1"/>
  <c r="S50" i="1" s="1"/>
  <c r="P50" i="1"/>
  <c r="T50" i="1" s="1"/>
  <c r="Q49" i="1"/>
  <c r="S49" i="1" s="1"/>
  <c r="P49" i="1"/>
  <c r="T49" i="1" s="1"/>
  <c r="Q48" i="1"/>
  <c r="S48" i="1" s="1"/>
  <c r="P48" i="1"/>
  <c r="T48" i="1" s="1"/>
  <c r="Q47" i="1"/>
  <c r="S47" i="1" s="1"/>
  <c r="P47" i="1"/>
  <c r="T47" i="1" s="1"/>
  <c r="Q46" i="1"/>
  <c r="S46" i="1" s="1"/>
  <c r="P46" i="1"/>
  <c r="T46" i="1" s="1"/>
  <c r="Q45" i="1"/>
  <c r="S45" i="1" s="1"/>
  <c r="P45" i="1"/>
  <c r="T45" i="1" s="1"/>
  <c r="Q44" i="1"/>
  <c r="S44" i="1" s="1"/>
  <c r="C11" i="3" s="1"/>
  <c r="P44" i="1"/>
  <c r="T44" i="1" s="1"/>
  <c r="B11" i="3" s="1"/>
  <c r="Q43" i="1"/>
  <c r="S43" i="1" s="1"/>
  <c r="P43" i="1"/>
  <c r="T43" i="1" s="1"/>
  <c r="Q42" i="1"/>
  <c r="S42" i="1" s="1"/>
  <c r="P42" i="1"/>
  <c r="T42" i="1" s="1"/>
  <c r="B10" i="3" s="1"/>
  <c r="Q41" i="1"/>
  <c r="S41" i="1" s="1"/>
  <c r="P41" i="1"/>
  <c r="T41" i="1" s="1"/>
  <c r="Q40" i="1"/>
  <c r="S40" i="1" s="1"/>
  <c r="P40" i="1"/>
  <c r="T40" i="1" s="1"/>
  <c r="Q39" i="1"/>
  <c r="S39" i="1" s="1"/>
  <c r="C10" i="3" s="1"/>
  <c r="P39" i="1"/>
  <c r="T39" i="1" s="1"/>
  <c r="Q38" i="1"/>
  <c r="S38" i="1" s="1"/>
  <c r="P38" i="1"/>
  <c r="T38" i="1" s="1"/>
  <c r="Q37" i="1"/>
  <c r="S37" i="1" s="1"/>
  <c r="P37" i="1"/>
  <c r="T37" i="1" s="1"/>
  <c r="B9" i="3" s="1"/>
  <c r="Q36" i="1"/>
  <c r="S36" i="1" s="1"/>
  <c r="P36" i="1"/>
  <c r="T36" i="1" s="1"/>
  <c r="Q35" i="1"/>
  <c r="S35" i="1" s="1"/>
  <c r="P35" i="1"/>
  <c r="T35" i="1" s="1"/>
  <c r="Q34" i="1"/>
  <c r="S34" i="1" s="1"/>
  <c r="P34" i="1"/>
  <c r="T34" i="1" s="1"/>
  <c r="B8" i="3" s="1"/>
  <c r="Q33" i="1"/>
  <c r="S33" i="1" s="1"/>
  <c r="P33" i="1"/>
  <c r="T33" i="1" s="1"/>
  <c r="Q32" i="1"/>
  <c r="S32" i="1" s="1"/>
  <c r="P32" i="1"/>
  <c r="T32" i="1" s="1"/>
  <c r="Q31" i="1"/>
  <c r="S31" i="1" s="1"/>
  <c r="P31" i="1"/>
  <c r="T31" i="1" s="1"/>
  <c r="Q30" i="1"/>
  <c r="S30" i="1" s="1"/>
  <c r="P30" i="1"/>
  <c r="T30" i="1" s="1"/>
  <c r="Q29" i="1"/>
  <c r="S29" i="1" s="1"/>
  <c r="P29" i="1"/>
  <c r="T29" i="1" s="1"/>
  <c r="Q28" i="1"/>
  <c r="S28" i="1" s="1"/>
  <c r="P28" i="1"/>
  <c r="T28" i="1" s="1"/>
  <c r="Q27" i="1"/>
  <c r="S27" i="1" s="1"/>
  <c r="P27" i="1"/>
  <c r="T27" i="1" s="1"/>
  <c r="S26" i="1"/>
  <c r="Q26" i="1"/>
  <c r="P26" i="1"/>
  <c r="T26" i="1" s="1"/>
  <c r="Q25" i="1"/>
  <c r="S25" i="1" s="1"/>
  <c r="C7" i="3" s="1"/>
  <c r="P25" i="1"/>
  <c r="T25" i="1" s="1"/>
  <c r="B7" i="3" s="1"/>
  <c r="Q24" i="1"/>
  <c r="S24" i="1" s="1"/>
  <c r="P24" i="1"/>
  <c r="T24" i="1" s="1"/>
  <c r="Q23" i="1"/>
  <c r="S23" i="1" s="1"/>
  <c r="P23" i="1"/>
  <c r="T23" i="1" s="1"/>
  <c r="Q22" i="1"/>
  <c r="S22" i="1" s="1"/>
  <c r="P22" i="1"/>
  <c r="T22" i="1" s="1"/>
  <c r="Q21" i="1"/>
  <c r="S21" i="1" s="1"/>
  <c r="P21" i="1"/>
  <c r="T21" i="1" s="1"/>
  <c r="Q20" i="1"/>
  <c r="S20" i="1" s="1"/>
  <c r="P20" i="1"/>
  <c r="T20" i="1" s="1"/>
  <c r="Q19" i="1"/>
  <c r="S19" i="1" s="1"/>
  <c r="P19" i="1"/>
  <c r="T19" i="1" s="1"/>
  <c r="Q18" i="1"/>
  <c r="S18" i="1" s="1"/>
  <c r="P18" i="1"/>
  <c r="T18" i="1" s="1"/>
  <c r="Q17" i="1"/>
  <c r="S17" i="1" s="1"/>
  <c r="P17" i="1"/>
  <c r="T17" i="1" s="1"/>
  <c r="Q16" i="1"/>
  <c r="S16" i="1" s="1"/>
  <c r="P16" i="1"/>
  <c r="T16" i="1" s="1"/>
  <c r="B6" i="3" s="1"/>
  <c r="Q15" i="1"/>
  <c r="S15" i="1" s="1"/>
  <c r="C6" i="3" s="1"/>
  <c r="P15" i="1"/>
  <c r="T15" i="1" s="1"/>
  <c r="Q14" i="1"/>
  <c r="S14" i="1" s="1"/>
  <c r="P14" i="1"/>
  <c r="T14" i="1" s="1"/>
  <c r="Q13" i="1"/>
  <c r="S13" i="1" s="1"/>
  <c r="P13" i="1"/>
  <c r="T13" i="1" s="1"/>
  <c r="Q12" i="1"/>
  <c r="S12" i="1" s="1"/>
  <c r="P12" i="1"/>
  <c r="T12" i="1" s="1"/>
  <c r="B5" i="3" s="1"/>
  <c r="Q11" i="1"/>
  <c r="S11" i="1" s="1"/>
  <c r="P11" i="1"/>
  <c r="T11" i="1" s="1"/>
  <c r="Q10" i="1"/>
  <c r="S10" i="1" s="1"/>
  <c r="P10" i="1"/>
  <c r="T10" i="1" s="1"/>
  <c r="Q9" i="1"/>
  <c r="S9" i="1" s="1"/>
  <c r="P9" i="1"/>
  <c r="T9" i="1" s="1"/>
  <c r="Q8" i="1"/>
  <c r="S8" i="1" s="1"/>
  <c r="P8" i="1"/>
  <c r="T8" i="1" s="1"/>
  <c r="Q7" i="1"/>
  <c r="S7" i="1" s="1"/>
  <c r="P7" i="1"/>
  <c r="T7" i="1" s="1"/>
  <c r="Q6" i="1"/>
  <c r="S6" i="1" s="1"/>
  <c r="P6" i="1"/>
  <c r="T6" i="1" s="1"/>
  <c r="Q5" i="1"/>
  <c r="S5" i="1" s="1"/>
  <c r="C4" i="3" s="1"/>
  <c r="P5" i="1"/>
  <c r="T5" i="1" s="1"/>
  <c r="B4" i="3" s="1"/>
  <c r="B12" i="3" l="1"/>
  <c r="B15" i="3" s="1"/>
  <c r="C8" i="3"/>
  <c r="C15" i="3" s="1"/>
  <c r="G15" i="3"/>
  <c r="T122" i="1"/>
  <c r="S122" i="1"/>
  <c r="Q122" i="1"/>
  <c r="P122" i="1"/>
  <c r="F8" i="4" l="1"/>
  <c r="G6" i="3" l="1"/>
  <c r="F6" i="3"/>
  <c r="G5" i="3"/>
  <c r="F5" i="3"/>
  <c r="G7" i="3" l="1"/>
  <c r="F7" i="3"/>
  <c r="G8" i="3" s="1"/>
  <c r="G9" i="3" s="1"/>
  <c r="F8" i="3" l="1"/>
  <c r="F9" i="3" s="1"/>
</calcChain>
</file>

<file path=xl/sharedStrings.xml><?xml version="1.0" encoding="utf-8"?>
<sst xmlns="http://schemas.openxmlformats.org/spreadsheetml/2006/main" count="7802" uniqueCount="2359">
  <si>
    <t>PLANILHA ESTRATÉGICA DE DESPESAS DO ADOLESCENTE</t>
  </si>
  <si>
    <t>Categoria</t>
  </si>
  <si>
    <t>Despesa</t>
  </si>
  <si>
    <t>Cota parte?</t>
  </si>
  <si>
    <t>Comprovante</t>
  </si>
  <si>
    <t>Observacoes</t>
  </si>
  <si>
    <t>Moradia</t>
  </si>
  <si>
    <t>Aluguel ou financiamento – quota-parte do adolescente</t>
  </si>
  <si>
    <t>Sim</t>
  </si>
  <si>
    <t>Condomínio – quota-parte</t>
  </si>
  <si>
    <t>IPTU – quota-parte</t>
  </si>
  <si>
    <t>Energia elétrica – quota-parte</t>
  </si>
  <si>
    <t>Água e esgoto – quota-parte</t>
  </si>
  <si>
    <t>Gás – quota-parte</t>
  </si>
  <si>
    <t>Internet residencial – quota-parte</t>
  </si>
  <si>
    <t>Alimentação</t>
  </si>
  <si>
    <t>Supermercado e alimentação domiciliar</t>
  </si>
  <si>
    <t>sim</t>
  </si>
  <si>
    <t>Alimentação escolar / cantina</t>
  </si>
  <si>
    <t>Suplementos e alimentação especial</t>
  </si>
  <si>
    <t>Educação</t>
  </si>
  <si>
    <t>Mensalidade escolar</t>
  </si>
  <si>
    <t>Matrícula escolar</t>
  </si>
  <si>
    <t>Material escolar</t>
  </si>
  <si>
    <t>Uniforme escolar</t>
  </si>
  <si>
    <t>Livros didáticos e paradidáticos</t>
  </si>
  <si>
    <t>Curso de idiomas</t>
  </si>
  <si>
    <t>Reforço escolar</t>
  </si>
  <si>
    <t>Curso preparatório / profissionalizante</t>
  </si>
  <si>
    <t>Passeios, excursões e eventos escolares</t>
  </si>
  <si>
    <t>Saúde</t>
  </si>
  <si>
    <t>Plano de saúde</t>
  </si>
  <si>
    <t>Coparticipações do plano</t>
  </si>
  <si>
    <t>Consultas médicas particulares</t>
  </si>
  <si>
    <t>Medicamentos contínuos</t>
  </si>
  <si>
    <t>Exames médicos</t>
  </si>
  <si>
    <t>Tratamento odontológico</t>
  </si>
  <si>
    <t>Psicólogo / psiquiatra</t>
  </si>
  <si>
    <t>Terapias especializadas</t>
  </si>
  <si>
    <t>Óculos, lentes e itens ortopédicos</t>
  </si>
  <si>
    <t>Transporte</t>
  </si>
  <si>
    <t>Transporte escolar</t>
  </si>
  <si>
    <t>Passagens de transporte coletivo</t>
  </si>
  <si>
    <t>Combustível para deslocamentos</t>
  </si>
  <si>
    <t>Aplicativos de transporte</t>
  </si>
  <si>
    <t>Vestuário e higiene</t>
  </si>
  <si>
    <t>Roupas</t>
  </si>
  <si>
    <t>Calçados</t>
  </si>
  <si>
    <t>Uniformes esportivos</t>
  </si>
  <si>
    <t>Produtos de higiene pessoal</t>
  </si>
  <si>
    <t>Cabeleireiro / cuidados pessoais</t>
  </si>
  <si>
    <t>Comunicação e tecnologia</t>
  </si>
  <si>
    <t>Aparelho celular</t>
  </si>
  <si>
    <t>Notebook / computador</t>
  </si>
  <si>
    <t>Softwares e plataformas educacionais</t>
  </si>
  <si>
    <t>Esporte e desenvolvimento</t>
  </si>
  <si>
    <t>Academia / atividade física</t>
  </si>
  <si>
    <t>Mensalidade esportiva</t>
  </si>
  <si>
    <t>Equipamentos esportivos</t>
  </si>
  <si>
    <t>Cursos de música, arte ou cultura</t>
  </si>
  <si>
    <t>Lazer e convivência</t>
  </si>
  <si>
    <t>Cinema, parques e passeios</t>
  </si>
  <si>
    <t>Festas, aniversários e confraternizações</t>
  </si>
  <si>
    <t>Viagens e férias</t>
  </si>
  <si>
    <t>Assinaturas de streaming – quota-parte</t>
  </si>
  <si>
    <t>Outros</t>
  </si>
  <si>
    <t>Mesada</t>
  </si>
  <si>
    <t>Seguro de vida / acidentes</t>
  </si>
  <si>
    <t>Fundo para emergências</t>
  </si>
  <si>
    <t>Outras despesas comprovadas</t>
  </si>
  <si>
    <t>Nao</t>
  </si>
  <si>
    <t>CONTROLE DE DOCUMENTOS E COMPROVANTES</t>
  </si>
  <si>
    <t>Nº</t>
  </si>
  <si>
    <t>Documento / comprovante</t>
  </si>
  <si>
    <t>Competência</t>
  </si>
  <si>
    <t>Valor (R$)</t>
  </si>
  <si>
    <t>Situação</t>
  </si>
  <si>
    <t>Arquivo / Link</t>
  </si>
  <si>
    <t>Observação estratégica</t>
  </si>
  <si>
    <t>Hash</t>
  </si>
  <si>
    <t>2026-07</t>
  </si>
  <si>
    <t>2026-06</t>
  </si>
  <si>
    <t>2026-05</t>
  </si>
  <si>
    <t>2026-04</t>
  </si>
  <si>
    <t>2026-03</t>
  </si>
  <si>
    <t>2026-08</t>
  </si>
  <si>
    <t>2026-01</t>
  </si>
  <si>
    <t>Resumo e Rateio</t>
  </si>
  <si>
    <t>CAPACIDADE CONTRIBUTIVA E RATEIO</t>
  </si>
  <si>
    <t>Indicador</t>
  </si>
  <si>
    <t>Genitor 1</t>
  </si>
  <si>
    <t>Genitor 2</t>
  </si>
  <si>
    <t>Renda liquida mensal</t>
  </si>
  <si>
    <t>Outras obrigacoes essenciais</t>
  </si>
  <si>
    <t>Renda disponivel</t>
  </si>
  <si>
    <t>Percentual da renda disponivel</t>
  </si>
  <si>
    <t>Cota proporcional das despesas</t>
  </si>
  <si>
    <t>TOTAL GERAL</t>
  </si>
  <si>
    <t>Caminho da pasta de comprovantes</t>
  </si>
  <si>
    <t>Comprovantes</t>
  </si>
  <si>
    <t>PREPARAR</t>
  </si>
  <si>
    <t>IMPORTAR</t>
  </si>
  <si>
    <t>MANUTENCAO</t>
  </si>
  <si>
    <t>EDICAO</t>
  </si>
  <si>
    <t>id</t>
  </si>
  <si>
    <t>status</t>
  </si>
  <si>
    <t>categoria</t>
  </si>
  <si>
    <t>despesa</t>
  </si>
  <si>
    <t>data</t>
  </si>
  <si>
    <t>mes</t>
  </si>
  <si>
    <t>valor</t>
  </si>
  <si>
    <t>pagador</t>
  </si>
  <si>
    <t>recebedor</t>
  </si>
  <si>
    <t>tipo</t>
  </si>
  <si>
    <t>arquivo</t>
  </si>
  <si>
    <t>hash</t>
  </si>
  <si>
    <t>periodicidade</t>
  </si>
  <si>
    <t>resultado</t>
  </si>
  <si>
    <t>Mensal</t>
  </si>
  <si>
    <t>Editar registro</t>
  </si>
  <si>
    <t>Origem</t>
  </si>
  <si>
    <t>Linha</t>
  </si>
  <si>
    <t>Fila</t>
  </si>
  <si>
    <t>Despesa / Recebedor</t>
  </si>
  <si>
    <t>Data</t>
  </si>
  <si>
    <t>Competencia</t>
  </si>
  <si>
    <t>Valor</t>
  </si>
  <si>
    <t>Pagador</t>
  </si>
  <si>
    <t>Recebedor</t>
  </si>
  <si>
    <t>Tipo / Observacao</t>
  </si>
  <si>
    <t>Periodicidade</t>
  </si>
  <si>
    <t>Arquivo</t>
  </si>
  <si>
    <t>Cadastro de categorias e despesas</t>
  </si>
  <si>
    <t>Ativo</t>
  </si>
  <si>
    <t>RAIA3800</t>
  </si>
  <si>
    <t>2025-11</t>
  </si>
  <si>
    <t>Otica Sao Paulo</t>
  </si>
  <si>
    <t>comprovantes\Saúde\Compartilhar comprovante(21).png</t>
  </si>
  <si>
    <t>067039fcf4b9f83a987b35a9201a9e74</t>
  </si>
  <si>
    <t>Raia Drogasil</t>
  </si>
  <si>
    <t>comprovantes\Saúde\Compartilhar comprovante(4).png</t>
  </si>
  <si>
    <t>57189df8fa879b033382734dd508d438</t>
  </si>
  <si>
    <t>comprovantes\Saúde\Compartilhar comprovante(2).png</t>
  </si>
  <si>
    <t>307a04be134b06d9780e11d457f7c163</t>
  </si>
  <si>
    <t>comprovantes\Saúde\GCompartilhar comprovante(45).png</t>
  </si>
  <si>
    <t>7cc3c6de5f1eaad967506035600677ce</t>
  </si>
  <si>
    <t>2026-02</t>
  </si>
  <si>
    <t>DROGARIA ARAUJO S A</t>
  </si>
  <si>
    <t>comprovantes\Saúde\GCompartilhar comprovante(55).png</t>
  </si>
  <si>
    <t>4d0e68d934cc19470e4dbf42536bfebf</t>
  </si>
  <si>
    <t>DROGARIA ARAUJO</t>
  </si>
  <si>
    <t>comprovantes\Saúde\Compartilhar comprovante(1).png</t>
  </si>
  <si>
    <t>0a25e52f04fbe59ec256ac6956c5c2cb</t>
  </si>
  <si>
    <t>comprovantes\Saúde\GCompartilhar comprovante(70).png</t>
  </si>
  <si>
    <t>35abba22bec30c83f201e2dd2e3973bf</t>
  </si>
  <si>
    <t>Araujo Loja</t>
  </si>
  <si>
    <t>comprovantes\Saúde\Compartilhar comprovante.png</t>
  </si>
  <si>
    <t>a2bdac3b11637b9e4163e9b4d89ba0c3</t>
  </si>
  <si>
    <t>comprovantes\Saúde\GCompartilhar comprovante(86).png</t>
  </si>
  <si>
    <t>592c584986cd2fb14f66c4cc1d23084c</t>
  </si>
  <si>
    <t>comprovantes\Saúde\Compartilhar comprovante(6).png</t>
  </si>
  <si>
    <t>34db1968344021a15e08ed53664f6ecd</t>
  </si>
  <si>
    <t>ULTRAFARMA SAUDE LTDA</t>
  </si>
  <si>
    <t>comprovantes\Saúde\Compartilhar comprovante(7).png</t>
  </si>
  <si>
    <t>1259839e49d2d7eeb19e69f7a5a2cfce</t>
  </si>
  <si>
    <t>comprovantes\Saúde\GCompartilhar comprovante(95).png</t>
  </si>
  <si>
    <t>c45826ed1ded32c039fa8e384edd8574</t>
  </si>
  <si>
    <t>ROBERT PESSOA COSTA</t>
  </si>
  <si>
    <t>comprovantes\Saúde\psicólogo-março-comprovante.png</t>
  </si>
  <si>
    <t>a0b15d7b6c436e934c681f9958e67cda</t>
  </si>
  <si>
    <t>comprovantes\Saúde\Compartilhar comprovante(10).png</t>
  </si>
  <si>
    <t>de0086d69a36acb46b26f75e91b66eda</t>
  </si>
  <si>
    <t>comprovantes\Saúde\Compartilhar comprovante(8).png</t>
  </si>
  <si>
    <t>1763788ad4ec35f876d07853478a4c4f</t>
  </si>
  <si>
    <t>comprovantes\Saúde\Compartilhar comprovante(9).png</t>
  </si>
  <si>
    <t>8981d6b3cf4d6e1a7cd504f8565015e5</t>
  </si>
  <si>
    <t>comprovantes\Saúde\Compartilhar comprovante(11).png</t>
  </si>
  <si>
    <t>cea1b7753f26d5bebee8d3e7a75de9d0</t>
  </si>
  <si>
    <t>comprovantes\Saúde\Compartilhar comprovante(12).png</t>
  </si>
  <si>
    <t>e6b83a79de436346045b96c3006f5f07</t>
  </si>
  <si>
    <t>Cartao de TODOS mar</t>
  </si>
  <si>
    <t>comprovantes\Saúde\Compartilhar comprovante(13).png</t>
  </si>
  <si>
    <t>5c2333ad5075cafbaa600ef17ea4fbcb</t>
  </si>
  <si>
    <t>comprovantes\Saúde\Compartilhar comprovante(14).png</t>
  </si>
  <si>
    <t>4b6f484e654929ce39d8451a303046e7</t>
  </si>
  <si>
    <t>comprovantes\Saúde\Compartilhar comprovante(15).png</t>
  </si>
  <si>
    <t>20a70e6229f85bd35423ba6e73e068e6</t>
  </si>
  <si>
    <t>pede ODONTODOC - PADRE EUST</t>
  </si>
  <si>
    <t>comprovantes\Saúde\Compartilhar comprovante(16).png</t>
  </si>
  <si>
    <t>5392ad150b14dcc2e3bb38ca4c024aff</t>
  </si>
  <si>
    <t>RAIA237</t>
  </si>
  <si>
    <t>comprovantes\Saúde\Compartilhar comprovante(17).png</t>
  </si>
  <si>
    <t>7a594a9dc0c143c0287647104dee32ee</t>
  </si>
  <si>
    <t>comprovantes\Saúde\Compartilhar comprovante(18).png</t>
  </si>
  <si>
    <t>5e2ca2c73ad098544476dea7cbac37c1</t>
  </si>
  <si>
    <t>Cartao de TODOS abr</t>
  </si>
  <si>
    <t>comprovantes\Saúde\Compartilhar comprovante(19).png</t>
  </si>
  <si>
    <t>ef73fe88dc029c9025c1e02c65d33579</t>
  </si>
  <si>
    <t>DROGARIA CABRAL</t>
  </si>
  <si>
    <t>comprovantes\Saúde\Compartilhar comprovante(20).png</t>
  </si>
  <si>
    <t>4d79d9e026b3111ccabe03db132930dc</t>
  </si>
  <si>
    <t>comprovantes\Saúde\Compartilhar comprovante(32).png</t>
  </si>
  <si>
    <t>adf69181b696cf6872d7cd21a2fea8f5</t>
  </si>
  <si>
    <t>RAIA DROGASIL SA</t>
  </si>
  <si>
    <t>comprovantes\Saúde\GCompartilhar comprovante(138).png</t>
  </si>
  <si>
    <t>2beb30b315ebb1c439b391dc61387ec3</t>
  </si>
  <si>
    <t>DROGA LAGUNA</t>
  </si>
  <si>
    <t>comprovantes\Saúde\GCompartilhar comprovante(145).png</t>
  </si>
  <si>
    <t>542c89a21b34d0a80dd50530f5caddc3</t>
  </si>
  <si>
    <t>comprovantes\Saúde\Compartilhar comprovante(30).png</t>
  </si>
  <si>
    <t>ad19293a7f1ae4e556e4fea0022c33de</t>
  </si>
  <si>
    <t>comprovantes\Saúde\Compartilhar comprovante(28).png</t>
  </si>
  <si>
    <t>06e83f8efe85093b9d94ade1ef1c862f</t>
  </si>
  <si>
    <t>comprovantes\Saúde\Compartilhar comprovante(29).png</t>
  </si>
  <si>
    <t>34e0eccd7825ca8188e68606df370a0a</t>
  </si>
  <si>
    <t>Cartao de TODOS mai</t>
  </si>
  <si>
    <t>comprovantes\Saúde\Compartilhar comprovante(34).png</t>
  </si>
  <si>
    <t>9b2b141037facd7f04cb7c516510fc7a</t>
  </si>
  <si>
    <t>comprovantes\Saúde\Compartilhar comprovante(27).png</t>
  </si>
  <si>
    <t>7ad8463783afda932d73970124d1521a</t>
  </si>
  <si>
    <t>Odontofati</t>
  </si>
  <si>
    <t>comprovantes\Saúde\GCompartilhar comprovante(184).png</t>
  </si>
  <si>
    <t>dce693a725f8bb6e44b26599a45a3a03</t>
  </si>
  <si>
    <t>comprovantes\Saúde\Compartilhar comprovante(33).png</t>
  </si>
  <si>
    <t>142805d7df51979cb2221af36f963e80</t>
  </si>
  <si>
    <t>comprovantes\Saúde\Compartilhar comprovante(26).png</t>
  </si>
  <si>
    <t>06b426a94b9b39d370c615d586ed9c47</t>
  </si>
  <si>
    <t>comprovantes\Saúde\Compartilhar comprovante(24).png</t>
  </si>
  <si>
    <t>b708ff1c6e4db2df95744297e73fcf85</t>
  </si>
  <si>
    <t>Odontofati LTDA</t>
  </si>
  <si>
    <t>comprovantes\Saúde\dentista-16-06-2026.pdf</t>
  </si>
  <si>
    <t>3086a9150c09c080e3f0738516fa97be</t>
  </si>
  <si>
    <t>Cartao de TODOS jun</t>
  </si>
  <si>
    <t>comprovantes\Saúde\Compartilhar comprovante(36).png</t>
  </si>
  <si>
    <t>2da0f946088b0d506d369e3ad1ba3fc3</t>
  </si>
  <si>
    <t>comprovantes\Saúde\dentista-07-07-2026.pdf</t>
  </si>
  <si>
    <t>5b178006e4563864089fb3dc43683871</t>
  </si>
  <si>
    <t>comprovantes\Saúde\Compartilhar comprovante(31).png</t>
  </si>
  <si>
    <t>bac0eeb00fba9dc47565a3fe0562f041</t>
  </si>
  <si>
    <t>comprovantes\Saúde\Compartilhar comprovante(25).png</t>
  </si>
  <si>
    <t>a90d5794865e9b8f3ed56a5664eaf37e</t>
  </si>
  <si>
    <t>comprovantes\Saúde\GCompartilhar comprovante(212).png</t>
  </si>
  <si>
    <t>f320ef2f2f030a6e02abb3f1d26bfe1f</t>
  </si>
  <si>
    <t>DROGARIA BASILIO TEIXEIRA DRUGSTORE LTDA</t>
  </si>
  <si>
    <t>comprovantes\Saúde\Compartilhar comprovante(23).png</t>
  </si>
  <si>
    <t>ad492f23014c0b7147026c700dfb6cac</t>
  </si>
  <si>
    <t>comprovantes\Saúde\Compartilhar comprovante(22).png</t>
  </si>
  <si>
    <t>395a3d46107fd851d870562879fe61c6</t>
  </si>
  <si>
    <t>Cartao de TODOS jul</t>
  </si>
  <si>
    <t>comprovantes\Saúde\Compartilhar comprovante(35).png</t>
  </si>
  <si>
    <t>e04a70cd8395c35120750bc0cbd9cc54</t>
  </si>
  <si>
    <t>comprovantes\Saúde\GCompartilhar comprovante(234).png</t>
  </si>
  <si>
    <t>9c725bab57e5006d1337039e912af070</t>
  </si>
  <si>
    <t>comprovantes\Saúde\dentista-06-08-2026.pdf</t>
  </si>
  <si>
    <t>25bd3025056400469196a1e9cfdeb3d3</t>
  </si>
  <si>
    <t>comprovantes\Saúde\GCompartilhar comprovante(247).png</t>
  </si>
  <si>
    <t>70c87f63d92b89a941457d6f0e9fe5a8</t>
  </si>
  <si>
    <t>FIT SHOP SUPLEMENTOS ALIMENTARES LTDA</t>
  </si>
  <si>
    <t>comprovantes\Saúde\GCompartilhar comprovante(251).png</t>
  </si>
  <si>
    <t>ca3f8dd15ed3a73213e281ad2854e04a</t>
  </si>
  <si>
    <t>comprovantes\Saúde\GCompartilhar comprovante(255).png</t>
  </si>
  <si>
    <t>d297c77220cbca2bf9ee54f756632330</t>
  </si>
  <si>
    <t>comprovantes\Saúde\GCompartilhar comprovante(262).png</t>
  </si>
  <si>
    <t>d050b9274d6bc06df781de23c9a7b113</t>
  </si>
  <si>
    <t>2026-09</t>
  </si>
  <si>
    <t>RENATA ELLEM DE CARVALHO MENDES</t>
  </si>
  <si>
    <t>comprovantes\Saúde\pscicologo-setembro-comprovante.jpg</t>
  </si>
  <si>
    <t>31bb55deefd776c791a96e575b6417b4</t>
  </si>
  <si>
    <t>saúde</t>
  </si>
  <si>
    <t>Anexado</t>
  </si>
  <si>
    <t>Pix - 01/09/2026 - pagador: Daisy Ferreira Braga de Souza</t>
  </si>
  <si>
    <t>Pix - 27/08/2026 - pagador: Daisy Ferreira Braga de Souza</t>
  </si>
  <si>
    <t>Pix - 21/08/2026 - pagador: Daisy Ferreira Braga de Souza</t>
  </si>
  <si>
    <t>Pix - 17/08/2026 - pagador: Daisy Ferreira Braga de Souza</t>
  </si>
  <si>
    <t>Pix - 14/08/2026 - pagador: Daisy Ferreira Braga de Souza</t>
  </si>
  <si>
    <t>NFS-e (odontológico) - 06/08/2026 - pagador: Gabriel Arthur Braga Fernandes</t>
  </si>
  <si>
    <t>Pix - 06/08/2026 - pagador: Daisy Ferreira Braga de Souza</t>
  </si>
  <si>
    <t>Débito (cartão) - 27/07/2026 - pagador: Daisy Ferreira Braga de Souza</t>
  </si>
  <si>
    <t>Débito (cartão) - 18/07/2026 - pagador: Daisy Ferreira Braga de Souza</t>
  </si>
  <si>
    <t>Pix - 16/07/2026 - pagador: Daisy Ferreira Braga de Souza</t>
  </si>
  <si>
    <t>Pix - 13/07/2026 - pagador: Daisy Ferreira Braga de Souza</t>
  </si>
  <si>
    <t>Débito (cartão) - 11/07/2026 - pagador: Daisy Ferreira Braga de Souza</t>
  </si>
  <si>
    <t>Pix - 09/07/2026 - pagador: Daisy Ferreira Braga de Souza</t>
  </si>
  <si>
    <t>NFS-e (odontológico) - 08/07/2026 - pagador: Gabriel Arthur Braga Fernandes</t>
  </si>
  <si>
    <t>Débito (cartão) - 27/06/2026 - pagador: Daisy Ferreira Braga de Souza</t>
  </si>
  <si>
    <t>NFS-e (odontológico) - 26/06/2026 - pagador: Gabriel Arthur Braga Fernandes</t>
  </si>
  <si>
    <t>Pix - 22/06/2026 - pagador: Daisy Ferreira Braga de Souza</t>
  </si>
  <si>
    <t>Débito (cartão) - 20/06/2026 - pagador: Daisy Ferreira Braga de Souza</t>
  </si>
  <si>
    <t>Pix - 19/06/2026 - pagador: Daisy Ferreira Braga de Souza</t>
  </si>
  <si>
    <t>Pix - 16/06/2026 - pagador: Daisy Ferreira Braga de Souza</t>
  </si>
  <si>
    <t>Pix - 10/06/2026 - pagador: Daisy Ferreira Braga de Souza</t>
  </si>
  <si>
    <t>Débito (cartão) - 27/05/2026 - pagador: Daisy Ferreira Braga de Souza</t>
  </si>
  <si>
    <t>Pix - 18/05/2026 - pagador: Daisy Ferreira Braga de Souza</t>
  </si>
  <si>
    <t>Débito (cartão) - 18/05/2026 - pagador: Daisy Ferreira Braga de Souza</t>
  </si>
  <si>
    <t>Débito (cartão) - 16/05/2026 - pagador: Daisy Ferreira Braga de Souza</t>
  </si>
  <si>
    <t>Pix - 08/05/2026 - pagador: Daisy Ferreira Braga de Souza</t>
  </si>
  <si>
    <t>Pix - 06/05/2026 - pagador: Daisy Ferreira Braga de Souza</t>
  </si>
  <si>
    <t>Débito (cartão) - 02/05/2026 - pagador: Daisy Ferreira Braga de Souza</t>
  </si>
  <si>
    <t>Débito (cartão) - 29/04/2026 - pagador: Daisy Ferreira Braga de Souza</t>
  </si>
  <si>
    <t>Débito (cartão) - 27/04/2026 - pagador: Daisy Ferreira Braga de Souza</t>
  </si>
  <si>
    <t>Pix - 07/04/2026 - pagador: Daisy Ferreira Braga de Souza</t>
  </si>
  <si>
    <t>Débito (cartão) - 07/04/2026 - pagador: Daisy Ferreira Braga de Souza</t>
  </si>
  <si>
    <t>Controle nº 6, 7, 14, 16, 19, 20, 33</t>
  </si>
  <si>
    <t>Débito (cartão) - 06/04/2026 - pagador: Daisy Ferreira Braga de Souza</t>
  </si>
  <si>
    <t>Débito (cartão) - 03/04/2026 - pagador: Daisy Ferreira Braga de Souza</t>
  </si>
  <si>
    <t>Débito (cartão) - 27/03/2026 - pagador: Daisy Ferreira Braga de Souza</t>
  </si>
  <si>
    <t>Pix - 17/03/2026 - pagador: Daisy Ferreira Braga de Souza</t>
  </si>
  <si>
    <t>Débito (cartão) - 13/03/2026 - pagador: Daisy Ferreira Braga de Souza</t>
  </si>
  <si>
    <t>Débito (cartão) - 09/03/2026 - pagador: Daisy Ferreira Braga de Souza</t>
  </si>
  <si>
    <t>Pix - 09/03/2026 - pagador: Daisy Ferreira Braga de Souza</t>
  </si>
  <si>
    <t>Pix - 06/03/2026 - pagador: Daisy Ferreira Braga de Souza</t>
  </si>
  <si>
    <t>Pix - 05/03/2026 - pagador: Daisy Ferreira Braga de Souza</t>
  </si>
  <si>
    <t>Controle nº 1, 4, 26, 42, 44</t>
  </si>
  <si>
    <t>Pix - 25/02/2026 - pagador: Daisy Ferreira Braga de Souza</t>
  </si>
  <si>
    <t>Débito (cartão) - 25/02/2026 - pagador: Daisy Ferreira Braga de Souza</t>
  </si>
  <si>
    <t>Pix - 15/02/2026 - pagador: Daisy Ferreira Braga de Souza</t>
  </si>
  <si>
    <t>Débito (cartão) - 11/02/2026 - pagador: Daisy Ferreira Braga de Souza</t>
  </si>
  <si>
    <t>Pix - 06/02/2026 - pagador: Daisy Ferreira Braga de Souza</t>
  </si>
  <si>
    <t>Pix - 29/01/2026 - pagador: Daisy Ferreira Braga de Souza</t>
  </si>
  <si>
    <t>Débito (cartão) - 14/01/2026 - pagador: Daisy Ferreira Braga de Souza</t>
  </si>
  <si>
    <t>Pix - 03/01/2026 - pagador: Daisy Ferreira Braga de Souza</t>
  </si>
  <si>
    <t>Pix - 07/11/2025 - pagador: Daisy Ferreira Braga de Souza</t>
  </si>
  <si>
    <t>Controle nº 54</t>
  </si>
  <si>
    <t>Controle nº 55</t>
  </si>
  <si>
    <t>Controle nº 2, 3, 5, 8, 9, 10, 11, 12, 13, 15, 17, 18, 21, 22, 23, 24, 25, 27, 28, 29, 30, 31, 32, 34, 35, 36, 37, 38, 39, 40, 41, 43, 45, 46, 47, 48, 49, 50, 51, 52, 53, 55, 56</t>
  </si>
  <si>
    <t>Controle nº 56</t>
  </si>
  <si>
    <t>USADOS COM ARTE</t>
  </si>
  <si>
    <t>comprovantes\Vestuário e higiene\GCompartilhar comprovante(21).png</t>
  </si>
  <si>
    <t>c6df2e0f1e85c32867422d477fc0e626</t>
  </si>
  <si>
    <t>comprovantes\Vestuário e higiene\GCompartilhar comprovante(6-2).png</t>
  </si>
  <si>
    <t>0c4fffcd3dc8d660a2692c5533b70986</t>
  </si>
  <si>
    <t>ADILSON MENEZES COELHO</t>
  </si>
  <si>
    <t>comprovantes\Vestuário e higiene\Compartilhar comprovante(5).png</t>
  </si>
  <si>
    <t>d0fc0756c1634784003c0655b48e5bf3</t>
  </si>
  <si>
    <t>STUDIO MIRRA</t>
  </si>
  <si>
    <t>comprovantes\Vestuário e higiene\Compartilhar comprovante(6).png</t>
  </si>
  <si>
    <t>4c513c0814e3a3678282e48cc34a478a</t>
  </si>
  <si>
    <t>Moda Mundial Brasil Pagamentos LTDA</t>
  </si>
  <si>
    <t>comprovantes\Vestuário e higiene\GCompartilhar comprovante(64).png</t>
  </si>
  <si>
    <t>7e1f2aecd3906c6e7de23f206c1ce65e</t>
  </si>
  <si>
    <t>PIJAMAS</t>
  </si>
  <si>
    <t>comprovantes\Vestuário e higiene\Compartilhar comprovante.png</t>
  </si>
  <si>
    <t>674e68bb61f8d3ac64f581d2086f2f73</t>
  </si>
  <si>
    <t>FILIPE XAVIER COSTA GUIMARAES</t>
  </si>
  <si>
    <t>comprovantes\Vestuário e higiene\GCompartilhar comprovante(112).png</t>
  </si>
  <si>
    <t>e7bc289f2dd02a64652b0c84081176c4</t>
  </si>
  <si>
    <t>CEA SHC 703 ECPC</t>
  </si>
  <si>
    <t>comprovantes\Vestuário e higiene\Compartilhar comprovante(1).png</t>
  </si>
  <si>
    <t>3e1732ed65e02ca43c9a4350ea85f4d5</t>
  </si>
  <si>
    <t>LOJAS RENNER FL 281</t>
  </si>
  <si>
    <t>comprovantes\Vestuário e higiene\Compartilhar comprovante(2).png</t>
  </si>
  <si>
    <t>cecb58ee8309e467d4ee8154135dd6f9</t>
  </si>
  <si>
    <t>ALEXANDRE VELOSO PEREIRA</t>
  </si>
  <si>
    <t>comprovantes\Vestuário e higiene\GCompartilhar comprovante(132).png</t>
  </si>
  <si>
    <t>966a622761c0c9b5a8fa4286203cc094</t>
  </si>
  <si>
    <t>AVATIM CHEIROS DA TERRA</t>
  </si>
  <si>
    <t>comprovantes\Vestuário e higiene\GCompartilhar comprovante(148).png</t>
  </si>
  <si>
    <t>3050ec12560d20fc29e523efa4c61bd7</t>
  </si>
  <si>
    <t>comprovantes\Vestuário e higiene\Compartilhar comprovante(4).png</t>
  </si>
  <si>
    <t>bb5d3ad2b1caa5dceea92ada06ecf712</t>
  </si>
  <si>
    <t>Eva Katia da costa Machado . Lima</t>
  </si>
  <si>
    <t>comprovantes\Vestuário e higiene\GCompartilhar comprovante(219).png</t>
  </si>
  <si>
    <t>24137c0dffd85a4b65f442d66c833793</t>
  </si>
  <si>
    <t>vestuario e higiene</t>
  </si>
  <si>
    <t>Controle nº 57</t>
  </si>
  <si>
    <t>Pix (transferência) - 30/07/2026 - pagador: Gabriel Arthur Braga Fernandes</t>
  </si>
  <si>
    <t>Débito (cartão) - 09/05/2026 - pagador: Daisy Ferreira Braga de Souza</t>
  </si>
  <si>
    <t>Pix (transferência) - 08/05/2026 - pagador: Gabriel Arthur Braga Fernandes</t>
  </si>
  <si>
    <t>Pix (transferência) - 25/04/2026 - pagador: Gabriel Arthur Braga Fernandes</t>
  </si>
  <si>
    <t>Débito (cartão) - 04/04/2026 - pagador: Daisy Ferreira Braga de Souza</t>
  </si>
  <si>
    <t>Pix (transferência) - 21/03/2026 - pagador: Gabriel Arthur Braga Fernandes</t>
  </si>
  <si>
    <t>Débito (cartão) - 04/03/2026 - pagador: Daisy Ferreira Braga de Souza</t>
  </si>
  <si>
    <t>Pix (transferência) - 11/02/2026 - pagador: Gabriel Arthur Braga Fernandes</t>
  </si>
  <si>
    <t>Pix (transferência) - 28/01/2026 - pagador: Daisy Ferreira Braga de Souza</t>
  </si>
  <si>
    <t>Controle nº 68, 69</t>
  </si>
  <si>
    <t>Débito (cartão) - 21/01/2026 - pagador: Daisy Ferreira Braga de Souza</t>
  </si>
  <si>
    <t>Débito (cartão) - 10/01/2026 - pagador: Daisy Ferreira Braga de Souza</t>
  </si>
  <si>
    <t>Controle nº 57, 58, 59, 60, 61, 62, 63, 64, 65, 66, 67, 70, 71</t>
  </si>
  <si>
    <t>Uber</t>
  </si>
  <si>
    <t>comprovantes\Transporte\Compartilhar comprovante(57).png</t>
  </si>
  <si>
    <t>36d6a62ec684a8e318f0c258fc2274fb</t>
  </si>
  <si>
    <t>Nome 99</t>
  </si>
  <si>
    <t>comprovantes\Transporte\Compartilhar comprovante(82).png</t>
  </si>
  <si>
    <t>943677e2269168771ce8f0452d61d2d1</t>
  </si>
  <si>
    <t>comprovantes\Transporte\Compartilhar comprovante(79).png</t>
  </si>
  <si>
    <t>7222e41b5cc9e0662977cb088a0376e3</t>
  </si>
  <si>
    <t>comprovantes\Transporte\Compartilhar comprovante(80).png</t>
  </si>
  <si>
    <t>d1cc4dd5992797b4e9bae35133f21c1d</t>
  </si>
  <si>
    <t>comprovantes\Transporte\Compartilhar comprovante(81).png</t>
  </si>
  <si>
    <t>3205d01dfd5318e760de80c7fa0d8653</t>
  </si>
  <si>
    <t>comprovantes\Transporte\Compartilhar comprovante(75).png</t>
  </si>
  <si>
    <t>4645799e28f1c6388b548ffda663de29</t>
  </si>
  <si>
    <t>comprovantes\Transporte\Compartilhar comprovante(76).png</t>
  </si>
  <si>
    <t>4ae39d46c8e6a28bb254e4e39875f5a9</t>
  </si>
  <si>
    <t>comprovantes\Transporte\Compartilhar comprovante(78).png</t>
  </si>
  <si>
    <t>cf28a114fded8a7ea70c3b345c5142d4</t>
  </si>
  <si>
    <t>comprovantes\Transporte\Compartilhar comprovante(69).png</t>
  </si>
  <si>
    <t>95bcde0372aa399e77eb505d7cc07ea5</t>
  </si>
  <si>
    <t>comprovantes\Transporte\Compartilhar comprovante(70).png</t>
  </si>
  <si>
    <t>c125012ac1eeb6c8618f6b2512adfaee</t>
  </si>
  <si>
    <t>comprovantes\Transporte\Compartilhar comprovante(71).png</t>
  </si>
  <si>
    <t>48cca57df8dd5714be5aeb9d76ec6e61</t>
  </si>
  <si>
    <t>comprovantes\Transporte\Compartilhar comprovante(72).png</t>
  </si>
  <si>
    <t>a5aa8d354a228cebaba98d663b7b5f8b</t>
  </si>
  <si>
    <t>comprovantes\Transporte\Compartilhar comprovante(73).png</t>
  </si>
  <si>
    <t>486a162c6b7391ab4aa985043e61fa5f</t>
  </si>
  <si>
    <t>comprovantes\Transporte\Compartilhar comprovante(74).png</t>
  </si>
  <si>
    <t>187d2c30a233fd08d9a10d0b8854e7f5</t>
  </si>
  <si>
    <t>comprovantes\Transporte\Compartilhar comprovante(68).png</t>
  </si>
  <si>
    <t>07012ecf4ab5bba05ad6a43973def327</t>
  </si>
  <si>
    <t>comprovantes\Transporte\Compartilhar comprovante(64).png</t>
  </si>
  <si>
    <t>be63d7e278b62e17376ded13e2486ba4</t>
  </si>
  <si>
    <t>comprovantes\Transporte\Compartilhar comprovante(65).png</t>
  </si>
  <si>
    <t>4f6bde810c66b3877ea7f208f7f38318</t>
  </si>
  <si>
    <t>comprovantes\Transporte\Compartilhar comprovante(66).png</t>
  </si>
  <si>
    <t>5e9e2ee67ff088f8e97be01f8cec0a79</t>
  </si>
  <si>
    <t>comprovantes\Transporte\Compartilhar comprovante(67).png</t>
  </si>
  <si>
    <t>7ec3c1ea5c750ed2585266234e7f2f24</t>
  </si>
  <si>
    <t>comprovantes\Transporte\Compartilhar comprovante(62).png</t>
  </si>
  <si>
    <t>907da0eae316ed9db2b9e9e7a6963762</t>
  </si>
  <si>
    <t>comprovantes\Transporte\Compartilhar comprovante(63).png</t>
  </si>
  <si>
    <t>422a58012d022485bea927d25eb0c221</t>
  </si>
  <si>
    <t>comprovantes\Transporte\Compartilhar comprovante(61).png</t>
  </si>
  <si>
    <t>6a48625e7eb9a4a457ca34fff74208e0</t>
  </si>
  <si>
    <t>comprovantes\Transporte\Compartilhar comprovante(58).png</t>
  </si>
  <si>
    <t>98657583be02dcd42d5b32fc6d17b338</t>
  </si>
  <si>
    <t>comprovantes\Transporte\Compartilhar comprovante(59).png</t>
  </si>
  <si>
    <t>bb24a3eb17fda7835bd3c20a05580259</t>
  </si>
  <si>
    <t>comprovantes\Transporte\Compartilhar comprovante(60).png</t>
  </si>
  <si>
    <t>561abe5f4cf5e255b336f768e95ffb69</t>
  </si>
  <si>
    <t>comprovantes\Transporte\Compartilhar comprovante(54).png</t>
  </si>
  <si>
    <t>3e3cb39cb5684ad0f1964c8a69be2638</t>
  </si>
  <si>
    <t>comprovantes\Transporte\Compartilhar comprovante(53).png</t>
  </si>
  <si>
    <t>760dcb6c82ef91c0bb2a84862561ec9e</t>
  </si>
  <si>
    <t>comprovantes\Transporte\Compartilhar comprovante(51).png</t>
  </si>
  <si>
    <t>13aa4c4b0225c985d9f7d7a6a9345fde</t>
  </si>
  <si>
    <t>comprovantes\Transporte\Compartilhar comprovante(52).png</t>
  </si>
  <si>
    <t>18ca43f846523547f46db6b882fe3367</t>
  </si>
  <si>
    <t>comprovantes\Transporte\GCompartilhar comprovante(35).png</t>
  </si>
  <si>
    <t>fbcc1f48741c0a4fc5957f5b2c3927c4</t>
  </si>
  <si>
    <t>comprovantes\Transporte\Compartilhar comprovante(50).png</t>
  </si>
  <si>
    <t>4232580bfffb3694f9edb3e7b33641d6</t>
  </si>
  <si>
    <t>comprovantes\Transporte\GCompartilhar comprovante(41).png</t>
  </si>
  <si>
    <t>113379af67d91ee5d04044379ce53778</t>
  </si>
  <si>
    <t>comprovantes\Transporte\GCompartilhar comprovante(43).png</t>
  </si>
  <si>
    <t>dd0a33660f074a7ade720944b6d26a02</t>
  </si>
  <si>
    <t>comprovantes\Transporte\Compartilhar comprovante(44).png</t>
  </si>
  <si>
    <t>2523368bd4329571ecba7f9d2e8b6a49</t>
  </si>
  <si>
    <t>comprovantes\Transporte\Compartilhar comprovante(45).png</t>
  </si>
  <si>
    <t>11f4290b0de32452a951688f72301758</t>
  </si>
  <si>
    <t>comprovantes\Transporte\Compartilhar comprovante(46).png</t>
  </si>
  <si>
    <t>e7e2a0b9de0dd1ee638c9984d3db53a7</t>
  </si>
  <si>
    <t>comprovantes\Transporte\Compartilhar comprovante(48).png</t>
  </si>
  <si>
    <t>5777d2ad83c4f8f1a378b6fde28c20ec</t>
  </si>
  <si>
    <t>comprovantes\Transporte\Compartilhar comprovante(49).png</t>
  </si>
  <si>
    <t>bbcb9dc49d9e817be84a22911bd0422b</t>
  </si>
  <si>
    <t>comprovantes\Transporte\Compartilhar comprovante(43).png</t>
  </si>
  <si>
    <t>cd5291f23a6fa96415a5e77bf54ceec6</t>
  </si>
  <si>
    <t>comprovantes\Transporte\Compartilhar comprovante(40).png</t>
  </si>
  <si>
    <t>cb19965c04cbe95b8bb96d871e6adc33</t>
  </si>
  <si>
    <t>comprovantes\Transporte\Compartilhar comprovante(41).png</t>
  </si>
  <si>
    <t>2ed2019b76c21c55850541601f3853ad</t>
  </si>
  <si>
    <t>comprovantes\Transporte\Compartilhar comprovante(42).png</t>
  </si>
  <si>
    <t>1378e35bffac3ba4bde1329da6d45066</t>
  </si>
  <si>
    <t>comprovantes\Transporte\GCompartilhar comprovante(50).png</t>
  </si>
  <si>
    <t>034e15741e5f06d8ae6ab6c0bae3686d</t>
  </si>
  <si>
    <t>comprovantes\Transporte\Compartilhar comprovante(35).png</t>
  </si>
  <si>
    <t>c586893ee912e7bf8e78c7828f61b0bd</t>
  </si>
  <si>
    <t>comprovantes\Transporte\Compartilhar comprovante(36).png</t>
  </si>
  <si>
    <t>a14c7d241a26017c9720effba9246016</t>
  </si>
  <si>
    <t>comprovantes\Transporte\Compartilhar comprovante(37).png</t>
  </si>
  <si>
    <t>d50eace185022da3adac575a70bc2563</t>
  </si>
  <si>
    <t>comprovantes\Transporte\Compartilhar comprovante(38).png</t>
  </si>
  <si>
    <t>b2d5e89a3f2818d9ea3c65112281ebca</t>
  </si>
  <si>
    <t>comprovantes\Transporte\Compartilhar comprovante(39).png</t>
  </si>
  <si>
    <t>ebb25280d992ec59bee8dc9d1ab6f7da</t>
  </si>
  <si>
    <t>comprovantes\Transporte\Compartilhar comprovante(30).png</t>
  </si>
  <si>
    <t>b1c2f930de3624adacff2db841133c43</t>
  </si>
  <si>
    <t>comprovantes\Transporte\Compartilhar comprovante(31).png</t>
  </si>
  <si>
    <t>b7128411114385b814c6dbe15b5abae7</t>
  </si>
  <si>
    <t>comprovantes\Transporte\Compartilhar comprovante(32).png</t>
  </si>
  <si>
    <t>3ae39f2257540da1b3c4f94ff73ddc9c</t>
  </si>
  <si>
    <t>comprovantes\Transporte\Compartilhar comprovante(33).png</t>
  </si>
  <si>
    <t>9fb27dfcf38fe89b809cdb9f7593c551</t>
  </si>
  <si>
    <t>comprovantes\Transporte\Compartilhar comprovante(34).png</t>
  </si>
  <si>
    <t>bc56bd6f765351430584f15a6b36d4c8</t>
  </si>
  <si>
    <t>comprovantes\Transporte\Compartilhar comprovante(29).png</t>
  </si>
  <si>
    <t>b6bf35f9e1a01b5981b2f42c252497dc</t>
  </si>
  <si>
    <t>comprovantes\Transporte\Compartilhar comprovante(27).png</t>
  </si>
  <si>
    <t>5f92929b8c907f5f21256a16726b6150</t>
  </si>
  <si>
    <t>comprovantes\Transporte\Compartilhar comprovante(28).png</t>
  </si>
  <si>
    <t>6bde476f2e8194abbfa6a02a0b24c8b1</t>
  </si>
  <si>
    <t>comprovantes\Transporte\Compartilhar comprovante(25).png</t>
  </si>
  <si>
    <t>b84085caca593e01bf4b8383761115d9</t>
  </si>
  <si>
    <t>comprovantes\Transporte\Compartilhar comprovante(26).png</t>
  </si>
  <si>
    <t>a919e029359b191513398c594ebd7b29</t>
  </si>
  <si>
    <t>comprovantes\Transporte\Compartilhar comprovante(23).png</t>
  </si>
  <si>
    <t>e95bd837e5943d747ad89e0e9989bfca</t>
  </si>
  <si>
    <t>comprovantes\Transporte\Compartilhar comprovante(24).png</t>
  </si>
  <si>
    <t>cc1b85c5a7a6fb3ea8a9fa2ddd544bdd</t>
  </si>
  <si>
    <t>comprovantes\Transporte\Compartilhar comprovante(22).png</t>
  </si>
  <si>
    <t>1fcc2df96cfaea7dce84cb16762d67ce</t>
  </si>
  <si>
    <t>comprovantes\Transporte\Compartilhar comprovante(17).png</t>
  </si>
  <si>
    <t>0cb20016a0892b707f709071fc223017</t>
  </si>
  <si>
    <t>comprovantes\Transporte\Compartilhar comprovante(18).png</t>
  </si>
  <si>
    <t>c71c30ca9966c8f3af0a06b6048c8704</t>
  </si>
  <si>
    <t>comprovantes\Transporte\Compartilhar comprovante(19).png</t>
  </si>
  <si>
    <t>1d6de1c0fd425e8c72766f566bf5ef12</t>
  </si>
  <si>
    <t>comprovantes\Transporte\Compartilhar comprovante(20).png</t>
  </si>
  <si>
    <t>5c7f1fb4f02f970c97ffc5ec3476bc75</t>
  </si>
  <si>
    <t>comprovantes\Transporte\Compartilhar comprovante(21).png</t>
  </si>
  <si>
    <t>72e88fdf00bc5507ef831162c0c81519</t>
  </si>
  <si>
    <t>comprovantes\Transporte\Compartilhar comprovante(10).png</t>
  </si>
  <si>
    <t>c238b1a0a42f533d623ec652ee47f6bd</t>
  </si>
  <si>
    <t>comprovantes\Transporte\Compartilhar comprovante(12).png</t>
  </si>
  <si>
    <t>2c2ccd06bccb18683fa67013f320373c</t>
  </si>
  <si>
    <t>comprovantes\Transporte\Compartilhar comprovante(13).png</t>
  </si>
  <si>
    <t>9808649f99599429eb0938fdaa4d9f1b</t>
  </si>
  <si>
    <t>comprovantes\Transporte\Compartilhar comprovante(14).png</t>
  </si>
  <si>
    <t>9f76acda21d0d9516242aa368be40923</t>
  </si>
  <si>
    <t>comprovantes\Transporte\Compartilhar comprovante(15).png</t>
  </si>
  <si>
    <t>b91cf966cbe09caf6e2bd87d7970c6d8</t>
  </si>
  <si>
    <t>comprovantes\Transporte\Compartilhar comprovante(16).png</t>
  </si>
  <si>
    <t>59c1d259c30f6ff260d5eff10658ceb4</t>
  </si>
  <si>
    <t>comprovantes\Transporte\Compartilhar comprovante(5).png</t>
  </si>
  <si>
    <t>e95c2d13cd8918c6f929ce26362f278b</t>
  </si>
  <si>
    <t>comprovantes\Transporte\Compartilhar comprovante(6).png</t>
  </si>
  <si>
    <t>def81ce2ce2915108af229bf9655ec09</t>
  </si>
  <si>
    <t>comprovantes\Transporte\Compartilhar comprovante(7).png</t>
  </si>
  <si>
    <t>66d78105540adcecfe5c6bb27a110f7e</t>
  </si>
  <si>
    <t>comprovantes\Transporte\Compartilhar comprovante(8).png</t>
  </si>
  <si>
    <t>dc5664738d6c59a770c17af9db4a2897</t>
  </si>
  <si>
    <t>comprovantes\Transporte\Compartilhar comprovante(9).png</t>
  </si>
  <si>
    <t>427e229bdf7a339c3c4e810766f3b3bd</t>
  </si>
  <si>
    <t>comprovantes\Transporte\Compartilhar comprovante(4).png</t>
  </si>
  <si>
    <t>8014982f42928f40fca040d1e2902cbb</t>
  </si>
  <si>
    <t>comprovantes\Transporte\Compartilhar comprovante(1).png</t>
  </si>
  <si>
    <t>0d10998720e0e5a90ec4cb79d42714df</t>
  </si>
  <si>
    <t>comprovantes\Transporte\Compartilhar comprovante(2).png</t>
  </si>
  <si>
    <t>0739fe605f6ca7d4add5b840395d07f5</t>
  </si>
  <si>
    <t>comprovantes\Transporte\Compartilhar comprovante(3).png</t>
  </si>
  <si>
    <t>9f5886cdf71bc9c85d80b2a4c00f726e</t>
  </si>
  <si>
    <t>comprovantes\Transporte\Compartilhar comprovante.png</t>
  </si>
  <si>
    <t>06c7064db9f994014b5f0229ca40eef1</t>
  </si>
  <si>
    <t>comprovantes\Transporte\GCompartilhar comprovante(88).png</t>
  </si>
  <si>
    <t>0bfc0b36f8343053bf3488c9557079f0</t>
  </si>
  <si>
    <t>comprovantes\Transporte\Compartilhar comprovante(168).png</t>
  </si>
  <si>
    <t>5b4ab3d0a17a2f7f5c26b697a19c16dd</t>
  </si>
  <si>
    <t>comprovantes\Transporte\Compartilhar comprovante(169).png</t>
  </si>
  <si>
    <t>080590e6d8d6aff004557e7e033561f1</t>
  </si>
  <si>
    <t>comprovantes\Transporte\Compartilhar comprovante(170).png</t>
  </si>
  <si>
    <t>72a3ba7f428e1171d1674bde2894e542</t>
  </si>
  <si>
    <t>comprovantes\Transporte\Compartilhar comprovante(171).png</t>
  </si>
  <si>
    <t>c6385ed8588b94cf815b7cca991410b5</t>
  </si>
  <si>
    <t>comprovantes\Transporte\Compartilhar comprovante(172).png</t>
  </si>
  <si>
    <t>c38b69cb8612089438d2c53d8234ecfc</t>
  </si>
  <si>
    <t>comprovantes\Transporte\Compartilhar comprovante(173).png</t>
  </si>
  <si>
    <t>c13fdb7ce2d167e64d12000c46bf5b33</t>
  </si>
  <si>
    <t>comprovantes\Transporte\Compartilhar comprovante(174).png</t>
  </si>
  <si>
    <t>7ff6dbc73ce167aeaf2d84311ec97750</t>
  </si>
  <si>
    <t>comprovantes\Transporte\Compartilhar comprovante(175).png</t>
  </si>
  <si>
    <t>fc69fe0b0908bd179dcca37fc8de1dc9</t>
  </si>
  <si>
    <t>comprovantes\Transporte\Compartilhar comprovante(176).png</t>
  </si>
  <si>
    <t>58f4a656bc3229d13e6eb114b1366439</t>
  </si>
  <si>
    <t>comprovantes\Transporte\Compartilhar comprovante(177).png</t>
  </si>
  <si>
    <t>f0e1b601ef52f826982cf01cc6206473</t>
  </si>
  <si>
    <t>comprovantes\Transporte\Compartilhar comprovante(178).png</t>
  </si>
  <si>
    <t>e885bffe5f027949ca6342dd98fae08c</t>
  </si>
  <si>
    <t>comprovantes\Transporte\Compartilhar comprovante(179).png</t>
  </si>
  <si>
    <t>43f0be4333f78490e01195d08c16c264</t>
  </si>
  <si>
    <t>comprovantes\Transporte\Compartilhar comprovante(180).png</t>
  </si>
  <si>
    <t>f20e90bb28b84aeee4d36ecb07dcf488</t>
  </si>
  <si>
    <t>comprovantes\Transporte\Compartilhar comprovante(181).png</t>
  </si>
  <si>
    <t>9cc79b7dbec2b023de1912f1970026fb</t>
  </si>
  <si>
    <t>comprovantes\Transporte\Compartilhar comprovante(182).png</t>
  </si>
  <si>
    <t>1c0be342b7a7f39b08b4b00cfb6ffe1b</t>
  </si>
  <si>
    <t>comprovantes\Transporte\Compartilhar comprovante(165).png</t>
  </si>
  <si>
    <t>4eb3f4d2acca174afb8f3c2263e4584a</t>
  </si>
  <si>
    <t>comprovantes\Transporte\Compartilhar comprovante(166).png</t>
  </si>
  <si>
    <t>a75279aa3d4a861bc839ddd796e48d9c</t>
  </si>
  <si>
    <t>comprovantes\Transporte\Compartilhar comprovante(167).png</t>
  </si>
  <si>
    <t>dd5c010259dfbabbeb9b002374b418d8</t>
  </si>
  <si>
    <t>comprovantes\Transporte\Compartilhar comprovante(183).png</t>
  </si>
  <si>
    <t>c55834d5d4c10f6b895428dd391e97b5</t>
  </si>
  <si>
    <t>comprovantes\Transporte\Compartilhar comprovante(162).png</t>
  </si>
  <si>
    <t>5bef6611c782fb1d8ccf27920cdbdd86</t>
  </si>
  <si>
    <t>comprovantes\Transporte\Compartilhar comprovante(163).png</t>
  </si>
  <si>
    <t>db6ea36ca3f575158a30dfb830e4bc96</t>
  </si>
  <si>
    <t>comprovantes\Transporte\Compartilhar comprovante(164).png</t>
  </si>
  <si>
    <t>88a75986ff39270966df81b2ef022160</t>
  </si>
  <si>
    <t>comprovantes\Transporte\Compartilhar comprovante(158).png</t>
  </si>
  <si>
    <t>f09303cdd9035dd4883286677a2cf3a5</t>
  </si>
  <si>
    <t>comprovantes\Transporte\Compartilhar comprovante(159).png</t>
  </si>
  <si>
    <t>537749bb8b8713cd01bd5f229c0f48b2</t>
  </si>
  <si>
    <t>comprovantes\Transporte\Compartilhar comprovante(160).png</t>
  </si>
  <si>
    <t>2b9cd6e1db876e174ed5975bdcf8415a</t>
  </si>
  <si>
    <t>comprovantes\Transporte\Compartilhar comprovante(161).png</t>
  </si>
  <si>
    <t>eac3917fca929defc59442600ca7dcdc</t>
  </si>
  <si>
    <t>comprovantes\Transporte\Compartilhar comprovante(157).png</t>
  </si>
  <si>
    <t>4061be7603ec0d27a79efeadc7dd90ba</t>
  </si>
  <si>
    <t>comprovantes\Transporte\GCompartilhar comprovante(105).png</t>
  </si>
  <si>
    <t>45b034ce0fe7e8d7ecd8af42f8517466</t>
  </si>
  <si>
    <t>comprovantes\Transporte\GCompartilhar comprovante(116).png</t>
  </si>
  <si>
    <t>b8a4f46ca4c1ceb60728549adec9f5eb</t>
  </si>
  <si>
    <t>comprovantes\Transporte\Compartilhar comprovante(155).png</t>
  </si>
  <si>
    <t>fe113a74b7d6215b640f926ba69a7133</t>
  </si>
  <si>
    <t>comprovantes\Transporte\Compartilhar comprovante(156).png</t>
  </si>
  <si>
    <t>d31991578a4c09e8148782abf17e34f8</t>
  </si>
  <si>
    <t>comprovantes\Transporte\Compartilhar comprovante(184).png</t>
  </si>
  <si>
    <t>3c5ecc21f2c86e010499095279f40ffa</t>
  </si>
  <si>
    <t>comprovantes\Transporte\Compartilhar comprovante(185).png</t>
  </si>
  <si>
    <t>1a2394b5fca1db60ff8ce0d25ee1515a</t>
  </si>
  <si>
    <t>comprovantes\Transporte\GCompartilhar comprovante(106).png</t>
  </si>
  <si>
    <t>27fec06d6572b1ccd4337c9721b0749e</t>
  </si>
  <si>
    <t>comprovantes\Transporte\Compartilhar comprovante(154).png</t>
  </si>
  <si>
    <t>551b1abbe4796ed58f15370ffe44ad7f</t>
  </si>
  <si>
    <t>comprovantes\Transporte\Compartilhar comprovante(186).png</t>
  </si>
  <si>
    <t>a311a5c4b6eaa129f92fc26038fdd615</t>
  </si>
  <si>
    <t>comprovantes\Transporte\Compartilhar comprovante(187).png</t>
  </si>
  <si>
    <t>38d4b4bab2ac3fb0f9c66343ed6cd52a</t>
  </si>
  <si>
    <t>comprovantes\Transporte\GCompartilhar comprovante(109).png</t>
  </si>
  <si>
    <t>c8d0ee99dc319622b61fc6603564aefe</t>
  </si>
  <si>
    <t>comprovantes\Transporte\GCompartilhar comprovante(110).png</t>
  </si>
  <si>
    <t>82c6f6a86b479f20aa03110274ae9dd4</t>
  </si>
  <si>
    <t>comprovantes\Transporte\GCompartilhar comprovante(111).png</t>
  </si>
  <si>
    <t>db2000d08b4fa23567908139008c942c</t>
  </si>
  <si>
    <t>comprovantes\Transporte\Compartilhar comprovante(188).png</t>
  </si>
  <si>
    <t>b7f204077ac01d8e65e67f8bb96f3887</t>
  </si>
  <si>
    <t>comprovantes\Transporte\Compartilhar comprovante(189).png</t>
  </si>
  <si>
    <t>e496f56bdda175f1e2225c1f21202530</t>
  </si>
  <si>
    <t>comprovantes\Transporte\Compartilhar comprovante(190).png</t>
  </si>
  <si>
    <t>b8a3ac435c5edfce484aa454b45ea2ec</t>
  </si>
  <si>
    <t>comprovantes\Transporte\Compartilhar comprovante(191).png</t>
  </si>
  <si>
    <t>c68d7eed229826d3d89dab0ca3b1c4b2</t>
  </si>
  <si>
    <t>comprovantes\Transporte\GCompartilhar comprovante(118).png</t>
  </si>
  <si>
    <t>a9516c1f9040c8e834bde56337316728</t>
  </si>
  <si>
    <t>comprovantes\Transporte\Compartilhar comprovante(153).png</t>
  </si>
  <si>
    <t>e909d4bfb5a062069d0fca7debad65dc</t>
  </si>
  <si>
    <t>comprovantes\Transporte\Compartilhar comprovante(192).png</t>
  </si>
  <si>
    <t>d777b56f4e14be44dbe5cb94de4c87ed</t>
  </si>
  <si>
    <t>comprovantes\Transporte\Compartilhar comprovante(151).png</t>
  </si>
  <si>
    <t>f89f8e62751e11222cb93cb7e872a77f</t>
  </si>
  <si>
    <t>comprovantes\Transporte\Compartilhar comprovante(152).png</t>
  </si>
  <si>
    <t>f07bdc05f054aaf6da0be946382884f2</t>
  </si>
  <si>
    <t>comprovantes\Transporte\Compartilhar comprovante(148).png</t>
  </si>
  <si>
    <t>f0b521778e36c1b74e8f227ee7f476c0</t>
  </si>
  <si>
    <t>comprovantes\Transporte\Compartilhar comprovante(149).png</t>
  </si>
  <si>
    <t>777853b65076f3a2006c2a445c7a88f7</t>
  </si>
  <si>
    <t>comprovantes\Transporte\Compartilhar comprovante(150).png</t>
  </si>
  <si>
    <t>8fd9bd53a7b253775bc091323ce45fde</t>
  </si>
  <si>
    <t>comprovantes\Transporte\Compartilhar comprovante(146).png</t>
  </si>
  <si>
    <t>ffa2f3dd5341339bc9a7e77fe6780fe8</t>
  </si>
  <si>
    <t>comprovantes\Transporte\Compartilhar comprovante(147).png</t>
  </si>
  <si>
    <t>11f57dc297e9af883b14ae1859e8be75</t>
  </si>
  <si>
    <t>comprovantes\Transporte\Compartilhar comprovante(142).png</t>
  </si>
  <si>
    <t>0349aa5a82d16be9d206ac05e3366784</t>
  </si>
  <si>
    <t>comprovantes\Transporte\Compartilhar comprovante(143).png</t>
  </si>
  <si>
    <t>847a6d5013f573ef0b2d6ae3424add44</t>
  </si>
  <si>
    <t>comprovantes\Transporte\Compartilhar comprovante(144).png</t>
  </si>
  <si>
    <t>6564df744a4ed3424fcce04b5bbf20d0</t>
  </si>
  <si>
    <t>comprovantes\Transporte\Compartilhar comprovante(145).png</t>
  </si>
  <si>
    <t>2e8ade0063f78b08d37501ae716c002a</t>
  </si>
  <si>
    <t>comprovantes\Transporte\Compartilhar comprovante(139).png</t>
  </si>
  <si>
    <t>3804645ed77c6709bee8576967a71783</t>
  </si>
  <si>
    <t>comprovantes\Transporte\Compartilhar comprovante(140).png</t>
  </si>
  <si>
    <t>1a4ddd04fad54308b725cf2dc4eede09</t>
  </si>
  <si>
    <t>comprovantes\Transporte\Compartilhar comprovante(141).png</t>
  </si>
  <si>
    <t>1033634106acdedd4d55b91fa7a96481</t>
  </si>
  <si>
    <t>comprovantes\Transporte\GCompartilhar comprovante(123).png</t>
  </si>
  <si>
    <t>859a5384c77339fb853ad185bc6ea844</t>
  </si>
  <si>
    <t>comprovantes\Transporte\Compartilhar comprovante(193).png</t>
  </si>
  <si>
    <t>5f1f957955699fcd0e471ae808389e64</t>
  </si>
  <si>
    <t>comprovantes\Transporte\Compartilhar comprovante(137).png</t>
  </si>
  <si>
    <t>2a3c3351ffc57d2e486c173021296871</t>
  </si>
  <si>
    <t>comprovantes\Transporte\Compartilhar comprovante(138).png</t>
  </si>
  <si>
    <t>3811972b42f1577850e73c5ceec8b22e</t>
  </si>
  <si>
    <t>comprovantes\Transporte\Compartilhar comprovante(194).png</t>
  </si>
  <si>
    <t>798a19f22b5faf9dd7f726fde1b66ab6</t>
  </si>
  <si>
    <t>comprovantes\Transporte\GCompartilhar comprovante(127).png</t>
  </si>
  <si>
    <t>253c49ed986e5ee456cba964f592fc62</t>
  </si>
  <si>
    <t>comprovantes\Transporte\GCompartilhar comprovante(128).png</t>
  </si>
  <si>
    <t>0d8ccb2d515bd49c7d3b4ab3b3b2dde7</t>
  </si>
  <si>
    <t>comprovantes\Transporte\GCompartilhar comprovante(129).png</t>
  </si>
  <si>
    <t>64745a4e04ed91053e0189071f591638</t>
  </si>
  <si>
    <t>comprovantes\Transporte\GCompartilhar comprovante(130).png</t>
  </si>
  <si>
    <t>d4a99f7072f3b0e9a736bf070088e7fe</t>
  </si>
  <si>
    <t>comprovantes\Transporte\GCompartilhar comprovante(136).png</t>
  </si>
  <si>
    <t>73d9f243db45af2393740c0b8ccb74e5</t>
  </si>
  <si>
    <t>comprovantes\Transporte\GCompartilhar comprovante(137).png</t>
  </si>
  <si>
    <t>277fb0c000fabe3d7bbac8f54f009283</t>
  </si>
  <si>
    <t>comprovantes\Transporte\GCompartilhar comprovante(139).png</t>
  </si>
  <si>
    <t>48b29681318d5540c39d41269457872f</t>
  </si>
  <si>
    <t>comprovantes\Transporte\GCompartilhar comprovante(140).png</t>
  </si>
  <si>
    <t>b8daf56efb3016874322c35e6f99c8f0</t>
  </si>
  <si>
    <t>comprovantes\Transporte\Compartilhar comprovante(134).png</t>
  </si>
  <si>
    <t>1d2dca02b7e11a59abd725a3aa726b08</t>
  </si>
  <si>
    <t>comprovantes\Transporte\Compartilhar comprovante(135).png</t>
  </si>
  <si>
    <t>c9e4a2029feea984772a6de3b3d60e8a</t>
  </si>
  <si>
    <t>comprovantes\Transporte\Compartilhar comprovante(136).png</t>
  </si>
  <si>
    <t>93bdd421067dc86e61787670fdae2510</t>
  </si>
  <si>
    <t>Nome CONSORCIO OTIMO</t>
  </si>
  <si>
    <t>comprovantes\Transporte\GCompartilhar comprovante(146).png</t>
  </si>
  <si>
    <t>c8ac44c822dbbb26b9ca4a2f31eb6001</t>
  </si>
  <si>
    <t>comprovantes\Transporte\Compartilhar comprovante(133).png</t>
  </si>
  <si>
    <t>6d9cccbd534e365784561eb6e208526c</t>
  </si>
  <si>
    <t>comprovantes\Transporte\Compartilhar comprovante(131).png</t>
  </si>
  <si>
    <t>1c4c7ddeb6b8f79b7eb10329df07d198</t>
  </si>
  <si>
    <t>comprovantes\Transporte\Compartilhar comprovante(132).png</t>
  </si>
  <si>
    <t>71d26f04790a1f75d7047001c6671acf</t>
  </si>
  <si>
    <t>comprovantes\Transporte\Compartilhar comprovante(129).png</t>
  </si>
  <si>
    <t>6d43710c7773f83ce8eb464c744d9908</t>
  </si>
  <si>
    <t>comprovantes\Transporte\Compartilhar comprovante(130).png</t>
  </si>
  <si>
    <t>014ce0cd7b9327622ddb477ad3c1d04e</t>
  </si>
  <si>
    <t>comprovantes\Transporte\Compartilhar comprovante(128).png</t>
  </si>
  <si>
    <t>1b43088d491b833af1aefd343e932a25</t>
  </si>
  <si>
    <t>comprovantes\Transporte\GCompartilhar comprovante(152).png</t>
  </si>
  <si>
    <t>3b2e6cb6768f2e9bb414b2eeaba51e89</t>
  </si>
  <si>
    <t>comprovantes\Transporte\Compartilhar comprovante(126).png</t>
  </si>
  <si>
    <t>43c7dd793796af4bf29d963227dbbcab</t>
  </si>
  <si>
    <t>comprovantes\Transporte\Compartilhar comprovante(127).png</t>
  </si>
  <si>
    <t>b06902517833adcc9661d0f8a0384e8a</t>
  </si>
  <si>
    <t>comprovantes\Transporte\Compartilhar comprovante(125).png</t>
  </si>
  <si>
    <t>2e949d8573f18aa93c64aac6ced6ae97</t>
  </si>
  <si>
    <t>comprovantes\Transporte\GCompartilhar comprovante(157).png</t>
  </si>
  <si>
    <t>29995d207d6138edd7e176a3870a0409</t>
  </si>
  <si>
    <t>comprovantes\Transporte\GCompartilhar comprovante(158).png</t>
  </si>
  <si>
    <t>a906464b50c8207e85f5cc8f96c277fd</t>
  </si>
  <si>
    <t>comprovantes\Transporte\GCompartilhar comprovante(159).png</t>
  </si>
  <si>
    <t>733cc55ee171c586023d7542ff859e50</t>
  </si>
  <si>
    <t>comprovantes\Transporte\GCompartilhar comprovante(160).png</t>
  </si>
  <si>
    <t>28df2c21e4c41449cd21b9be9b2ef203</t>
  </si>
  <si>
    <t>comprovantes\Transporte\GCompartilhar comprovante(171).png</t>
  </si>
  <si>
    <t>e9f5fe8c5414fac4f057f908a100927f</t>
  </si>
  <si>
    <t>comprovantes\Transporte\Compartilhar comprovante(238).png</t>
  </si>
  <si>
    <t>cdf27b6b9ae748a7a2d3b388cc265282</t>
  </si>
  <si>
    <t>comprovantes\Transporte\Compartilhar comprovante(237).png</t>
  </si>
  <si>
    <t>dc4b08a5241401c319733cea05cfd739</t>
  </si>
  <si>
    <t>comprovantes\Transporte\Compartilhar comprovante(234).png</t>
  </si>
  <si>
    <t>dfca67a74a79f3956c65ff8a5ab175e0</t>
  </si>
  <si>
    <t>comprovantes\Transporte\Compartilhar comprovante(235).png</t>
  </si>
  <si>
    <t>bc10a33a9bf9673cc88e7d34f2cc839e</t>
  </si>
  <si>
    <t>comprovantes\Transporte\Compartilhar comprovante(236).png</t>
  </si>
  <si>
    <t>23a170ee760fa4f8bce71e19dbfd8d9c</t>
  </si>
  <si>
    <t>comprovantes\Transporte\GCompartilhar comprovante(193).png</t>
  </si>
  <si>
    <t>ccfc5a3aa160f4521745620f87dbcbfe</t>
  </si>
  <si>
    <t>comprovantes\Transporte\Compartilhar comprovante(232).png</t>
  </si>
  <si>
    <t>b24ce640aff473f62e85c1a7b28daf67</t>
  </si>
  <si>
    <t>comprovantes\Transporte\Compartilhar comprovante(233).png</t>
  </si>
  <si>
    <t>cc17add3adeeeec597bca7f5fa98342b</t>
  </si>
  <si>
    <t>comprovantes\Transporte\Compartilhar comprovante(231).png</t>
  </si>
  <si>
    <t>e6f68013940cd776908cf64a90240c8f</t>
  </si>
  <si>
    <t>comprovantes\Transporte\Compartilhar comprovante(230).png</t>
  </si>
  <si>
    <t>0eb5161691eb920b49491ae6f34b5258</t>
  </si>
  <si>
    <t>comprovantes\Transporte\Compartilhar comprovante(227).png</t>
  </si>
  <si>
    <t>9fc7dff515111cf34ec35cc4790499fe</t>
  </si>
  <si>
    <t>comprovantes\Transporte\Compartilhar comprovante(228).png</t>
  </si>
  <si>
    <t>0a2f695404ef86e332b6608386e16c83</t>
  </si>
  <si>
    <t>comprovantes\Transporte\Compartilhar comprovante(229).png</t>
  </si>
  <si>
    <t>7942dc09bae40be0d49b7b8f391a4113</t>
  </si>
  <si>
    <t>comprovantes\Transporte\Compartilhar comprovante(224).png</t>
  </si>
  <si>
    <t>d3519616e4dda1e50cfcd259f3146c8d</t>
  </si>
  <si>
    <t>comprovantes\Transporte\Compartilhar comprovante(225).png</t>
  </si>
  <si>
    <t>231e09ba0930c8f46d42dfd1539bf3ff</t>
  </si>
  <si>
    <t>comprovantes\Transporte\Compartilhar comprovante(226).png</t>
  </si>
  <si>
    <t>b381602bff79ac86b08cdcc5664e7c54</t>
  </si>
  <si>
    <t>comprovantes\Transporte\Compartilhar comprovante(222).png</t>
  </si>
  <si>
    <t>ca47675bcfe7f6968df65cbe90d9eb0a</t>
  </si>
  <si>
    <t>comprovantes\Transporte\Compartilhar comprovante(223).png</t>
  </si>
  <si>
    <t>8d52d51ae694ccbde690e1f5c1260e66</t>
  </si>
  <si>
    <t>comprovantes\Transporte\Compartilhar comprovante(220).png</t>
  </si>
  <si>
    <t>71abc605d57cceae7e8506ac7237057b</t>
  </si>
  <si>
    <t>comprovantes\Transporte\Compartilhar comprovante(221).png</t>
  </si>
  <si>
    <t>a99fe592be3c50ff20ad5b13f27432d5</t>
  </si>
  <si>
    <t>comprovantes\Transporte\Compartilhar comprovante(215).png</t>
  </si>
  <si>
    <t>b9f96dbf7f439df6c84f9a7e52d85791</t>
  </si>
  <si>
    <t>comprovantes\Transporte\Compartilhar comprovante(216).png</t>
  </si>
  <si>
    <t>a6c94a959d138846b3aff8d6f3ca3f83</t>
  </si>
  <si>
    <t>comprovantes\Transporte\Compartilhar comprovante(217).png</t>
  </si>
  <si>
    <t>40fc28b325fb6eee4c873c6e71ae9a3e</t>
  </si>
  <si>
    <t>comprovantes\Transporte\Compartilhar comprovante(218).png</t>
  </si>
  <si>
    <t>2e5a89083f115d43764503609f36d88c</t>
  </si>
  <si>
    <t>comprovantes\Transporte\Compartilhar comprovante(219).png</t>
  </si>
  <si>
    <t>7386612b13b990cfeaf3d6198aae64c8</t>
  </si>
  <si>
    <t>comprovantes\Transporte\Compartilhar comprovante(213).png</t>
  </si>
  <si>
    <t>67f414161e208a13c6d728fd62cfb916</t>
  </si>
  <si>
    <t>comprovantes\Transporte\Compartilhar comprovante(214).png</t>
  </si>
  <si>
    <t>de03b82857c260204903a566be77eb9c</t>
  </si>
  <si>
    <t>comprovantes\Transporte\Compartilhar comprovante(210).png</t>
  </si>
  <si>
    <t>70097ec2da4189eabac065b73b41c18c</t>
  </si>
  <si>
    <t>comprovantes\Transporte\Compartilhar comprovante(211).png</t>
  </si>
  <si>
    <t>cc55b19f0b183e5e02eaf8cc0716c89c</t>
  </si>
  <si>
    <t>comprovantes\Transporte\Compartilhar comprovante(212).png</t>
  </si>
  <si>
    <t>e26f91e72e331e8c291ebefca3332bc2</t>
  </si>
  <si>
    <t>comprovantes\Transporte\Compartilhar comprovante(97).png</t>
  </si>
  <si>
    <t>ee6ee4b1efaafb45a4ddfaebdcb93446</t>
  </si>
  <si>
    <t>comprovantes\Transporte\Compartilhar comprovante(98).png</t>
  </si>
  <si>
    <t>b57030826d4e113973560aa1de865cf4</t>
  </si>
  <si>
    <t>comprovantes\Transporte\Compartilhar comprovante(99).png</t>
  </si>
  <si>
    <t>054b7d5bc6abd4a429cce3dc0d251d29</t>
  </si>
  <si>
    <t>comprovantes\Transporte\GCompartilhar comprovante(217).png</t>
  </si>
  <si>
    <t>6db54dd122afff95eff66262d64eefbe</t>
  </si>
  <si>
    <t>comprovantes\Transporte\Compartilhar comprovante(205).png</t>
  </si>
  <si>
    <t>9340c718ec445e613480464986842d32</t>
  </si>
  <si>
    <t>comprovantes\Transporte\Compartilhar comprovante(95).png</t>
  </si>
  <si>
    <t>6bc88908088459dc4dc9d079cebe1069</t>
  </si>
  <si>
    <t>comprovantes\Transporte\Compartilhar comprovante(96).png</t>
  </si>
  <si>
    <t>66e9f44ce61c3101f0fc22cceab9c4f7</t>
  </si>
  <si>
    <t>comprovantes\Transporte\Compartilhar comprovante(92).png</t>
  </si>
  <si>
    <t>288c827ce09434e145ff82bf9856f84e</t>
  </si>
  <si>
    <t>comprovantes\Transporte\Compartilhar comprovante(93).png</t>
  </si>
  <si>
    <t>20ac4a581b09fe1779632d33957c2793</t>
  </si>
  <si>
    <t>comprovantes\Transporte\Compartilhar comprovante(94).png</t>
  </si>
  <si>
    <t>7b556b353de3eefbf74a7c635449b8b6</t>
  </si>
  <si>
    <t>comprovantes\Transporte\Compartilhar comprovante(88).png</t>
  </si>
  <si>
    <t>bd604cf2dd2e4496eab6b77f7b40593d</t>
  </si>
  <si>
    <t>comprovantes\Transporte\Compartilhar comprovante(89).png</t>
  </si>
  <si>
    <t>d0507abbd3e93528a03dcdf00f78d845</t>
  </si>
  <si>
    <t>comprovantes\Transporte\Compartilhar comprovante(90).png</t>
  </si>
  <si>
    <t>0864906cf3780d3ada6c902042a46162</t>
  </si>
  <si>
    <t>comprovantes\Transporte\Compartilhar comprovante(91).png</t>
  </si>
  <si>
    <t>9cfc6fcb6a858a7b2488da0f7517c488</t>
  </si>
  <si>
    <t>comprovantes\Transporte\Compartilhar comprovante(86).png</t>
  </si>
  <si>
    <t>876b2ee5e9182da69f29a5f3229bf65a</t>
  </si>
  <si>
    <t>comprovantes\Transporte\Compartilhar comprovante(87).png</t>
  </si>
  <si>
    <t>35f3d2d08fbed204be5e440d871cd64f</t>
  </si>
  <si>
    <t>comprovantes\Transporte\GCompartilhar comprovante(223).png</t>
  </si>
  <si>
    <t>8c159b880c50cb365d26a7089d5cf738</t>
  </si>
  <si>
    <t>comprovantes\Transporte\GCompartilhar comprovante(228).png</t>
  </si>
  <si>
    <t>755b60c5866de8e28fedb205818e9034</t>
  </si>
  <si>
    <t>comprovantes\Transporte\Compartilhar comprovante(85).png</t>
  </si>
  <si>
    <t>7454f3878bc108e29a017b3a3cfba2b3</t>
  </si>
  <si>
    <t>comprovantes\Transporte\GCompartilhar comprovante(231).png</t>
  </si>
  <si>
    <t>776f0a2c9056c8ab580e0ced9aad9df1</t>
  </si>
  <si>
    <t>comprovantes\Transporte\GCompartilhar comprovante(246).png</t>
  </si>
  <si>
    <t>ed95f0c5472176c5789d9d78d3544b52</t>
  </si>
  <si>
    <t>comprovantes\Transporte\GCompartilhar comprovante(260).png</t>
  </si>
  <si>
    <t>f27d79cdf604c0ba3b0781f44d8728e7</t>
  </si>
  <si>
    <t>comprovantes\Transporte\GCompartilhar comprovante(264).png</t>
  </si>
  <si>
    <t>0f6b89d17c6df37803384d54427d471f</t>
  </si>
  <si>
    <t>comprovantes\Transporte\GCompartilhar comprovante(265).png</t>
  </si>
  <si>
    <t>3a6add6379a7cf6ec96b17a424977db8</t>
  </si>
  <si>
    <t>comprovantes\Transporte\Compartilhar comprovante(83).png</t>
  </si>
  <si>
    <t>eddf815a140cdd349cb13508676e12d7</t>
  </si>
  <si>
    <t>comprovantes\Transporte\Compartilhar comprovante(84).png</t>
  </si>
  <si>
    <t>46430bfe1e844a59040ee66e372ed5bb</t>
  </si>
  <si>
    <t>transporte</t>
  </si>
  <si>
    <t>Uber (corrida) - 29/08/2026 - pagador: Daisy Ferreira Braga de Souza</t>
  </si>
  <si>
    <t>Uber (corrida) - 28/08/2026 - pagador: Daisy Ferreira Braga de Souza</t>
  </si>
  <si>
    <t>Uber (corrida) - 22/08/2026 - pagador: Daisy Ferreira Braga de Souza</t>
  </si>
  <si>
    <t>Uber (corrida) - 14/08/2026 - pagador: Daisy Ferreira Braga de Souza</t>
  </si>
  <si>
    <t>Uber (corrida) - 05/08/2026 - pagador: Daisy Ferreira Braga de Souza</t>
  </si>
  <si>
    <t>Uber (corrida) - 02/08/2026 - pagador: Daisy Ferreira Braga de Souza</t>
  </si>
  <si>
    <t>Uber (corrida) - 01/08/2026 - pagador: Daisy Ferreira Braga de Souza</t>
  </si>
  <si>
    <t>Uber (corrida) - 29/07/2026 - pagador: Daisy Ferreira Braga de Souza</t>
  </si>
  <si>
    <t>Uber (corrida) - 28/07/2026 - pagador: Daisy Ferreira Braga de Souza</t>
  </si>
  <si>
    <t>Uber (corrida) - 27/07/2026 - pagador: Daisy Ferreira Braga de Souza</t>
  </si>
  <si>
    <t>Uber (corrida) - 26/07/2026 - pagador: Daisy Ferreira Braga de Souza</t>
  </si>
  <si>
    <t>Uber (corrida) - 25/07/2026 - pagador: Daisy Ferreira Braga de Souza</t>
  </si>
  <si>
    <t>Uber (corrida) - 23/07/2026 - pagador: Daisy Ferreira Braga de Souza</t>
  </si>
  <si>
    <t>Uber (corrida) - 22/07/2026 - pagador: Daisy Ferreira Braga de Souza</t>
  </si>
  <si>
    <t>Uber (corrida) - 16/07/2026 - pagador: Daisy Ferreira Braga de Souza</t>
  </si>
  <si>
    <t>Uber (corrida) - 10/07/2026 - pagador: Daisy Ferreira Braga de Souza</t>
  </si>
  <si>
    <t>Uber (corrida) - 06/07/2026 - pagador: Daisy Ferreira Braga de Souza</t>
  </si>
  <si>
    <t>Uber (corrida) - 03/07/2026 - pagador: Daisy Ferreira Braga de Souza</t>
  </si>
  <si>
    <t>Uber (corrida) - 02/07/2026 - pagador: Daisy Ferreira Braga de Souza</t>
  </si>
  <si>
    <t>Uber (corrida) - 30/06/2026 - pagador: Daisy Ferreira Braga de Souza</t>
  </si>
  <si>
    <t>Uber (corrida) - 29/06/2026 - pagador: Daisy Ferreira Braga de Souza</t>
  </si>
  <si>
    <t>Uber (corrida) - 28/06/2026 - pagador: Daisy Ferreira Braga de Souza</t>
  </si>
  <si>
    <t>Uber (corrida) - 25/06/2026 - pagador: Daisy Ferreira Braga de Souza</t>
  </si>
  <si>
    <t>Uber (corrida) - 18/06/2026 - pagador: Daisy Ferreira Braga de Souza</t>
  </si>
  <si>
    <t>Uber (corrida) - 16/06/2026 - pagador: Daisy Ferreira Braga de Souza</t>
  </si>
  <si>
    <t>Uber (corrida) - 14/06/2026 - pagador: Daisy Ferreira Braga de Souza</t>
  </si>
  <si>
    <t>Uber (corrida) - 13/06/2026 - pagador: Daisy Ferreira Braga de Souza</t>
  </si>
  <si>
    <t>Uber (corrida) - 03/06/2026 - pagador: Daisy Ferreira Braga de Souza</t>
  </si>
  <si>
    <t>Uber (corrida) - 23/05/2026 - pagador: Daisy Ferreira Braga de Souza</t>
  </si>
  <si>
    <t>Uber (corrida) - 22/05/2026 - pagador: Daisy Ferreira Braga de Souza</t>
  </si>
  <si>
    <t>Uber (corrida) - 21/05/2026 - pagador: Daisy Ferreira Braga de Souza</t>
  </si>
  <si>
    <t>Uber (corrida) - 18/05/2026 - pagador: Daisy Ferreira Braga de Souza</t>
  </si>
  <si>
    <t>Uber (corrida) - 14/05/2026 - pagador: Daisy Ferreira Braga de Souza</t>
  </si>
  <si>
    <t>Uber (corrida) - 13/05/2026 - pagador: Daisy Ferreira Braga de Souza</t>
  </si>
  <si>
    <t>Uber (corrida) - 12/05/2026 - pagador: Daisy Ferreira Braga de Souza</t>
  </si>
  <si>
    <t>Uber (corrida) - 10/05/2026 - pagador: Daisy Ferreira Braga de Souza</t>
  </si>
  <si>
    <t>Uber (corrida) - 08/05/2026 - pagador: Daisy Ferreira Braga de Souza</t>
  </si>
  <si>
    <t>Uber (corrida) - 07/05/2026 - pagador: Daisy Ferreira Braga de Souza</t>
  </si>
  <si>
    <t>Uber (corrida) - 02/05/2026 - pagador: Daisy Ferreira Braga de Souza</t>
  </si>
  <si>
    <t>Uber (corrida) - 24/04/2026 - pagador: Daisy Ferreira Braga de Souza</t>
  </si>
  <si>
    <t>Uber (corrida) - 23/04/2026 - pagador: Daisy Ferreira Braga de Souza</t>
  </si>
  <si>
    <t>Uber (corrida) - 16/04/2026 - pagador: Daisy Ferreira Braga de Souza</t>
  </si>
  <si>
    <t>Uber (corrida) - 15/04/2026 - pagador: Daisy Ferreira Braga de Souza</t>
  </si>
  <si>
    <t>Uber (corrida) - 10/04/2026 - pagador: Daisy Ferreira Braga de Souza</t>
  </si>
  <si>
    <t>Uber (corrida) - 09/04/2026 - pagador: Daisy Ferreira Braga de Souza</t>
  </si>
  <si>
    <t>Uber (corrida) - 08/04/2026 - pagador: Daisy Ferreira Braga de Souza</t>
  </si>
  <si>
    <t>Uber (corrida) - 07/04/2026 - pagador: Daisy Ferreira Braga de Souza</t>
  </si>
  <si>
    <t>Uber (corrida) - 06/04/2026 - pagador: Daisy Ferreira Braga de Souza</t>
  </si>
  <si>
    <t>Uber (corrida) - 03/04/2026 - pagador: Daisy Ferreira Braga de Souza</t>
  </si>
  <si>
    <t>Uber (corrida) - 27/03/2026 - pagador: Daisy Ferreira Braga de Souza</t>
  </si>
  <si>
    <t>Uber (corrida) - 26/03/2026 - pagador: Daisy Ferreira Braga de Souza</t>
  </si>
  <si>
    <t>Uber (corrida) - 21/03/2026 - pagador: UBER DO BRASIL TECNOLOGIA LTDA</t>
  </si>
  <si>
    <t>Uber (corrida) - 21/03/2026 - pagador: Daisy Ferreira Braga de Souza</t>
  </si>
  <si>
    <t>Uber (corrida) - 19/03/2026 - pagador: Daisy Ferreira Braga de Souza</t>
  </si>
  <si>
    <t>Uber (corrida) - 18/03/2026 - pagador: Daisy Ferreira Braga de Souza</t>
  </si>
  <si>
    <t>Uber (corrida) - 17/03/2026 - pagador: UBER DO BRASIL TECNOLOGIA LTDA</t>
  </si>
  <si>
    <t>Uber (corrida) - 17/03/2026 - pagador: Daisy Ferreira Braga de Souza</t>
  </si>
  <si>
    <t>Uber (corrida) - 16/03/2026 - pagador: Daisy Ferreira Braga de Souza</t>
  </si>
  <si>
    <t>Uber (corrida) - 13/03/2026 - pagador: Daisy Ferreira Braga de Souza</t>
  </si>
  <si>
    <t>Uber (corrida) - 12/03/2026 - pagador: Daisy Ferreira Braga de Souza</t>
  </si>
  <si>
    <t>Uber (corrida) - 11/03/2026 - pagador: Daisy Ferreira Braga de Souza</t>
  </si>
  <si>
    <t>Uber (corrida) - 09/03/2026 - pagador: Daisy Ferreira Braga de Souza</t>
  </si>
  <si>
    <t>Uber (corrida) - 06/03/2026 - pagador: Daisy Ferreira Braga de Souza</t>
  </si>
  <si>
    <t>Uber (corrida) - 05/03/2026 - pagador: Daisy Ferreira Braga de Souza</t>
  </si>
  <si>
    <t>Uber (corrida) - 04/03/2026 - pagador: Daisy Ferreira Braga de Souza</t>
  </si>
  <si>
    <t>Uber (corrida) - 03/03/2026 - pagador: Daisy Ferreira Braga de Souza</t>
  </si>
  <si>
    <t>Uber (corrida) - 01/03/2026 - pagador: Daisy Ferreira Braga de Souza</t>
  </si>
  <si>
    <t>Uber (corrida) - 28/02/2026 - pagador: Daisy Ferreira Braga de Souza</t>
  </si>
  <si>
    <t>Uber (corrida) - 27/02/2026 - pagador: Daisy Ferreira Braga de Souza</t>
  </si>
  <si>
    <t>Uber (corrida) - 26/02/2026 - pagador: Daisy Ferreira Braga de Souza</t>
  </si>
  <si>
    <t>Uber (corrida) - 25/02/2026 - pagador: Daisy Ferreira Braga de Souza</t>
  </si>
  <si>
    <t>Uber (corrida) - 24/02/2026 - pagador: Daisy Ferreira Braga de Souza</t>
  </si>
  <si>
    <t>Uber (corrida) - 23/02/2026 - pagador: Daisy Ferreira Braga de Souza</t>
  </si>
  <si>
    <t>Uber (corrida) - 20/02/2026 - pagador: Daisy Ferreira Braga de Souza</t>
  </si>
  <si>
    <t>Uber (corrida) - 11/02/2026 - pagador: Daisy Ferreira Braga de Souza</t>
  </si>
  <si>
    <t>Uber (corrida) - 09/02/2026 - pagador: Daisy Ferreira Braga de Souza</t>
  </si>
  <si>
    <t>Uber (corrida) - 08/02/2026 - pagador: Daisy Ferreira Braga de Souza</t>
  </si>
  <si>
    <t>Uber (corrida) - 06/02/2026 - pagador: Daisy Ferreira Braga de Souza</t>
  </si>
  <si>
    <t>Uber (corrida) - 05/02/2026 - pagador: Daisy Ferreira Braga de Souza</t>
  </si>
  <si>
    <t>Uber (corrida) - 04/02/2026 - pagador: Daisy Ferreira Braga de Souza</t>
  </si>
  <si>
    <t>Uber (corrida) - 03/02/2026 - pagador: Daisy Ferreira Braga de Souza</t>
  </si>
  <si>
    <t>Uber (corrida) - 02/02/2026 - pagador: Daisy Ferreira Braga de Souza</t>
  </si>
  <si>
    <t>Uber (corrida) - 28/01/2026 - pagador: Daisy Ferreira Braga de Souza</t>
  </si>
  <si>
    <t>Uber (corrida) - 26/01/2026 - pagador: Daisy Ferreira Braga de Souza</t>
  </si>
  <si>
    <t>Uber (corrida) - 24/01/2026 - pagador: Daisy Ferreira Braga de Souza</t>
  </si>
  <si>
    <t>Uber (corrida) - 22/01/2026 - pagador: Daisy Ferreira Braga de Souza</t>
  </si>
  <si>
    <t>Uber (corrida) - 21/01/2026 - pagador: Daisy Ferreira Braga de Souza</t>
  </si>
  <si>
    <t>Uber (corrida) - 20/01/2026 - pagador: Daisy Ferreira Braga de Souza</t>
  </si>
  <si>
    <t>Uber (corrida) - 18/01/2026 - pagador: Daisy Ferreira Braga de Souza</t>
  </si>
  <si>
    <t>Uber (corrida) - 16/01/2026 - pagador: Daisy Ferreira Braga de Souza</t>
  </si>
  <si>
    <t>Uber (corrida) - 15/01/2026 - pagador: Daisy Ferreira Braga de Souza</t>
  </si>
  <si>
    <t>Uber (corrida) - 11/01/2026 - pagador: Daisy Ferreira Braga de Souza</t>
  </si>
  <si>
    <t>Uber (corrida) - 10/01/2026 - pagador: Daisy Ferreira Braga de Souza</t>
  </si>
  <si>
    <t>Uber (corrida) - 09/01/2026 - pagador: Daisy Ferreira Braga de Souza</t>
  </si>
  <si>
    <t>Uber (corrida) - 08/01/2026 - pagador: Daisy Ferreira Braga de Souza</t>
  </si>
  <si>
    <t>Uber (corrida) - 04/01/2026 - pagador: Daisy Ferreira Braga de Souza</t>
  </si>
  <si>
    <t>Total filtrado</t>
  </si>
  <si>
    <t>Qtd.</t>
  </si>
  <si>
    <t>Controle nº 72, 73, 74, 75, 76, 77, 78, 79, 80, 81, 82, 83, 84, 85, 86, 87, 88, 89, 90, 91, 92, 93, 94, 95, 96, 97, 98, 99, 100, 101, 102, 103, 104, 105, 106, 107, 108, 109, 110, 111, 112, 113, 114, 115, 116, 117, 118, 119, 120, 121, 122, 123, 124, 125, 126, 127, 128, 129, 130, 131, 132, 133, 134, 135, 136, 137, 138, 139, 140, 141, 142, 143, 144, 145, 146, 147, 148, 149, 150, 151, 152, 153, 154, 155, 156, 157, 158, 159, 160, 161, 162, 163, 164, 165, 166, 167, 168, 169, 170, 171, 172, 173, 174, 175, 176, 177, 178, 179, 180, 181, 182, 183, 184, 185, 186, 187, 188, 189, 190, 191, 192, 193, 194, 195, 196, 197, 198, 199, 200, 201, 202, 203, 204, 205, 206, 207, 208, 209, 210, 211, 212, 213, 214, 215, 216, 217, 218, 219, 220, 221, 222, 223, 224, 225, 226, 227, 228, 229, 230, 231, 232, 233, 234, 235, 236, 237, 238, 239, 240, 241, 242, 243, 244, 245, 246, 247, 248, 249, 250, 251, 252, 253, 254, 255, 256, 257, 258, 259, 260, 261, 262, 263, 264, 265, 266, 267, 268, 269, 270, 271, 272, 273, 274, 275, 276, 277, 278, 279, 280, 281, 282, 283, 284, 285, 286, 287, 288, 289, 290, 291, 292, 293, 294, 295, 296, 297, 298, 299, 300, 301, 302, 303, 304</t>
  </si>
  <si>
    <t>Academia Pratique</t>
  </si>
  <si>
    <t>comprovantes\Esporte e desenvolvimento\GCompartilhar comprovante(142).png</t>
  </si>
  <si>
    <t>2a8812eca281e406f1de33fc646648c8</t>
  </si>
  <si>
    <t>Academia e atividades esportivas</t>
  </si>
  <si>
    <t>comprovantes\Esporte e desenvolvimento\academia-agosto.jpg</t>
  </si>
  <si>
    <t>d20bf577fac6dc761d1dfe46276fd1d1</t>
  </si>
  <si>
    <t>comprovantes\Esporte e desenvolvimento\GCompartilhar comprovante(272).png</t>
  </si>
  <si>
    <t>c378580d32ae90d98c7bec68930b3787</t>
  </si>
  <si>
    <t>esporte e desenvolvimento</t>
  </si>
  <si>
    <t>Pix (transferência) - 08/09/2026 - pagador: Daisy Ferreira Braga de Souza</t>
  </si>
  <si>
    <t>Pix (transferência) - 14/08/2026 - pagador: Daisy Ferreira Braga de Souza</t>
  </si>
  <si>
    <t>Pix (transferência) - 08/05/2026 - pagador: Daisy Ferreira Braga de Souza</t>
  </si>
  <si>
    <t>Controle nº 58, 55, 304, 305</t>
  </si>
  <si>
    <t>Escolinha e aula de esportes</t>
  </si>
  <si>
    <t>Claro</t>
  </si>
  <si>
    <t>comprovantes\Comunicação e tecnologia\GCompartilhar comprovante(17).png</t>
  </si>
  <si>
    <t>307b78bb1f731d6f964d97c344533eab</t>
  </si>
  <si>
    <t>comprovantes\Comunicação e tecnologia\GCompartilhar comprovante(40).png</t>
  </si>
  <si>
    <t>793563b94b0751b4b1c0bd47f18c3ad6</t>
  </si>
  <si>
    <t>comprovantes\Comunicação e tecnologia\fatura celular Gabriel janeiro_.png</t>
  </si>
  <si>
    <t>b32b6495d30991dbab4c4e57a1f896b3</t>
  </si>
  <si>
    <t>comprovantes\Comunicação e tecnologia\GCompartilhar comprovante(73).png</t>
  </si>
  <si>
    <t>04165c3fd170c5a6b2d62f097727d624</t>
  </si>
  <si>
    <t>comprovantes\Comunicação e tecnologia\celular-Gabriel-março.png</t>
  </si>
  <si>
    <t>f9287c89821881d29adef8872786e696</t>
  </si>
  <si>
    <t>comprovantes\Comunicação e tecnologia\GCompartilhar comprovante(113).png</t>
  </si>
  <si>
    <t>021b51bdd653684e4072945589e0529b</t>
  </si>
  <si>
    <t>comprovantes\Comunicação e tecnologia\Fatura de abril.pdf</t>
  </si>
  <si>
    <t>71b209e25c09478a6efb657830a48513</t>
  </si>
  <si>
    <t>comprovantes\Comunicação e tecnologia\Fatura de maio.pdf</t>
  </si>
  <si>
    <t>299de9456c40525bc1984da1456c20a9</t>
  </si>
  <si>
    <t>comprovantes\Comunicação e tecnologia\GCompartilhar comprovante(165).png</t>
  </si>
  <si>
    <t>60472d199a55bb913a9c12a4bab13895</t>
  </si>
  <si>
    <t>comprovantes\Comunicação e tecnologia\Fatura de junho.pdf</t>
  </si>
  <si>
    <t>d3c7c5b650e18cba18d47140decd785e</t>
  </si>
  <si>
    <t>comprovantes\Comunicação e tecnologia\Fatura de julho.pdf</t>
  </si>
  <si>
    <t>02683a1061a77a32cec96c0a8055d587</t>
  </si>
  <si>
    <t>BTT Telecomunicações</t>
  </si>
  <si>
    <t>AIBR</t>
  </si>
  <si>
    <t>comunicacao e tecnologia</t>
  </si>
  <si>
    <t>Fatura - 15/07/2026 - pagador: DAISY FERREIRA BRAGA DE SOUZA</t>
  </si>
  <si>
    <t>Fatura - 15/06/2026 - pagador: DAISY FERREIRA BRAGA DE SOUZA</t>
  </si>
  <si>
    <t>Fatura - 28/05/2026 - pagador: GABRIEL ARTHUR</t>
  </si>
  <si>
    <t>Fatura - 15/05/2026 - pagador: DAISY FERREIRA BRAGA DE SOUZA</t>
  </si>
  <si>
    <t>Fatura - 15/04/2026 - pagador: DAISY FERREIRA BRAGA DE SOUZA</t>
  </si>
  <si>
    <t>Fatura - 23/03/2026 - pagador: GABRIEL ARTHUR</t>
  </si>
  <si>
    <t>Fatura - 05/03/2026 - pagador: DAISY FERREIRA BRAGA DE SOUZA</t>
  </si>
  <si>
    <t>Fatura - 19/02/2026 - pagador: GABRIEL ARTHUR</t>
  </si>
  <si>
    <t>Fatura - 02/02/2026 - pagador: DAISY FERREIRA BRAGA DE SOUZA</t>
  </si>
  <si>
    <t>Fatura - 26/01/2026 - pagador: GABRIEL ARTHUR</t>
  </si>
  <si>
    <t>Fatura - 13/01/2026 - pagador: GABRIEL ARTHUR</t>
  </si>
  <si>
    <t>Controle nº 56, 57, 58, 306, 307, 308, 309, 310, 311, 312, 313</t>
  </si>
  <si>
    <t>Plano de telefonia celular/Equipamentos</t>
  </si>
  <si>
    <t>Daisy Ferreira Braga de Souza</t>
  </si>
  <si>
    <t>Boutique Instrumentos</t>
  </si>
  <si>
    <t>comprovantes\Educação\NF-Violino.jpg</t>
  </si>
  <si>
    <t>48800a728f050f587d520283116867ce</t>
  </si>
  <si>
    <t>COL CHROMOS SERRANO</t>
  </si>
  <si>
    <t>comprovantes\Educação\Compartilhar comprovante(3).png</t>
  </si>
  <si>
    <t>dbf7456db4fe9436c2338b9c0e8684e8</t>
  </si>
  <si>
    <t>comprovantes\Educação\Compartilhar comprovante(4).png</t>
  </si>
  <si>
    <t>fd6b236056f6729190d95e602eba789b</t>
  </si>
  <si>
    <t>comprovantes\Educação\Compartilhar comprovante(1).png</t>
  </si>
  <si>
    <t>d80c03186f660ebb2bec85a8c0073c53</t>
  </si>
  <si>
    <t>comprovantes\Educação\Compartilhar comprovante(2).png</t>
  </si>
  <si>
    <t>74b080558eaa68a22a058613c21e0ede</t>
  </si>
  <si>
    <t>comprovantes\Educação\Compartilhar comprovante.png</t>
  </si>
  <si>
    <t>391ee0acba09f67f254037727c437307</t>
  </si>
  <si>
    <t>comprovantes\Educação\escola janeiro_.png</t>
  </si>
  <si>
    <t>bc855a49d84baa20f1e69bb3c466f42c</t>
  </si>
  <si>
    <t>LOJAS MAE</t>
  </si>
  <si>
    <t>comprovantes\Educação\uniforme escola_.png</t>
  </si>
  <si>
    <t>ac3a931ad2ca1101ae83e08527027bf8</t>
  </si>
  <si>
    <t>PAPELARIA DUKITO</t>
  </si>
  <si>
    <t>comprovantes\Educação\GCompartilhar comprovante(51).png</t>
  </si>
  <si>
    <t>6385cab9d84e83fab8b9f833e8a0e201</t>
  </si>
  <si>
    <t>CAMILA ALVES GONZAGA</t>
  </si>
  <si>
    <t>comprovantes\Educação\violino fevereiro comprovante.png</t>
  </si>
  <si>
    <t>155f742eb1d4406e79cf1e7b65b4f588</t>
  </si>
  <si>
    <t>Chromos</t>
  </si>
  <si>
    <t>comprovantes\Educação\boleto-escola-março.pdf</t>
  </si>
  <si>
    <t>43552f1fac6d8df088313781ff7df0d1</t>
  </si>
  <si>
    <t>comprovantes\Educação\violino-março-comprovante.png</t>
  </si>
  <si>
    <t>3570c47084eea489bcbf055b72f6b5cc</t>
  </si>
  <si>
    <t>Target Educacional Eireli EPP</t>
  </si>
  <si>
    <t>comprovantes\Educação\boleto-escola-abril.pdf</t>
  </si>
  <si>
    <t>5c1c69b5eed3042d1e6bc650150af94a</t>
  </si>
  <si>
    <t>comprovantes\Educação\violino-abril-comprovante.png</t>
  </si>
  <si>
    <t>f39d1a7dd9034b6e37e9d3054c4f8ccb</t>
  </si>
  <si>
    <t>comprovantes\Educação\boleto-escola-maio.pdf</t>
  </si>
  <si>
    <t>8add6819031a3ed96f4d3e72e2ebaf33</t>
  </si>
  <si>
    <t>Camila Alves Gonzaga</t>
  </si>
  <si>
    <t>comprovantes\Educação\violino-maio-Comprovante.png</t>
  </si>
  <si>
    <t>2d1c526ced29fe034ef44a5d10d5c0f6</t>
  </si>
  <si>
    <t>comprovantes\Educação\boleto-escola-jun.pdf</t>
  </si>
  <si>
    <t>e1c3939a14e9ee6501d5b31828917b0e</t>
  </si>
  <si>
    <t>Victor Vinícius Lopes Frias Vimieiro de Medeiros</t>
  </si>
  <si>
    <t>comprovantes\Educação\GCompartilhar comprovante(173).png</t>
  </si>
  <si>
    <t>ff586bd61de28a1d2a1a9819b85534d3</t>
  </si>
  <si>
    <t>INEP (ENEM)</t>
  </si>
  <si>
    <t>comprovantes\Educação\BoletoENEM.pdf</t>
  </si>
  <si>
    <t>4c6c0f32f270256bb8ff1c8822e4fbbb</t>
  </si>
  <si>
    <t>comprovantes\Educação\violinho-junho-comprovante.png</t>
  </si>
  <si>
    <t>f0ebb5136200d6d1c6a3dd90edfc90b0</t>
  </si>
  <si>
    <t>comprovantes\Educação\boleto-escola-julho.pdf</t>
  </si>
  <si>
    <t>01b5a4c19be4648ff805bf91504e03b2</t>
  </si>
  <si>
    <t>e0bf4c650faf249d6049ff3af1c8dc74</t>
  </si>
  <si>
    <t>Musicalia Comercio de Livros Musicais</t>
  </si>
  <si>
    <t>comprovantes\Educação\livros-educação-musica.pdf</t>
  </si>
  <si>
    <t>a9029295670501e469a19a2b5c62a6c7</t>
  </si>
  <si>
    <t>comprovantes\Educação\violino-julho- comprovante.png</t>
  </si>
  <si>
    <t>40201829d3a3170646dea95eaf9d72c8</t>
  </si>
  <si>
    <t>14b3e5c9e39ea9e272893172833b45a8</t>
  </si>
  <si>
    <t>comprovantes\Educação\GCompartilhar comprovante(268).png</t>
  </si>
  <si>
    <t>c2b945c1d3c24f94f698c0d562dac81a</t>
  </si>
  <si>
    <t>comprovantes\Educação\violino-agosto-comprovante.png</t>
  </si>
  <si>
    <t>3ccf5353602fe8d019e3465774383a1b</t>
  </si>
  <si>
    <t>educacao</t>
  </si>
  <si>
    <t>Pix (transferência) - 01/09/2026 - pagador: Gabriel Arthur Braga Fernandes</t>
  </si>
  <si>
    <t>Pix (transferência) - 06/08/2026 - pagador: Gabriel Arthur Braga Fernandes</t>
  </si>
  <si>
    <t>Pix (transferência) - 14/07/2026 - pagador: Daisy Ferreira Braga de Souza</t>
  </si>
  <si>
    <t>Compra online (livros) - 08/07/2026 - pagador: Daisy Ferreira Braga de Souza</t>
  </si>
  <si>
    <t>Pix (transferência) - 06/07/2026 - pagador: Gabriel Arthur Braga Fernandes</t>
  </si>
  <si>
    <t>Boleto (escola) - 01/07/2026 - pagador: DAISY FERREIRA BRAGA DE SOUZA</t>
  </si>
  <si>
    <t>Pix (transferência) - 16/06/2026 - pagador: Daisy Ferreira Braga de Souza</t>
  </si>
  <si>
    <t>Boleto (ENEM) - 10/06/2026 - pagador: GABRIEL ARTHUR BRAGA FERNANDES</t>
  </si>
  <si>
    <t>Controle nº 322, 322</t>
  </si>
  <si>
    <t>Pix (transferência) - 05/06/2026 - pagador: Gabriel Arthur Braga Fernandes</t>
  </si>
  <si>
    <t>Boleto (escola) - 01/06/2026 - pagador: DAISY FERREIRA BRAGA DE SOUZA</t>
  </si>
  <si>
    <t>Pix (transferência) - 11/05/2026 - pagador: Daisy Ferreira Braga de Souza</t>
  </si>
  <si>
    <t>Boleto (escola) - 01/05/2026 - pagador: DAISY FERREIRA BRAGA DE SOUZA</t>
  </si>
  <si>
    <t>Pix (transferência) - 14/04/2026 - pagador: Daisy Ferreira Braga de Souza</t>
  </si>
  <si>
    <t>Boleto (escola) - 01/04/2026 - pagador: DAISY FERREIRA BRAGA DE SOUZA</t>
  </si>
  <si>
    <t>Pix (transferência) - 06/03/2026 - pagador: Daisy Ferreira Braga de Souza</t>
  </si>
  <si>
    <t>Outro - 01/03/2026 - pagador: Daisy Ferreira Braga de Souza</t>
  </si>
  <si>
    <t>Pix (transferência) - 06/02/2026 - pagador: Daisy Ferreira Braga de Souza</t>
  </si>
  <si>
    <t>Pix (transferência) - 04/02/2026 - pagador: Gabriel Arthur Braga Fernandes</t>
  </si>
  <si>
    <t>Controle nº 318, 332, 333, 318, 332</t>
  </si>
  <si>
    <t>Pix (transferência) - 30/01/2026 - pagador: Daisy Ferreira Braga de Souza</t>
  </si>
  <si>
    <t>Pix (transferência) - 29/01/2026 - pagador: Daisy Ferreira Braga de Souza</t>
  </si>
  <si>
    <t>Pix (transferência) - 07/01/2026 - pagador: Daisy Ferreira Braga de Souza</t>
  </si>
  <si>
    <t>Controle nº 320, 324, 326, 328, 330, 334, 335, 336, 337, 338, 339, 320, 324, 326, 328, 330, 333, 334, 335, 336, 337</t>
  </si>
  <si>
    <t>Controle nº 314, 315, 316, 317, 319, 321, 323, 325, 327, 329, 331, 340, 314, 315, 316, 317, 319, 321, 323, 325, 327, 329, 331, 338</t>
  </si>
  <si>
    <t>Não</t>
  </si>
  <si>
    <t>Nâo</t>
  </si>
  <si>
    <t>Pix (transferência) - 02/02/2026 - pagador: Daisy Ferreira Braga de Souza</t>
  </si>
  <si>
    <t>Controle nº 339</t>
  </si>
  <si>
    <t>Controle nº 340</t>
  </si>
  <si>
    <t>BTT TELECOMUNICAÇÕES</t>
  </si>
  <si>
    <t>comprovantes\Moradia\boleto internet janeiro-comprovante.png</t>
  </si>
  <si>
    <t>433899db2503d0c222f0964e45996d47</t>
  </si>
  <si>
    <t>comprovantes\Moradia\Boleto internet janeiro_.png</t>
  </si>
  <si>
    <t>44c447db009d4c69330bb406e0b6f74a</t>
  </si>
  <si>
    <t>Metha Energia</t>
  </si>
  <si>
    <t>comprovantes\Moradia\energia elétrica janeiro_.png</t>
  </si>
  <si>
    <t>0a7048fb2914c978345694e5e6447cc8</t>
  </si>
  <si>
    <t>Giardino di Napoli (condomínio)</t>
  </si>
  <si>
    <t>comprovantes\Moradia\abril-Agua.pdf</t>
  </si>
  <si>
    <t>e16e0a37d3b1405157510d647c29ab16</t>
  </si>
  <si>
    <t>Maria Efigênia Alves Silva</t>
  </si>
  <si>
    <t>comprovantes\Moradia\faxina-março.png</t>
  </si>
  <si>
    <t>29ca3f55a04e14e8c365daca5b5cb610</t>
  </si>
  <si>
    <t>PREF MUN CONTAGEM</t>
  </si>
  <si>
    <t>comprovantes\Moradia\IPTU.png</t>
  </si>
  <si>
    <t>531af5a9851a749cfa156161541b52e5</t>
  </si>
  <si>
    <t>Consorcio Avantti Mth</t>
  </si>
  <si>
    <t>comprovantes\Moradia\energia-eletrica-março.png</t>
  </si>
  <si>
    <t>57835b92ce89440602a4733a543468b6</t>
  </si>
  <si>
    <t>Pacto Administradora</t>
  </si>
  <si>
    <t>comprovantes\Moradia\condom-março.pdf</t>
  </si>
  <si>
    <t>3dd30716fac35c1bf7a0d33f7a2802c6</t>
  </si>
  <si>
    <t>BTT TELECOMUNICACOES S</t>
  </si>
  <si>
    <t>comprovantes\Moradia\Boleto_internet-março.pdf</t>
  </si>
  <si>
    <t>b27d218af7d934cdaee660ee01767f3d</t>
  </si>
  <si>
    <t>comprovantes\Moradia\maio-Agua.pdf</t>
  </si>
  <si>
    <t>871184d84d1aa49d383abc409e1e9865</t>
  </si>
  <si>
    <t>FENIX GAS</t>
  </si>
  <si>
    <t>comprovantes\Moradia\Gás abril.png</t>
  </si>
  <si>
    <t>c1e9644dd8065e9471f31a98a1d6253a</t>
  </si>
  <si>
    <t>Fenix Gas e Agua LTDA</t>
  </si>
  <si>
    <t>comprovantes\Moradia\gás-mai.png</t>
  </si>
  <si>
    <t>e67e64d36bdeaa1939b3a9114880f1de</t>
  </si>
  <si>
    <t>comprovantes\Moradia\condom-abril.pdf</t>
  </si>
  <si>
    <t>a28412eed99461855a51eb766cc9063c</t>
  </si>
  <si>
    <t>comprovantes\Moradia\energia-eletrica-abril.pdf</t>
  </si>
  <si>
    <t>8b3f1d551a8708b9d83947dfae2b5c3e</t>
  </si>
  <si>
    <t>comprovantes\Moradia\Boleto_internet-abril.pdf</t>
  </si>
  <si>
    <t>11bb1657713dd5c946cdb76a7eff988a</t>
  </si>
  <si>
    <t>comprovantes\Moradia\condom-maio.pdf</t>
  </si>
  <si>
    <t>9b7cb3a18e298f1514d4c8c4b48c344d</t>
  </si>
  <si>
    <t>comprovantes\Moradia\Boleto_internet-maio14219370.pdf</t>
  </si>
  <si>
    <t>6d3864410b88da384a80b2a26c0db052</t>
  </si>
  <si>
    <t>comprovantes\Moradia\GCompartilhar comprovante(162).png</t>
  </si>
  <si>
    <t>ab90e1c89d6d3bde88d46e4d2dbcf481</t>
  </si>
  <si>
    <t>CONTAGEM COMERCIAL DE 9 FERRAGENS LTDA</t>
  </si>
  <si>
    <t>comprovantes\Moradia\GCompartilhar comprovante(169).png</t>
  </si>
  <si>
    <t>12786ce0deccc0f65650ee1124ffde41</t>
  </si>
  <si>
    <t>comprovantes\Moradia\condom-jun.pdf</t>
  </si>
  <si>
    <t>e2306359d4001880bede76972c9ef15d</t>
  </si>
  <si>
    <t>comprovantes\Moradia\energia-elétrica-maio.pdf</t>
  </si>
  <si>
    <t>7011ac9d8502c1207abcb3f8983f6099</t>
  </si>
  <si>
    <t>comprovantes\Moradia\Boleto_internet-jun-14219370.pdf</t>
  </si>
  <si>
    <t>5c2ce65779d2d0642d7aa05a1dbe1aa4</t>
  </si>
  <si>
    <t>GAS RODRIGUES LTDA</t>
  </si>
  <si>
    <t>comprovantes\Moradia\gás-jul.png</t>
  </si>
  <si>
    <t>30dc52b07b052dcc0fd2e3d137773bcf</t>
  </si>
  <si>
    <t>comprovantes\Moradia\julho-Agua (1).pdf</t>
  </si>
  <si>
    <t>bf74744c599d827ba2e0831201abf9c0</t>
  </si>
  <si>
    <t>comprovantes\Moradia\condom-jul.pdf</t>
  </si>
  <si>
    <t>b18ad6827c6cfd6ad2c4495b1044dc8d</t>
  </si>
  <si>
    <t>comprovantes\Moradia\Boleto_internet-jul-14219370.pdf</t>
  </si>
  <si>
    <t>ac458bc10eb6d38fb91d0d739b7e4272</t>
  </si>
  <si>
    <t>comprovantes\Moradia\energia-elétrica-jun.pdf</t>
  </si>
  <si>
    <t>02cbf6a5379cacaf216bd23bcc5a33df</t>
  </si>
  <si>
    <t>comprovantes\Moradia\faxina-julho.png</t>
  </si>
  <si>
    <t>180f9bd9a481079a0a5eec343ddcda22</t>
  </si>
  <si>
    <t>comprovantes\Moradia\agosto-Agua.pdf</t>
  </si>
  <si>
    <t>a43441611839e14d5c2e6b7866d40641</t>
  </si>
  <si>
    <t>comprovantes\Moradia\condom-agos.pdf</t>
  </si>
  <si>
    <t>6c0b51a32c749037b9c1cd6f6c062c1a</t>
  </si>
  <si>
    <t>comprovantes\Moradia\Boleto_internet-agosto.pdf</t>
  </si>
  <si>
    <t>e14f4b682e8afe4d3c0b7eb7ac3ecbd2</t>
  </si>
  <si>
    <t>moradia</t>
  </si>
  <si>
    <t>Boleto (internet) - 20/08/2026 - pagador: Beneficiário BTT TELECOMUNICACOES S</t>
  </si>
  <si>
    <t>Boleto (condomínio) - 17/08/2026 - pagador: Daisy Ferreira Braga de Souza</t>
  </si>
  <si>
    <t>Conta de água - 01/08/2026 - pagador: Daisy Ferreira Braga de Souza</t>
  </si>
  <si>
    <t>Pix (transferência) - 24/07/2026 - pagador: Daisy Ferreira Braga de Souza</t>
  </si>
  <si>
    <t>Fatura de energia - 20/07/2026 - pagador: Daisy Ferreira Braga de Souza</t>
  </si>
  <si>
    <t>Boleto (internet) - 20/07/2026 - pagador: Beneficiário BTT TELECOMUNICACOES S</t>
  </si>
  <si>
    <t>Boleto (condomínio) - 15/07/2026 - pagador: Daisy Ferreira Braga de Souza</t>
  </si>
  <si>
    <t>Conta de água - 01/07/2026 - pagador: Daisy Ferreira Braga de Souza</t>
  </si>
  <si>
    <t>Gás (app) - 01/07/2026 - pagador: Daisy Ferreira Braga de Souza</t>
  </si>
  <si>
    <t>Boleto (internet) - 20/06/2026 - pagador: Beneficiário BTT TELECOMUNICACOES S</t>
  </si>
  <si>
    <t>Fatura de energia - 18/06/2026 - pagador: Daisy Ferreira Braga de Souza</t>
  </si>
  <si>
    <t>Boleto (condomínio) - 15/06/2026 - pagador: Daisy Ferreira Braga de Souza</t>
  </si>
  <si>
    <t>Pix (transferência) - 02/06/2026 - pagador: Daisy Ferreira Braga de Souza</t>
  </si>
  <si>
    <t>Pix (transferência) - 27/05/2026 - pagador: Daisy Ferreira Braga de Souza</t>
  </si>
  <si>
    <t>Boleto (internet) - 20/05/2026 - pagador: Beneficiário BTT TELECOMUNICACOES S</t>
  </si>
  <si>
    <t>Boleto (condomínio) - 11/05/2026 - pagador: Daisy Ferreira Braga de Souza</t>
  </si>
  <si>
    <t>Boleto (internet) - 20/04/2026 - pagador: Beneficiário BTT TELECOMUNICACOES S</t>
  </si>
  <si>
    <t>Fatura de energia - 17/04/2026 - pagador: Daisy Ferreira Braga de Souza</t>
  </si>
  <si>
    <t>Controle nº 345, 351, 358</t>
  </si>
  <si>
    <t>Boleto (condomínio) - 15/04/2026 - pagador: Daisy Ferreira Braga de Souza</t>
  </si>
  <si>
    <t>Gás (app) - 11/04/2026 - pagador: Daisy Ferreira Braga de Souza</t>
  </si>
  <si>
    <t>Controle nº 349, 360</t>
  </si>
  <si>
    <t>Pix (transferência) - 11/04/2026 - pagador: Daisy Ferreira Braga de Souza</t>
  </si>
  <si>
    <t>Conta de água - 01/04/2026 - pagador: Daisy Ferreira Braga de Souza</t>
  </si>
  <si>
    <t>Boleto (internet) - 20/03/2026 - pagador: Beneficiário BTT TELECOMUNICACOES S</t>
  </si>
  <si>
    <t>Boleto (condomínio) - 16/03/2026 - pagador: Daisy Ferreira Braga de Souza</t>
  </si>
  <si>
    <t>Pix (transferência) - 05/03/2026 - pagador: Daisy Ferreira Braga de Souza</t>
  </si>
  <si>
    <t>Pix (pagamento) - 05/03/2026 - pagador: Daisy Ferreira Braga de Souza</t>
  </si>
  <si>
    <t>Controle nº 366</t>
  </si>
  <si>
    <t>Pix (transferência) - 04/03/2026 - pagador: Daisy Ferreira Braga de Souza</t>
  </si>
  <si>
    <t>Controle nº 344, 367</t>
  </si>
  <si>
    <t>Conta de água - 02/03/2026 - pagador: Daisy Ferreira Braga de Souza</t>
  </si>
  <si>
    <t>Controle nº 353, 354, 361, 365, 369</t>
  </si>
  <si>
    <t>Pix - 13/01/2026 - pagador: Daisy Ferreira Braga de Souza</t>
  </si>
  <si>
    <t>Controle nº 341, 346, 350, 355, 357, 363, 370, 371</t>
  </si>
  <si>
    <t>PUSHINPAY</t>
  </si>
  <si>
    <t>comprovantes\Lazer e convivência\GCompartilhar comprovante.png</t>
  </si>
  <si>
    <t>e63117d159465ede427176ceffc4338a</t>
  </si>
  <si>
    <t>GAS AMERICANAS 1053</t>
  </si>
  <si>
    <t>comprovantes\Lazer e convivência\Compartilhar comprovante(5).png</t>
  </si>
  <si>
    <t>10e75facb95b0af3b0574715e9b750ed</t>
  </si>
  <si>
    <t>CONTAGEM COMERCIAL DE</t>
  </si>
  <si>
    <t>comprovantes\Lazer e convivência\Compartilhar comprovante(6).png</t>
  </si>
  <si>
    <t>d56a306140023df0289ebeb9d4160848</t>
  </si>
  <si>
    <t>GIRASSOL PRESENTES LTD</t>
  </si>
  <si>
    <t>comprovantes\Lazer e convivência\Compartilhar comprovante(7).png</t>
  </si>
  <si>
    <t>1f214f2d7cef1ec5d3a0e8fbc0cb409f</t>
  </si>
  <si>
    <t>LOJA Y</t>
  </si>
  <si>
    <t>comprovantes\Lazer e convivência\Compartilhar comprovante(8).png</t>
  </si>
  <si>
    <t>731cfb7e774bac0778c4020f4c6fa677</t>
  </si>
  <si>
    <t>SH CONTAGEM 1001 FESTA</t>
  </si>
  <si>
    <t>comprovantes\Lazer e convivência\Compartilhar comprovante(9).png</t>
  </si>
  <si>
    <t>af020810a23f68811f7f67675aa5b748</t>
  </si>
  <si>
    <t>SQALAPAY PAGAMENTOS LTDA</t>
  </si>
  <si>
    <t>comprovantes\Lazer e convivência\GCompartilhar comprovante(32).png</t>
  </si>
  <si>
    <t>f762fef8a981f7251942b290255bbfa3</t>
  </si>
  <si>
    <t>MEP*Sava Pub Burguer</t>
  </si>
  <si>
    <t>comprovantes\Lazer e convivência\GCompartilhar comprovante(23).png</t>
  </si>
  <si>
    <t>bdec7354380443425d0a3c45d83b5589</t>
  </si>
  <si>
    <t>comprovantes\Lazer e convivência\GCompartilhar comprovante(24).png</t>
  </si>
  <si>
    <t>c48518e37fc21389a5b092ec3f99f2b7</t>
  </si>
  <si>
    <t>VICTORIA LOPES</t>
  </si>
  <si>
    <t>comprovantes\Lazer e convivência\GCompartilhar comprovante(25).png</t>
  </si>
  <si>
    <t>89fb1496ab3e5283f1723707c0632f9b</t>
  </si>
  <si>
    <t>SHPP BRASIL INSTITUICAO DE PAG</t>
  </si>
  <si>
    <t>comprovantes\Lazer e convivência\GCompartilhar comprovante(18).png</t>
  </si>
  <si>
    <t>f44dd891f4a4184c899c7930a45766f9</t>
  </si>
  <si>
    <t>IFD*IFOOD CLUB</t>
  </si>
  <si>
    <t>comprovantes\Lazer e convivência\Compartilhar comprovante(4).png</t>
  </si>
  <si>
    <t>3d4dcb029c350b27ffe93200f3476fa8</t>
  </si>
  <si>
    <t>MILKY MOO</t>
  </si>
  <si>
    <t>comprovantes\Lazer e convivência\Compartilhar comprovante(2).png</t>
  </si>
  <si>
    <t>1f8e0a68a79073ede1528dcd4fc23928</t>
  </si>
  <si>
    <t>AVATIM</t>
  </si>
  <si>
    <t>comprovantes\Lazer e convivência\Compartilhar comprovante(3).png</t>
  </si>
  <si>
    <t>e44ccea0bc57f8f599d5d59a9433a0ff</t>
  </si>
  <si>
    <t>comprovantes\Lazer e convivência\GCompartilhar comprovante(7).png</t>
  </si>
  <si>
    <t>2eeebfc3d1663fc4e613939c04e1c557</t>
  </si>
  <si>
    <t>MARIA EDUARDA</t>
  </si>
  <si>
    <t>comprovantes\Lazer e convivência\GCompartilhar comprovante(39).png</t>
  </si>
  <si>
    <t>cccb8b5fe63285bdf28cbe3c230f8880</t>
  </si>
  <si>
    <t>MVM BOMBONIERE E CAFE LTDA</t>
  </si>
  <si>
    <t>comprovantes\Lazer e convivência\Compartilhar comprovante.png</t>
  </si>
  <si>
    <t>f503438621fd8a9a9cdc854958f60844</t>
  </si>
  <si>
    <t>SHPP BRASIL INSTITUICAO 9 DE PAG</t>
  </si>
  <si>
    <t>comprovantes\Lazer e convivência\GCompartilhar comprovante(53).png</t>
  </si>
  <si>
    <t>7f339d1790956966c49b5662323a16b0</t>
  </si>
  <si>
    <t>SONIA MARIA DE SOUZA</t>
  </si>
  <si>
    <t>comprovantes\Lazer e convivência\GCompartilhar comprovante(63).png</t>
  </si>
  <si>
    <t>321f2aa64fc58c4fcd2a004fe1d9de86</t>
  </si>
  <si>
    <t>STAFEBANK</t>
  </si>
  <si>
    <t>comprovantes\Lazer e convivência\GCompartilhar comprovante(67).png</t>
  </si>
  <si>
    <t>9d7c35b7f57e06c85b50728ed3b7e209</t>
  </si>
  <si>
    <t>comprovantes\Lazer e convivência\GCompartilhar comprovante(72).png</t>
  </si>
  <si>
    <t>ebc2ac47b2fb23c65f2dd7a53b85c0be</t>
  </si>
  <si>
    <t>PAY2ALL INSTITUICAO DE PAGAMENTO LTDA</t>
  </si>
  <si>
    <t>comprovantes\Lazer e convivência\GCompartilhar comprovante(82).png</t>
  </si>
  <si>
    <t>a4bd9abcbbbdbd592af80323c242790f</t>
  </si>
  <si>
    <t>PIX Marketplace</t>
  </si>
  <si>
    <t>comprovantes\Lazer e convivência\GCompartilhar comprovante(85).png</t>
  </si>
  <si>
    <t>100faa4ba061bd757dbde2c4d164df3c</t>
  </si>
  <si>
    <t>HAVANNA</t>
  </si>
  <si>
    <t>comprovantes\Lazer e convivência\Compartilhar comprovante(32).png</t>
  </si>
  <si>
    <t>b52a587fb820c876beb63f97f48c5c87</t>
  </si>
  <si>
    <t>GOOGLE Spotif</t>
  </si>
  <si>
    <t>comprovantes\Lazer e convivência\Compartilhar comprovante(31).png</t>
  </si>
  <si>
    <t>6b6725e2c8903032902c640361d3d0a7</t>
  </si>
  <si>
    <t>PAGSEGURO INTERNATIONAL</t>
  </si>
  <si>
    <t>comprovantes\Lazer e convivência\GCompartilhar comprovante(97).png</t>
  </si>
  <si>
    <t>b51b77f435ad125dffb4beecfdd92be6</t>
  </si>
  <si>
    <t>NETFLIX ENTRETENIMENTO o)</t>
  </si>
  <si>
    <t>comprovantes\Lazer e convivência\Compartilhar comprovante(30).png</t>
  </si>
  <si>
    <t>ddf30d55eb57319f19c3784234e2771d</t>
  </si>
  <si>
    <t>CONEXAO ACAI GOURMET</t>
  </si>
  <si>
    <t>comprovantes\Lazer e convivência\Compartilhar comprovante(33).png</t>
  </si>
  <si>
    <t>507c99d1bd925d9b667084620e1316b0</t>
  </si>
  <si>
    <t>MEAPLE</t>
  </si>
  <si>
    <t>comprovantes\Lazer e convivência\GCompartilhar comprovante(98).png</t>
  </si>
  <si>
    <t>18979b591d332bc6241bd7d0ccc3dd45</t>
  </si>
  <si>
    <t>SUBWAY ELDORADO</t>
  </si>
  <si>
    <t>comprovantes\Lazer e convivência\Compartilhar comprovante(34).png</t>
  </si>
  <si>
    <t>b6eed085c55a22370de51ba4b2e58d5a</t>
  </si>
  <si>
    <t>CACAU SHOW</t>
  </si>
  <si>
    <t>comprovantes\Lazer e convivência\Compartilhar comprovante(28).png</t>
  </si>
  <si>
    <t>eea440e5cff7c1f85391cb4bcaf05e9e</t>
  </si>
  <si>
    <t>IFOOD CLUB</t>
  </si>
  <si>
    <t>comprovantes\Lazer e convivência\Compartilhar comprovante(29).png</t>
  </si>
  <si>
    <t>e2786af3b7392c2606c28efb5911ef1a</t>
  </si>
  <si>
    <t>comprovantes\Lazer e convivência\GCompartilhar comprovante(102).png</t>
  </si>
  <si>
    <t>cfad9946a2b1d9d9fee3d885f25606f4</t>
  </si>
  <si>
    <t>comprovantes\Lazer e convivência\Compartilhar comprovante(35).png</t>
  </si>
  <si>
    <t>31f6d2b63f69dc1afe9ff60dea53b4c4</t>
  </si>
  <si>
    <t>UBER ONE MEMBERSHIP U o)</t>
  </si>
  <si>
    <t>comprovantes\Lazer e convivência\Compartilhar comprovante(27).png</t>
  </si>
  <si>
    <t>df3d2ec7d438c29d9fcd0a6e517dead8</t>
  </si>
  <si>
    <t>comprovantes\Lazer e convivência\GCompartilhar comprovante(119).png</t>
  </si>
  <si>
    <t>066a78b11a7ba3b51b0dacd315a9b0d1</t>
  </si>
  <si>
    <t>Google Spotify Musicic</t>
  </si>
  <si>
    <t>comprovantes\Lazer e convivência\Compartilhar comprovante(26).png</t>
  </si>
  <si>
    <t>c712b970c2783d0ab8e3a152762c6393</t>
  </si>
  <si>
    <t>RestauranteZh</t>
  </si>
  <si>
    <t>comprovantes\Lazer e convivência\Compartilhar comprovante(36).png</t>
  </si>
  <si>
    <t>85aaca43b63f60a184fdbb8e82f133c1</t>
  </si>
  <si>
    <t>BarbaraLuizaSales</t>
  </si>
  <si>
    <t>comprovantes\Lazer e convivência\Compartilhar comprovante(39).png</t>
  </si>
  <si>
    <t>863f78ab57aa287cd93bd76b087ceb4d</t>
  </si>
  <si>
    <t>SUBWAY</t>
  </si>
  <si>
    <t>comprovantes\Lazer e convivência\Compartilhar comprovante(38).png</t>
  </si>
  <si>
    <t>5be68a08bdb4a48e8060281b76eef4e3</t>
  </si>
  <si>
    <t>NETFLIX.COM</t>
  </si>
  <si>
    <t>comprovantes\Lazer e convivência\Compartilhar comprovante(25).png</t>
  </si>
  <si>
    <t>0e4a8ad45ccea0053f0f5c92f2f74463</t>
  </si>
  <si>
    <t>AMARAL MUSICAL</t>
  </si>
  <si>
    <t>comprovantes\Lazer e convivência\GCompartilhar comprovante(125).png</t>
  </si>
  <si>
    <t>6bc14a768f3d048c31eeb343d7fdd076</t>
  </si>
  <si>
    <t>DELÍCIAS COLOMBIANAS</t>
  </si>
  <si>
    <t>comprovantes\Lazer e convivência\Compartilhar comprovante(37).png</t>
  </si>
  <si>
    <t>8596c8f3ebfa7c47160ea2cda2a38d69</t>
  </si>
  <si>
    <t>comprovantes\Lazer e convivência\Compartilhar comprovante(24).png</t>
  </si>
  <si>
    <t>501a634316c4787ddc465e30c4bedf74</t>
  </si>
  <si>
    <t>comprovantes\Lazer e convivência\Compartilhar comprovante(40).png</t>
  </si>
  <si>
    <t>639804c638dea1fcaf8c216ec0d49985</t>
  </si>
  <si>
    <t>SABOR GAUCHO EVENTOS</t>
  </si>
  <si>
    <t>comprovantes\Lazer e convivência\Compartilhar comprovante(41).png</t>
  </si>
  <si>
    <t>3cb00401289dd46a662811a73effc864</t>
  </si>
  <si>
    <t>comprovantes\Lazer e convivência\GCompartilhar comprovante(135).png</t>
  </si>
  <si>
    <t>11f763f3e5f019fe9e0c83bb3116e86e</t>
  </si>
  <si>
    <t>GOOGLE Spotify Music</t>
  </si>
  <si>
    <t>comprovantes\Lazer e convivência\Compartilhar comprovante(52).png</t>
  </si>
  <si>
    <t>e8a2c4c54017fda53b160ddb9cb30120</t>
  </si>
  <si>
    <t>comprovantes\Lazer e convivência\Compartilhar comprovante(51).png</t>
  </si>
  <si>
    <t>6dd45c3e7e8e535c3d2128a9d5b83b83</t>
  </si>
  <si>
    <t>comprovantes\Lazer e convivência\Compartilhar comprovante(50).png</t>
  </si>
  <si>
    <t>34fad7d61ebcc2c88a54db64d1e61a7f</t>
  </si>
  <si>
    <t>DL GOOGLE Moovit</t>
  </si>
  <si>
    <t>comprovantes\Lazer e convivência\Compartilhar comprovante(20).png</t>
  </si>
  <si>
    <t>6b358a114e5074c9f7aa650d2fb1bbec</t>
  </si>
  <si>
    <t>OOGLE Spotify Music</t>
  </si>
  <si>
    <t>comprovantes\Lazer e convivência\Compartilhar comprovante(49).png</t>
  </si>
  <si>
    <t>4c3e61a4c7c71a1d6165f294ed13498e</t>
  </si>
  <si>
    <t>comprovantes\Lazer e convivência\Compartilhar comprovante(48).png</t>
  </si>
  <si>
    <t>7bad74e38bef29e968b7050a81a8eea4</t>
  </si>
  <si>
    <t>AIBR INSTITUICAO DE 9 PAGAMENTO LTDA</t>
  </si>
  <si>
    <t>comprovantes\Lazer e convivência\GCompartilhar comprovante(175).png</t>
  </si>
  <si>
    <t>0e57cfda7d90d6087af3f89064532882</t>
  </si>
  <si>
    <t>comprovantes\Lazer e convivência\Compartilhar comprovante(47).png</t>
  </si>
  <si>
    <t>b19e414c4a6ea6eb76e5b7b5ca021cb4</t>
  </si>
  <si>
    <t>comprovantes\Lazer e convivência\GCompartilhar comprovante(176).png</t>
  </si>
  <si>
    <t>c151fe41c88e0399ff5e5a8a8a6c1f04</t>
  </si>
  <si>
    <t>comprovantes\Lazer e convivência\GCompartilhar comprovante(177).png</t>
  </si>
  <si>
    <t>58fddbe48a422fd88f042f2a76c62807</t>
  </si>
  <si>
    <t>comprovantes\Lazer e convivência\Compartilhar comprovante(16).png</t>
  </si>
  <si>
    <t>f1e773cbd0052d346fe82a0e846d90fa</t>
  </si>
  <si>
    <t>RESTAURANTE ZH</t>
  </si>
  <si>
    <t>comprovantes\Lazer e convivência\Compartilhar comprovante(43).png</t>
  </si>
  <si>
    <t>146148e3f5c611c81f5fe25072c821fb</t>
  </si>
  <si>
    <t>BRUNO LINCOLN LIMA FONSECA</t>
  </si>
  <si>
    <t>comprovantes\Lazer e convivência\GCompartilhar comprovante(199).png</t>
  </si>
  <si>
    <t>08ce1281c942c6c5e253f5a423d5b95b</t>
  </si>
  <si>
    <t>comprovantes\Lazer e convivência\Compartilhar comprovante(46).png</t>
  </si>
  <si>
    <t>816fa64639430e60863fa296103eaaea</t>
  </si>
  <si>
    <t>comprovantes\Lazer e convivência\Compartilhar comprovante(45).png</t>
  </si>
  <si>
    <t>cffbade47a30e861f36aca49da148417</t>
  </si>
  <si>
    <t>PADARIA GRAN PANNE EMPREENDIME</t>
  </si>
  <si>
    <t>comprovantes\Lazer e convivência\Compartilhar comprovante(42).png</t>
  </si>
  <si>
    <t>4925b6a25e94e883a61017ec29d7eda1</t>
  </si>
  <si>
    <t>comprovantes\Lazer e convivência\GCompartilhar comprovante(210).png</t>
  </si>
  <si>
    <t>2b1ad689d78d39651712395bed20e60e</t>
  </si>
  <si>
    <t>comprovantes\Lazer e convivência\Compartilhar comprovante(44).png</t>
  </si>
  <si>
    <t>3c1e93b72e78ffb7cb0f1864f0e2f1d6</t>
  </si>
  <si>
    <t>TICKET TECH LTDA</t>
  </si>
  <si>
    <t>comprovantes\Lazer e convivência\GCompartilhar comprovante(222).png</t>
  </si>
  <si>
    <t>a68b15a5c7d50f924da57199efaa6332</t>
  </si>
  <si>
    <t>comprovantes\Lazer e convivência\Compartilhar comprovante(13).png</t>
  </si>
  <si>
    <t>be0b3ffd9e41581c565a3d462ac7c820</t>
  </si>
  <si>
    <t>comprovantes\Lazer e convivência\GCompartilhar comprovante(245).png</t>
  </si>
  <si>
    <t>4d6ae38a0dc365df681d564ceeffc4f7</t>
  </si>
  <si>
    <t>comprovantes\Lazer e convivência\Compartilhar comprovante(11).png</t>
  </si>
  <si>
    <t>6b0260c6a2b7d761d77ebd02398e5959</t>
  </si>
  <si>
    <t>MADE IN KOREA MINAS 9 GERAIS</t>
  </si>
  <si>
    <t>comprovantes\Lazer e convivência\GCompartilhar comprovante(258).png</t>
  </si>
  <si>
    <t>c8f2a7f7f31ff2d498ed9ba7ecaf719d</t>
  </si>
  <si>
    <t>comprovantes\Lazer e convivência\GCompartilhar comprovante(267).png</t>
  </si>
  <si>
    <t>a3396bdf1165dd5ad53828fd9f21b331</t>
  </si>
  <si>
    <t>PRA'ACA SHOPPING CONTA</t>
  </si>
  <si>
    <t>comprovantes\Lazer e convivência\Compartilhar comprovante(10).png</t>
  </si>
  <si>
    <t>738e02e1043369a77fb979a8d6c400b5</t>
  </si>
  <si>
    <t>DM*Spotify</t>
  </si>
  <si>
    <t>comprovantes\Lazer e convivência\Compartilhar comprovante(1).png</t>
  </si>
  <si>
    <t>e4d6b9be3d6e0a2cb97bc97596544c2d</t>
  </si>
  <si>
    <t>+ tabelecimen STB*Bonina Presentes</t>
  </si>
  <si>
    <t>comprovantes\Lazer e convivência\GCompartilhar comprovante(42).png</t>
  </si>
  <si>
    <t>cf3e0a71a4b5c6346f19221574cdd82e</t>
  </si>
  <si>
    <t>lazer e convivencia</t>
  </si>
  <si>
    <t>Débito (cartão) - 26/01/2026 - pagador: GARBIEL ARTHUR</t>
  </si>
  <si>
    <t>Cartão de crédito - 02/09/2026 - pagador: Daisy Ferreira Braga de Souza</t>
  </si>
  <si>
    <t>Pix (transferência) - 29/08/2026 - pagador: GABRIEL ARTHUR</t>
  </si>
  <si>
    <t>Pix (transferência) - 22/08/2026 - pagador: GABRIEL ARTHUR</t>
  </si>
  <si>
    <t>Cartão de crédito - 17/08/2026 - pagador: Daisy Ferreira Braga de Souza</t>
  </si>
  <si>
    <t>Pix (transferência) - 14/08/2026 - pagador: GABRIEL ARTHUR</t>
  </si>
  <si>
    <t>Cartão de crédito - 03/08/2026 - pagador: Daisy Ferreira Braga de Souza</t>
  </si>
  <si>
    <t>Pix (transferência) - 01/08/2026 - pagador: GABRIEL ARTHUR</t>
  </si>
  <si>
    <t>Cartão de crédito - 16/07/2026 - pagador: Daisy Ferreira Braga de Souza</t>
  </si>
  <si>
    <t>Pix (transferência) - 13/07/2026 - pagador: GABRIEL ARTHUR</t>
  </si>
  <si>
    <t>Cartão de crédito - 10/07/2026 - pagador: Daisy Ferreira Braga de Souza</t>
  </si>
  <si>
    <t>Cartão de crédito - 03/07/2026 - pagador: Daisy Ferreira Braga de Souza</t>
  </si>
  <si>
    <t>Pix (transferência) - 23/06/2026 - pagador: GABRIEL ARTHUR</t>
  </si>
  <si>
    <t>Débito (cartão) - 19/06/2026 - pagador: Daisy Ferreira Braga de Souza</t>
  </si>
  <si>
    <t>Cartão de crédito - 16/06/2026 - pagador: Daisy Ferreira Braga de Souza</t>
  </si>
  <si>
    <t>Pix (transferência) - 10/06/2026 - pagador: GABRIEL ARTHUR</t>
  </si>
  <si>
    <t>Cartão de crédito - 09/06/2026 - pagador: Daisy Ferreira Braga de Souza</t>
  </si>
  <si>
    <t>Pix (transferência) - 08/06/2026 - pagador: GABRIEL ARTHUR</t>
  </si>
  <si>
    <t>Cartão de crédito - 07/06/2026 - pagador: Daisy Ferreira Braga de Souza</t>
  </si>
  <si>
    <t>Cartão de crédito - 03/06/2026 - pagador: Daisy Ferreira Braga de Souza</t>
  </si>
  <si>
    <t>Cartão de crédito - 18/05/2026 - pagador: Daisy Ferreira Braga de Souza</t>
  </si>
  <si>
    <t>Cartão de crédito - 16/05/2026 - pagador: Daisy Ferreira Braga de Souza</t>
  </si>
  <si>
    <t>Cartão de crédito - 09/05/2026 - pagador: Daisy Ferreira Braga de Souza</t>
  </si>
  <si>
    <t>Cartão de crédito - 08/05/2026 - pagador: Daisy Ferreira Braga de Souza</t>
  </si>
  <si>
    <t>Pix (transferência) - 01/05/2026 - pagador: GABRIEL ARTHUR</t>
  </si>
  <si>
    <t>Débito (cartão) - 24/04/2026 - pagador: Daisy Ferreira Braga de Souza</t>
  </si>
  <si>
    <t>Cartão de crédito - 16/04/2026 - pagador: Daisy Ferreira Braga de Souza</t>
  </si>
  <si>
    <t>Débito (cartão) - 14/04/2026 - pagador: Daisy Ferreira Braga de Souza</t>
  </si>
  <si>
    <t>Pix (transferência) - 10/04/2026 - pagador: GABRIEL ARTHUR</t>
  </si>
  <si>
    <t>Cartão de crédito - 09/04/2026 - pagador: Daisy Ferreira Braga de Souza</t>
  </si>
  <si>
    <t>Cartão de crédito - 03/04/2026 - pagador: Daisy Ferreira Braga de Souza</t>
  </si>
  <si>
    <t>Pix (transferência) - 02/04/2026 - pagador: GABRIEL ARTHUR</t>
  </si>
  <si>
    <t>Cartão de crédito - 02/04/2026 - pagador: Daisy Ferreira Braga de Souza</t>
  </si>
  <si>
    <t>Pix (transferência) - 16/03/2026 - pagador: GABRIEL ARTHUR</t>
  </si>
  <si>
    <t>Cartão de crédito - 16/03/2026 - pagador: Daisy Ferreira Braga de Souza</t>
  </si>
  <si>
    <t>Débito (cartão) - 12/03/2026 - pagador: Daisy Ferreira Braga de Souza</t>
  </si>
  <si>
    <t>Pix (transferência) - 10/03/2026 - pagador: GABRIEL ARTHUR</t>
  </si>
  <si>
    <t>Cartão de crédito - 09/03/2026 - pagador: Daisy Ferreira Braga de Souza</t>
  </si>
  <si>
    <t>Pix (transferência) - 07/03/2026 - pagador: GABRIEL ARTHUR</t>
  </si>
  <si>
    <t>Cartão de crédito - 05/03/2026 - pagador: Daisy Ferreira Braga de Souza</t>
  </si>
  <si>
    <t>Pix (transferência) - 25/02/2026 - pagador: GABRIEL ARTHUR</t>
  </si>
  <si>
    <t>Pix (transferência) - 22/02/2026 - pagador: GABRIEL ARTHUR</t>
  </si>
  <si>
    <t>Pix (transferência) - 19/02/2026 - pagador: GARBEIL ARTHUR</t>
  </si>
  <si>
    <t>Pix (transferência) - 15/02/2026 - pagador: GABRIEL ARTHUR</t>
  </si>
  <si>
    <t>Pix (transferência) - 10/02/2026 - pagador: GABRIEL ARTHUR</t>
  </si>
  <si>
    <t>Pix (transferência) - 06/02/2026 - pagador: GABRIEL ARTHUR</t>
  </si>
  <si>
    <t>Pix (transferência) - 26/01/2026 - pagador: Daisy Ferreira Braga de Souza</t>
  </si>
  <si>
    <t>Pix (transferência) - 25/01/2026 - pagador: GABRIEL ARTHUR</t>
  </si>
  <si>
    <t>Débito (cartão) - 20/01/2026 - pagador: GARBEIL ARTHUR</t>
  </si>
  <si>
    <t>Débito (cartão) - 20/01/2026 - pagador: Daisy Ferreira Braga de Souza</t>
  </si>
  <si>
    <t>Débito (cartão) - 16/01/2026 - pagador: Daisy Ferreira Braga de Souza</t>
  </si>
  <si>
    <t>Controle nº 377, 379, 381, 384, 385, 388, 391, 393, 394, 396, 397, 398, 402, 405, 409, 411, 414, 419, 421, 434</t>
  </si>
  <si>
    <t>Pix (transferência) - 13/01/2026 - pagador: GABRIEL ARTHUR</t>
  </si>
  <si>
    <t>Pix (transferência) - 09/01/2026 - pagador: GABRIEL ARTHUR</t>
  </si>
  <si>
    <t>Débito (cartão) - 09/01/2026 - pagador: GABRIEL ARTHUR</t>
  </si>
  <si>
    <t>Pix (transferência) - 08/01/2026 - pagador: GABRIEL ARTHUR</t>
  </si>
  <si>
    <t>Débito (cartão) - 08/01/2026 - pagador: Daisy Ferreira Braga de Souza</t>
  </si>
  <si>
    <t>Pix (transferência) - 03/01/2026 - pagador: GABRIEL ARTHUR</t>
  </si>
  <si>
    <t>Controle nº 374, 375, 376, 378, 380, 382, 383, 386, 387, 389, 390, 392, 395, 399, 400, 401, 403, 404, 406, 407, 408, 410, 412, 413, 415, 416, 417, 418, 420, 422, 423, 424, 425, 426, 427, 428, 429, 430, 431, 432, 433, 435, 436, 437, 438, 439, 440, 441, 442, 443, 444, 445</t>
  </si>
  <si>
    <t>pede ORGANIZACOES SUPER COM</t>
  </si>
  <si>
    <t>comprovantes\Alimentação\Compartilhar comprovante(13).png</t>
  </si>
  <si>
    <t>ab818117f8b8c68759f9b547f580d521</t>
  </si>
  <si>
    <t>cs yprAMERCADOS BH</t>
  </si>
  <si>
    <t>comprovantes\Alimentação\Compartilhar comprovante(23).png</t>
  </si>
  <si>
    <t>a1ddcbfee2943544ca904f3e0e794ff4</t>
  </si>
  <si>
    <t>iFood</t>
  </si>
  <si>
    <t>comprovantes\Alimentação\Compartilhar comprovante(9).png</t>
  </si>
  <si>
    <t>66dbc103a99c12b5f036019dd0ce8680</t>
  </si>
  <si>
    <t>comprovantes\Alimentação\Compartilhar comprovante(17).png</t>
  </si>
  <si>
    <t>d6a01a3caf2bc0cc32e9295ea922d807</t>
  </si>
  <si>
    <t>MEU PRATA LOJA 1</t>
  </si>
  <si>
    <t>comprovantes\Alimentação\Compartilhar comprovante(25).png</t>
  </si>
  <si>
    <t>1b770b934c11e3e3942f044d3a067245</t>
  </si>
  <si>
    <t>comprovantes\Alimentação\Compartilhar comprovante(24).png</t>
  </si>
  <si>
    <t>f3c992fbd308f07d4cf67301b692df4b</t>
  </si>
  <si>
    <t>cs prRMERCADO CASTELO</t>
  </si>
  <si>
    <t>comprovantes\Alimentação\Compartilhar comprovante(22).png</t>
  </si>
  <si>
    <t>5890bc31c0aca50359a9c27c207ace35</t>
  </si>
  <si>
    <t>Estabe MOMENTO SUPER NOSSO lecime CA</t>
  </si>
  <si>
    <t>comprovantes\Alimentação\Compartilhar comprovante(19).png</t>
  </si>
  <si>
    <t>4ba1c630e904221a7b9d65de7f8d949f</t>
  </si>
  <si>
    <t>comprovantes\Alimentação\Compartilhar comprovante(21).png</t>
  </si>
  <si>
    <t>44635807229dc92c22b665984d5bbbd1</t>
  </si>
  <si>
    <t>CASA DE BOLO</t>
  </si>
  <si>
    <t>comprovantes\Alimentação\Compartilhar comprovante(18).png</t>
  </si>
  <si>
    <t>e1556b0c1ea299b43738af95ecfc7442</t>
  </si>
  <si>
    <t>comprovantes\Alimentação\GCompartilhar comprovante(29).png</t>
  </si>
  <si>
    <t>b5e82d1eda1b9d14ff3cf851e8492c3f</t>
  </si>
  <si>
    <t>MARCIO-EDUARDOARRU</t>
  </si>
  <si>
    <t>comprovantes\Alimentação\GCompartilhar comprovante(20).png</t>
  </si>
  <si>
    <t>45c870dada027b589f08f1dfd0a51783</t>
  </si>
  <si>
    <t>comprovantes\Alimentação\GCompartilhar comprovante(19).png</t>
  </si>
  <si>
    <t>d44785f8995c4bcf74e0cee695d17290</t>
  </si>
  <si>
    <t>pede “ABCCABRALDAS GRALH</t>
  </si>
  <si>
    <t>comprovantes\Alimentação\Compartilhar comprovante(15).png</t>
  </si>
  <si>
    <t>95edcceee89378239ebc8aef74a6da83</t>
  </si>
  <si>
    <t>comprovantes\Alimentação\Compartilhar comprovante(16).png</t>
  </si>
  <si>
    <t>9d83f44f9e4a63994238fa94205194f4</t>
  </si>
  <si>
    <t>comprovantes\Alimentação\GCompartilhar comprovante(15).png</t>
  </si>
  <si>
    <t>f47d2ce9335e5b36ca5d0c703cf572c2</t>
  </si>
  <si>
    <t>sACOLAO E MERCEARIA DO</t>
  </si>
  <si>
    <t>comprovantes\Alimentação\GCompartilhar comprovante(16).png</t>
  </si>
  <si>
    <t>3fe234b70f1cea4f7183b2c89c6e8ec2</t>
  </si>
  <si>
    <t>VENDINHA CABRAL</t>
  </si>
  <si>
    <t>comprovantes\Alimentação\GCompartilhar comprovante(10).png</t>
  </si>
  <si>
    <t>464fb6acda82ea08fb2b55205c99f394</t>
  </si>
  <si>
    <t>SUPERMERCADO CASTELO</t>
  </si>
  <si>
    <t>comprovantes\Alimentação\GCompartilhar comprovante(12).png</t>
  </si>
  <si>
    <t>cbce751168f4c18a5a8a605f05c133b0</t>
  </si>
  <si>
    <t>Açougue Costello</t>
  </si>
  <si>
    <t>comprovantes\Alimentação\GCompartilhar comprovante(13).png</t>
  </si>
  <si>
    <t>5e6e54fb72dae5320c88329320056c27</t>
  </si>
  <si>
    <t>PADARIA PÃO DE MEL</t>
  </si>
  <si>
    <t>comprovantes\Alimentação\GCompartilhar comprovante(8).png</t>
  </si>
  <si>
    <t>a66102e3fe70df6c1fd479d8c1bc2866</t>
  </si>
  <si>
    <t>ABCCABRAL</t>
  </si>
  <si>
    <t>comprovantes\Alimentação\GCompartilhar comprovante(9).png</t>
  </si>
  <si>
    <t>bdb2a07e256964184fb80b152e561cd0</t>
  </si>
  <si>
    <t>comprovantes\Alimentação\Compartilhar comprovante(14).png</t>
  </si>
  <si>
    <t>802b9c7a4dcf15029836958933f36bf0</t>
  </si>
  <si>
    <t>comprovantes\Alimentação\GCompartilhar comprovante(4).png</t>
  </si>
  <si>
    <t>268bfe7f21ef91ed605ffb9e2dda7ac8</t>
  </si>
  <si>
    <t>comprovantes\Alimentação\Compartilhar comprovante(12).png</t>
  </si>
  <si>
    <t>667b236f2645dec5a2de1776aecd387b</t>
  </si>
  <si>
    <t>HIPER CARIJOS</t>
  </si>
  <si>
    <t>comprovantes\Alimentação\GCompartilhar comprovante(1).png</t>
  </si>
  <si>
    <t>aafa34e3a72bc4685ca71cfd62ec006e</t>
  </si>
  <si>
    <t>MOMENTO SUPER NOSSO CA</t>
  </si>
  <si>
    <t>comprovantes\Alimentação\GCompartilhar comprovante(34).png</t>
  </si>
  <si>
    <t>eb0fc1c43016fcf64fcdd8272855adcd</t>
  </si>
  <si>
    <t>WMS SUPERMERCADOS DO BRASIL LTDA</t>
  </si>
  <si>
    <t>comprovantes\Alimentação\Compartilhar comprovante(11).png</t>
  </si>
  <si>
    <t>6995054ab5ae5d8fbb10f5e3467578c8</t>
  </si>
  <si>
    <t>comprovantes\Alimentação\GCompartilhar comprovante(38).png</t>
  </si>
  <si>
    <t>525536fcf25ce11f30b3e082df99e8e7</t>
  </si>
  <si>
    <t>Eder Rodrigo Machado Lima</t>
  </si>
  <si>
    <t>comprovantes\Alimentação\GCompartilhar comprovante(46).png</t>
  </si>
  <si>
    <t>e67810bd6c88a85dd88ab35c07d88ff6</t>
  </si>
  <si>
    <t>SACOLAO DO NIVALDO</t>
  </si>
  <si>
    <t>comprovantes\Alimentação\GCompartilhar comprovante(47).png</t>
  </si>
  <si>
    <t>dccc270698c35fa90d7bb522cda9363b</t>
  </si>
  <si>
    <t>comprovantes\Alimentação\Compartilhar comprovante(10).png</t>
  </si>
  <si>
    <t>de03a699ecca7d95d513b9d3f34f833d</t>
  </si>
  <si>
    <t>SUPERMERCADOS BH</t>
  </si>
  <si>
    <t>comprovantes\Alimentação\Compartilhar comprovante(8).png</t>
  </si>
  <si>
    <t>9369dc584bd4afe496e87a8981ec7405</t>
  </si>
  <si>
    <t>ESTACAO HORTIFRUTI</t>
  </si>
  <si>
    <t>comprovantes\Alimentação\GCompartilhar comprovante(49).png</t>
  </si>
  <si>
    <t>77dcf578151ad198e6d443f5e96860e4</t>
  </si>
  <si>
    <t>comprovantes\Alimentação\Compartilhar comprovante(7).png</t>
  </si>
  <si>
    <t>50e2bc8c3435c435aeff7a73f08f3cc4</t>
  </si>
  <si>
    <t>IFOOD</t>
  </si>
  <si>
    <t>comprovantes\Alimentação\Compartilhar comprovante(6).png</t>
  </si>
  <si>
    <t>8d291d598af863a4cc85841ca8991154</t>
  </si>
  <si>
    <t>comprovantes\Alimentação\GCompartilhar comprovante(56).png</t>
  </si>
  <si>
    <t>fa56acc95c5a1fef461b3e81be62818c</t>
  </si>
  <si>
    <t>comprovantes\Alimentação\GCompartilhar comprovante(58).png</t>
  </si>
  <si>
    <t>e772b1929eca88108077ce9e5c5a329d</t>
  </si>
  <si>
    <t>MERCADO PAGO</t>
  </si>
  <si>
    <t>comprovantes\Alimentação\GCompartilhar comprovante(60).png</t>
  </si>
  <si>
    <t>a063984c76d8ce4e218a217727b512bc</t>
  </si>
  <si>
    <t>comprovantes\Alimentação\GCompartilhar comprovante(61).png</t>
  </si>
  <si>
    <t>308e1eb1c70070aa3d669c656cf06f7d</t>
  </si>
  <si>
    <t>comprovantes\Alimentação\Compartilhar comprovante(5).png</t>
  </si>
  <si>
    <t>fa13baa3bc8172e24ce2ff8f3dfc42b0</t>
  </si>
  <si>
    <t>DILENE DA COSTA SILVA</t>
  </si>
  <si>
    <t>comprovantes\Alimentação\GCompartilhar comprovante(66).png</t>
  </si>
  <si>
    <t>917fb4bf94ad0ac2e50bab63abe34e32</t>
  </si>
  <si>
    <t>comprovantes\Alimentação\Compartilhar comprovante(4).png</t>
  </si>
  <si>
    <t>f6aacd197d07168d32844582daa80116</t>
  </si>
  <si>
    <t>comprovantes\Alimentação\Compartilhar comprovante(2).png</t>
  </si>
  <si>
    <t>fae86742348821ac44481197a29feffe</t>
  </si>
  <si>
    <t>comprovantes\Alimentação\Compartilhar comprovante(3).png</t>
  </si>
  <si>
    <t>46e0aaeb4ba962c6e3d99b6eacb9150f</t>
  </si>
  <si>
    <t>LUIZ CARLOS RODRIGUES DE JESUS</t>
  </si>
  <si>
    <t>comprovantes\Alimentação\GCompartilhar comprovante(68).png</t>
  </si>
  <si>
    <t>59d277cd37c122c0be2ded9352e14b66</t>
  </si>
  <si>
    <t>PADARIA PAO DE MEL</t>
  </si>
  <si>
    <t>comprovantes\Alimentação\GCompartilhar comprovante(71).png</t>
  </si>
  <si>
    <t>52a354412ae331f2783be7f3feb143d6</t>
  </si>
  <si>
    <t>comprovantes\Alimentação\Compartilhar comprovante(1).png</t>
  </si>
  <si>
    <t>842e1c14d83eaa5ea37fc4fe7df493a9</t>
  </si>
  <si>
    <t>comprovantes\Alimentação\Compartilhar comprovante.png</t>
  </si>
  <si>
    <t>550880b745fcd6e0757c133a82e2bd40</t>
  </si>
  <si>
    <t>comprovantes\Alimentação\GCompartilhar comprovante(74).png</t>
  </si>
  <si>
    <t>8ae4bde6bb6ba6a8d0f894c5aba2613d</t>
  </si>
  <si>
    <t>comprovantes\Alimentação\GCompartilhar comprovante(75).png</t>
  </si>
  <si>
    <t>caa19ad330fe70a364863b1cb69cde9b</t>
  </si>
  <si>
    <t>COMERCIAL DAHANA LIMITADA</t>
  </si>
  <si>
    <t>comprovantes\Alimentação\GCompartilhar comprovante(78).png</t>
  </si>
  <si>
    <t>068b53d67c103c99a4734bb56a0a0847</t>
  </si>
  <si>
    <t>comprovantes\Alimentação\GCompartilhar comprovante(79).png</t>
  </si>
  <si>
    <t>5d299843f03be5a72f1f151346636704</t>
  </si>
  <si>
    <t>comprovantes\Alimentação\GCompartilhar comprovante(80).png</t>
  </si>
  <si>
    <t>53e35935195e5a09835f1475bf37e929</t>
  </si>
  <si>
    <t>H&amp;R ALIMENTACAO E 9 MARKETING LTDA</t>
  </si>
  <si>
    <t>comprovantes\Alimentação\GCompartilhar comprovante(83).png</t>
  </si>
  <si>
    <t>acb73a09619d58cf795d81eafaf64fd8</t>
  </si>
  <si>
    <t>ACOUGUE COSTELLO</t>
  </si>
  <si>
    <t>comprovantes\Alimentação\GCompartilhar comprovante(84).png</t>
  </si>
  <si>
    <t>b31de2e6ee88176539420a0033e6e8a5</t>
  </si>
  <si>
    <t>IFOOD COM AGENCIA DE RESTAURANTES ONLINE S A</t>
  </si>
  <si>
    <t>comprovantes\Alimentação\Compartilhar comprovante(33).png</t>
  </si>
  <si>
    <t>522b3e54d9a5ee033131eb44b46fcded</t>
  </si>
  <si>
    <t>comprovantes\Alimentação\GCompartilhar comprovante(89).png</t>
  </si>
  <si>
    <t>4aa2988a508ccaa1d94ad892423af51a</t>
  </si>
  <si>
    <t>comprovantes\Alimentação\Compartilhar comprovante(34).png</t>
  </si>
  <si>
    <t>fc532fda4e10648cd54c8cb8dd37e27f</t>
  </si>
  <si>
    <t>comprovantes\Alimentação\Compartilhar comprovante(35).png</t>
  </si>
  <si>
    <t>a03ebf0e3ff64c9f68ce822eea558113</t>
  </si>
  <si>
    <t>MM BURGUER E RESTAURANTE</t>
  </si>
  <si>
    <t>comprovantes\Alimentação\GCompartilhar comprovante(90).png</t>
  </si>
  <si>
    <t>3227b7a9b404119f645c5e631c255b3c</t>
  </si>
  <si>
    <t>comprovantes\Alimentação\GCompartilhar comprovante(91).png</t>
  </si>
  <si>
    <t>4babdedf5a400873cfc97b4e39172645</t>
  </si>
  <si>
    <t>comprovantes\Alimentação\GCompartilhar comprovante(96).png</t>
  </si>
  <si>
    <t>88d8c893bfd6f502df9829f8ad6835ca</t>
  </si>
  <si>
    <t>comprovantes\Alimentação\Compartilhar comprovante(36).png</t>
  </si>
  <si>
    <t>3fdd1cc63ee19bb72eb97ff43c829d7d</t>
  </si>
  <si>
    <t>ANDRE LUIZ CARONE DUARTE</t>
  </si>
  <si>
    <t>comprovantes\Alimentação\GCompartilhar comprovante(94).png</t>
  </si>
  <si>
    <t>91d17e3fbf822d6d2ab8b237a58b579c</t>
  </si>
  <si>
    <t>comprovantes\Alimentação\Compartilhar comprovante(37).png</t>
  </si>
  <si>
    <t>bdb16c78372e1d8cf49217f1e719cabd</t>
  </si>
  <si>
    <t>comprovantes\Alimentação\Compartilhar comprovante(38).png</t>
  </si>
  <si>
    <t>873e23fd16bf2ec07ddff1bfbeae8cd8</t>
  </si>
  <si>
    <t>comprovantes\Alimentação\Compartilhar comprovante(39).png</t>
  </si>
  <si>
    <t>36cf6349d2b51b66cc981e68aefad7af</t>
  </si>
  <si>
    <t>comprovantes\Alimentação\Compartilhar comprovante(40).png</t>
  </si>
  <si>
    <t>4ab406b13cecee2754f5f1025536fdce</t>
  </si>
  <si>
    <t>comprovantes\Alimentação\GCompartilhar comprovante(99).png</t>
  </si>
  <si>
    <t>HOLLYBURGER</t>
  </si>
  <si>
    <t>comprovantes\Alimentação\Compartilhar comprovante(41).png</t>
  </si>
  <si>
    <t>a30639dab08f3883f5d12ea99666788e</t>
  </si>
  <si>
    <t>TATA LANCHES GOURMET</t>
  </si>
  <si>
    <t>comprovantes\Alimentação\GCompartilhar comprovante(100).png</t>
  </si>
  <si>
    <t>58b22f6f7415b745d983edb1f2725ce0</t>
  </si>
  <si>
    <t>comprovantes\Alimentação\Compartilhar comprovante(42).png</t>
  </si>
  <si>
    <t>c8292ae20ea38d2c37da6c5a9825871a</t>
  </si>
  <si>
    <t>comprovantes\Alimentação\GCompartilhar comprovante(101).png</t>
  </si>
  <si>
    <t>109b9d1bce06159cf745596985d3cfc7</t>
  </si>
  <si>
    <t>comprovantes\Alimentação\Compartilhar comprovante(30).png</t>
  </si>
  <si>
    <t>30109f68b79bfe6ec564237d1ed81bf4</t>
  </si>
  <si>
    <t>comprovantes\Alimentação\GCompartilhar comprovante(103).png</t>
  </si>
  <si>
    <t>0476d3b062928f204e9bd8a0e47d024c</t>
  </si>
  <si>
    <t>comprovantes\Alimentação\Compartilhar comprovante(43).png</t>
  </si>
  <si>
    <t>93b5095d8608e5806b0e1a39e0b5ea92</t>
  </si>
  <si>
    <t>LUIGI FINE FOOD</t>
  </si>
  <si>
    <t>comprovantes\Alimentação\Compartilhar comprovante(44).png</t>
  </si>
  <si>
    <t>ca46083fb854f45a1c89520d0a895009</t>
  </si>
  <si>
    <t>comprovantes\Alimentação\GCompartilhar comprovante(107).png</t>
  </si>
  <si>
    <t>fbbbd1eadeb1361d8e08cfb30b908ebb</t>
  </si>
  <si>
    <t>comprovantes\Alimentação\Compartilhar comprovante(45).png</t>
  </si>
  <si>
    <t>1cb0fabb3190da14c9d33a3ef2094dcb</t>
  </si>
  <si>
    <t>comprovantes\Alimentação\Compartilhar comprovante(46).png</t>
  </si>
  <si>
    <t>eaa3889ffd824e313985dc23724ce438</t>
  </si>
  <si>
    <t>comprovantes\Alimentação\Compartilhar comprovante(47).png</t>
  </si>
  <si>
    <t>8280c1c811b5eac30642b7feede8d8ee</t>
  </si>
  <si>
    <t>comprovantes\Alimentação\GCompartilhar comprovante(114).png</t>
  </si>
  <si>
    <t>62058725e533e19cca9dd39bec4efedb</t>
  </si>
  <si>
    <t>comprovantes\Alimentação\GCompartilhar comprovante(115).png</t>
  </si>
  <si>
    <t>22f3d4f20c6435d460f7b01ac062253c</t>
  </si>
  <si>
    <t>MSN CABRAL</t>
  </si>
  <si>
    <t>comprovantes\Alimentação\Compartilhar comprovante(48).png</t>
  </si>
  <si>
    <t>03176cb77c2c541ce3c37f57046e2cdb</t>
  </si>
  <si>
    <t>comprovantes\Alimentação\Compartilhar comprovante(49).png</t>
  </si>
  <si>
    <t>7716d31955486fe9838daa6e4fad033b</t>
  </si>
  <si>
    <t>comprovantes\Alimentação\Compartilhar comprovante(50).png</t>
  </si>
  <si>
    <t>023930d42c364fd00b60e5bfefeffb0e</t>
  </si>
  <si>
    <t>comprovantes\Alimentação\Compartilhar comprovante(51).png</t>
  </si>
  <si>
    <t>62ab8d8794de51171e2ab48d3ed7ed9c</t>
  </si>
  <si>
    <t>comprovantes\Alimentação\Compartilhar comprovante(52).png</t>
  </si>
  <si>
    <t>5a09869a8970952250fc5247a1f98f7c</t>
  </si>
  <si>
    <t>comprovantes\Alimentação\Compartilhar comprovante(53).png</t>
  </si>
  <si>
    <t>1fb8034190222b5d4705298a89636f44</t>
  </si>
  <si>
    <t>comprovantes\Alimentação\GCompartilhar comprovante(121).png</t>
  </si>
  <si>
    <t>ba5c03a8a29419adb2345188f13d30f3</t>
  </si>
  <si>
    <t>comprovantes\Alimentação\Compartilhar comprovante(54).png</t>
  </si>
  <si>
    <t>9529a6ce42ba7b6fd7ad803cd5d42eda</t>
  </si>
  <si>
    <t>[a ANGUEIRO CARNES</t>
  </si>
  <si>
    <t>comprovantes\Alimentação\Compartilhar comprovante(55).png</t>
  </si>
  <si>
    <t>2789c011b3c53116072da283e2f64a88</t>
  </si>
  <si>
    <t>comprovantes\Alimentação\Compartilhar comprovante(56).png</t>
  </si>
  <si>
    <t>92194107307035cabe233b5e5f529b1b</t>
  </si>
  <si>
    <t>comprovantes\Alimentação\GCompartilhar comprovante(122).png</t>
  </si>
  <si>
    <t>fff535473d29e317f95a432461e8bd66</t>
  </si>
  <si>
    <t>comprovantes\Alimentação\Compartilhar comprovante(57).png</t>
  </si>
  <si>
    <t>914ca7f95582e4645b8d438322cb55a2</t>
  </si>
  <si>
    <t>PIMENTA DE CHEIRO</t>
  </si>
  <si>
    <t>comprovantes\Alimentação\GCompartilhar comprovante(124).png</t>
  </si>
  <si>
    <t>ab121b69bb651f7d62ac0840f8e96b8f</t>
  </si>
  <si>
    <t>comprovantes\Alimentação\Compartilhar comprovante(58).png</t>
  </si>
  <si>
    <t>447613a1c6bb4738a36a7a8d0a15455b</t>
  </si>
  <si>
    <t>comprovantes\Alimentação\Compartilhar comprovante(59).png</t>
  </si>
  <si>
    <t>ba986122da66d813f66fd191ceca2586</t>
  </si>
  <si>
    <t>cs SUPERMERCADO CASTELO</t>
  </si>
  <si>
    <t>comprovantes\Alimentação\Compartilhar comprovante(60).png</t>
  </si>
  <si>
    <t>d76f6d57c3fac47df450aaf3355816e8</t>
  </si>
  <si>
    <t>comprovantes\Alimentação\GCompartilhar comprovante(126).png</t>
  </si>
  <si>
    <t>a492777194c9e5d9c4d2293cb9072630</t>
  </si>
  <si>
    <t>comprovantes\Alimentação\Compartilhar comprovante(61).png</t>
  </si>
  <si>
    <t>992a1bfb3df164b2eafd3b318fb9ae48</t>
  </si>
  <si>
    <t>comprovantes\Alimentação\Compartilhar comprovante(62).png</t>
  </si>
  <si>
    <t>bb2bb72336e9d0ab7ac6b499d28e54b0</t>
  </si>
  <si>
    <t>comprovantes\Alimentação\Compartilhar comprovante(63).png</t>
  </si>
  <si>
    <t>45fb89e5053f42ebf9226a83c7b5e22d</t>
  </si>
  <si>
    <t>SUPTPLUS FLAMINGO</t>
  </si>
  <si>
    <t>comprovantes\Alimentação\Compartilhar comprovante(64).png</t>
  </si>
  <si>
    <t>e0fe714304148f56dac3c6581e910a47</t>
  </si>
  <si>
    <t>comprovantes\Alimentação\Compartilhar comprovante(65).png</t>
  </si>
  <si>
    <t>3cb2cb7392db0e69299e527394828263</t>
  </si>
  <si>
    <t>Márcia Cristina Costa Santos</t>
  </si>
  <si>
    <t>comprovantes\Alimentação\GCompartilhar comprovante(131).png</t>
  </si>
  <si>
    <t>c96d8331c0fa8b8628e0990dab1d556c</t>
  </si>
  <si>
    <t>comprovantes\Alimentação\Compartilhar comprovante(66).png</t>
  </si>
  <si>
    <t>78e93aee9b633e9655962424686080f8</t>
  </si>
  <si>
    <t>comprovantes\Alimentação\GCompartilhar comprovante(133).png</t>
  </si>
  <si>
    <t>6fdf8e6b6f361ede1287365c535570bd</t>
  </si>
  <si>
    <t>comprovantes\Alimentação\Compartilhar comprovante(67).png</t>
  </si>
  <si>
    <t>4d15880d97a007b49fdff0211ef9b9c9</t>
  </si>
  <si>
    <t>comprovantes\Alimentação\Compartilhar comprovante(68).png</t>
  </si>
  <si>
    <t>e3abfe3b9f41843859e5d01b0ec63b97</t>
  </si>
  <si>
    <t>comprovantes\Alimentação\GCompartilhar comprovante(134).png</t>
  </si>
  <si>
    <t>4a8d79ded277c49e947e60b977163524</t>
  </si>
  <si>
    <t>comprovantes\Alimentação\Compartilhar comprovante(69).png</t>
  </si>
  <si>
    <t>5e7e6d4f3637f147766e0a2e3a408cec</t>
  </si>
  <si>
    <t>comprovantes\Alimentação\Comprovante_20260826T193655248497.png</t>
  </si>
  <si>
    <t>e5175cac07cf6f00c835fe19c466a01f</t>
  </si>
  <si>
    <t>comprovantes\Alimentação\Comprovante_20260826T193714916894.png</t>
  </si>
  <si>
    <t>33a1ac4fa5b6b605b59c1916dfff9a3a</t>
  </si>
  <si>
    <t>comprovantes\Alimentação\GCompartilhar comprovante(147).png</t>
  </si>
  <si>
    <t>f0559f099ea05d07069fd90d97a76c15</t>
  </si>
  <si>
    <t>comprovantes\Alimentação\GCompartilhar comprovante(149).png</t>
  </si>
  <si>
    <t>a8023ae97896f502bf0d5795cde6dd43</t>
  </si>
  <si>
    <t>comprovantes\Alimentação\Comprovante_20260826T193824568202.png</t>
  </si>
  <si>
    <t>918e930b9b056e27fba08e5dd76e9494</t>
  </si>
  <si>
    <t>SMART CHOCOLATES</t>
  </si>
  <si>
    <t>comprovantes\Alimentação\Comprovante_20260826T193917166552.png</t>
  </si>
  <si>
    <t>5e02ffaedc4716598a5eac54bc380bc6</t>
  </si>
  <si>
    <t>comprovantes\Alimentação\Comprovante_20260826T194006153884.png</t>
  </si>
  <si>
    <t>2bad8962cc02d9196c6baab05b7a7740</t>
  </si>
  <si>
    <t>comprovantes\Alimentação\GCompartilhar comprovante(150).png</t>
  </si>
  <si>
    <t>e3130fb7b6a187dd71581c3426c8b39a</t>
  </si>
  <si>
    <t>comprovantes\Alimentação\GCompartilhar comprovante(151).png</t>
  </si>
  <si>
    <t>9cae5428bcffa312698379414869fd8c</t>
  </si>
  <si>
    <t>comprovantes\Alimentação\GCompartilhar comprovante(154).png</t>
  </si>
  <si>
    <t>b73f37a219b70a17c0c005b4afbba075</t>
  </si>
  <si>
    <t>EMPORIO E LATICINIOS ABC CABRAL LTDA</t>
  </si>
  <si>
    <t>comprovantes\Alimentação\GCompartilhar comprovante(155).png</t>
  </si>
  <si>
    <t>01fc3a778d20bddeefb8ed168b9e2358</t>
  </si>
  <si>
    <t>comprovantes\Alimentação\Comprovante_20260826T194053712456.png</t>
  </si>
  <si>
    <t>7bf4c067fd613f737f925f43a46bcb49</t>
  </si>
  <si>
    <t>comprovantes\Alimentação\Comprovante_20260826T194129900746.png</t>
  </si>
  <si>
    <t>af3f7ae98f1862669ef3bfa14d7b9140</t>
  </si>
  <si>
    <t>comprovantes\Alimentação\Comprovante_20260826T194214969763.png</t>
  </si>
  <si>
    <t>50c70fa4c45afdcc198a25dc963044af</t>
  </si>
  <si>
    <t>comprovantes\Alimentação\GCompartilhar comprovante(156).png</t>
  </si>
  <si>
    <t>077addf3ac6c6ce267f381335f4001fe</t>
  </si>
  <si>
    <t>comprovantes\Alimentação\Comprovante_20260826T194244529300.png</t>
  </si>
  <si>
    <t>dc37ccb1a53a273ec0db9f7b8c7d88ed</t>
  </si>
  <si>
    <t>comprovantes\Alimentação\GCompartilhar comprovante(161).png</t>
  </si>
  <si>
    <t>d7b53ecbb10b45ea76545cb73623b62a</t>
  </si>
  <si>
    <t>comprovantes\Alimentação\GCompartilhar comprovante(163).png</t>
  </si>
  <si>
    <t>c2642b1c5c7f879ace2d9b0092fd5165</t>
  </si>
  <si>
    <t>comprovantes\Alimentação\GCompartilhar comprovante(164).png</t>
  </si>
  <si>
    <t>fe7be91df63a7e5a7db56cda90d76ff8</t>
  </si>
  <si>
    <t>comprovantes\Alimentação\Comprovante_20260826T194357797366.png</t>
  </si>
  <si>
    <t>cbd32a1549d029b6ed8c3d2f4c94b518</t>
  </si>
  <si>
    <t>comprovantes\Alimentação\Comprovante_20260826T194440144240.png</t>
  </si>
  <si>
    <t>8cbfed920d1e7d55f1054a32ae6fb069</t>
  </si>
  <si>
    <t>comprovantes\Alimentação\Comprovante_20260826T194507310346.png</t>
  </si>
  <si>
    <t>e73a632ba4d98b09041ae2fbf5581f0d</t>
  </si>
  <si>
    <t>PAROQUIA SAO SEBASTIAO DA BOA VISTA</t>
  </si>
  <si>
    <t>comprovantes\Alimentação\GCompartilhar comprovante(166).png</t>
  </si>
  <si>
    <t>2dc4339eb616ed81d3787eb6378403b5</t>
  </si>
  <si>
    <t>comprovantes\Alimentação\GCompartilhar comprovante(167).png</t>
  </si>
  <si>
    <t>e4d6dc7d29d89a4cfd10c820f5f53f01</t>
  </si>
  <si>
    <t>comprovantes\Alimentação\Suplemento-DANFe.pdf</t>
  </si>
  <si>
    <t>29e7465d60d0c6b7903f8799e72295d0</t>
  </si>
  <si>
    <t>comprovantes\Alimentação\Compartilhar comprovante(32).png</t>
  </si>
  <si>
    <t>ad2e9d8e0f590d7987ae04c915680f11</t>
  </si>
  <si>
    <t>comprovantes\Alimentação\GCompartilhar comprovante(180).png</t>
  </si>
  <si>
    <t>6366d2bc8de1825ac7d0caf766c0a7ed</t>
  </si>
  <si>
    <t>GRAN PANNE</t>
  </si>
  <si>
    <t>comprovantes\Alimentação\GCompartilhar comprovante(181).png</t>
  </si>
  <si>
    <t>7ebbd024bcd6431ae4396309d872fd59</t>
  </si>
  <si>
    <t>comprovantes\Alimentação\GCompartilhar comprovante(182).png</t>
  </si>
  <si>
    <t>fb72aff80f559107c9a653079df98b27</t>
  </si>
  <si>
    <t>comprovantes\Alimentação\GCompartilhar comprovante(183).png</t>
  </si>
  <si>
    <t>2129ef55e0c2d206f890f379ae3a8900</t>
  </si>
  <si>
    <t>comprovantes\Alimentação\Comprovante_20260826T194635222102.png</t>
  </si>
  <si>
    <t>79f41a7e30b667f3c38e36f0ab853ead</t>
  </si>
  <si>
    <t>comprovantes\Alimentação\GCompartilhar comprovante(185).png</t>
  </si>
  <si>
    <t>75ff60f559274493f745e0d32d32f524</t>
  </si>
  <si>
    <t>comprovantes\Alimentação\GCompartilhar comprovante(188).png</t>
  </si>
  <si>
    <t>1ac9b80f650938e1341598399609ceba</t>
  </si>
  <si>
    <t>comprovantes\Alimentação\GCompartilhar comprovante(189).png</t>
  </si>
  <si>
    <t>b521416f81116112ed37c3918d3bc83b</t>
  </si>
  <si>
    <t>comprovantes\Alimentação\GCompartilhar comprovante(190).png</t>
  </si>
  <si>
    <t>9795e8f7fca10f4776b112135773479c</t>
  </si>
  <si>
    <t>comprovantes\Alimentação\GCompartilhar comprovante(191).png</t>
  </si>
  <si>
    <t>c281f9c12aa5d0c2b5f5069f086bccff</t>
  </si>
  <si>
    <t>comprovantes\Alimentação\GCompartilhar comprovante(192).png</t>
  </si>
  <si>
    <t>ad62a556f9b9659283d76b903666e42b</t>
  </si>
  <si>
    <t>UBER DO BRASIL TECNOLOGIA LTDA</t>
  </si>
  <si>
    <t>comprovantes\Alimentação\GCompartilhar comprovante(194).png</t>
  </si>
  <si>
    <t>8a788152885eed6725d01522db0f9d1e</t>
  </si>
  <si>
    <t>comprovantes\Alimentação\Comprovante_20260826T194809321914.png</t>
  </si>
  <si>
    <t>7fe00db07f2d4378ba34ab96bd4e6c4d</t>
  </si>
  <si>
    <t>BOBS</t>
  </si>
  <si>
    <t>comprovantes\Alimentação\GCompartilhar comprovante(196).png</t>
  </si>
  <si>
    <t>e872b359d20540fdcac073d0183f44e6</t>
  </si>
  <si>
    <t>comprovantes\Alimentação\Comprovante_20260826T194845576728.png</t>
  </si>
  <si>
    <t>24f3bbe2da350bdd5ae2c174369bc0aa</t>
  </si>
  <si>
    <t>comprovantes\Alimentação\Comprovante_20260826T194925668730.png</t>
  </si>
  <si>
    <t>73bce3c7460403df84bfb0ae86ced671</t>
  </si>
  <si>
    <t>SOL &amp; NEVE</t>
  </si>
  <si>
    <t>comprovantes\Alimentação\GCompartilhar comprovante(197).png</t>
  </si>
  <si>
    <t>3afcac7cfb815e3761fa849567fd0009</t>
  </si>
  <si>
    <t>comprovantes\Alimentação\Comprovante_20260826T195000481746.png</t>
  </si>
  <si>
    <t>77fcea85470be0944a54455e5f3f29e2</t>
  </si>
  <si>
    <t>SACOLAO E MERCEARIA DO</t>
  </si>
  <si>
    <t>comprovantes\Alimentação\Comprovante_20260826T195043442736.png</t>
  </si>
  <si>
    <t>9d7dd33c0f898676d1b3916c12467704</t>
  </si>
  <si>
    <t>comprovantes\Alimentação\Comprovante_20260826T195110725864.png</t>
  </si>
  <si>
    <t>60b8b2825ace69d5c70561097937bc91</t>
  </si>
  <si>
    <t>comprovantes\Alimentação\GCompartilhar comprovante(198).png</t>
  </si>
  <si>
    <t>427b65da4dc7da9bfa20215a3ae8bc14</t>
  </si>
  <si>
    <t>comprovantes\Alimentação\Comprovante_20260826T195145380654.png</t>
  </si>
  <si>
    <t>1827d55499fb222e3a2a5451d3e78141</t>
  </si>
  <si>
    <t>comprovantes\Alimentação\Comprovante_20260826T195223397534.png</t>
  </si>
  <si>
    <t>11bc08ddc6451aeb63d2c89c08d372e0</t>
  </si>
  <si>
    <t>HOTMART</t>
  </si>
  <si>
    <t>comprovantes\Alimentação\GCompartilhar comprovante(200).png</t>
  </si>
  <si>
    <t>f441fb4fe422b53e0b5eeefea70e5a4b</t>
  </si>
  <si>
    <t>comprovantes\Alimentação\Comprovante_20260826T195513714083.png</t>
  </si>
  <si>
    <t>8b64621fe8b14cbeddce1786aca9e85b</t>
  </si>
  <si>
    <t>[ypnESS CONTAGEM ALI</t>
  </si>
  <si>
    <t>comprovantes\Alimentação\Comprovante_20260826T195608588349.png</t>
  </si>
  <si>
    <t>f0944c2453149f184797595eb2ec3edf</t>
  </si>
  <si>
    <t>comprovantes\Alimentação\Comprovante_20260826T195641242081.png</t>
  </si>
  <si>
    <t>699e7a4a904aa7a27e2e05f7ecfc1b73</t>
  </si>
  <si>
    <t>comprovantes\Alimentação\GCompartilhar comprovante(201).png</t>
  </si>
  <si>
    <t>c2cc39a85bf293c2842f632927863e41</t>
  </si>
  <si>
    <t>comprovantes\Alimentação\GCompartilhar comprovante(202).png</t>
  </si>
  <si>
    <t>63358bfa67f937de35eba19ddd95519f</t>
  </si>
  <si>
    <t>comprovantes\Alimentação\Comprovante_20260826T195711998580.png</t>
  </si>
  <si>
    <t>a3bfffb53b20e8c455c7ca8ce6b9795e</t>
  </si>
  <si>
    <t>comprovantes\Alimentação\Comprovante_20260826T195747769005.png</t>
  </si>
  <si>
    <t>f5daf1a0268e1b48143058c40995a06d</t>
  </si>
  <si>
    <t>comprovantes\Alimentação\Comprovante_20260826T195814500332.png</t>
  </si>
  <si>
    <t>25af93a63cfc328881ace4a2dfeae2c7</t>
  </si>
  <si>
    <t>comprovantes\Alimentação\Comprovante_20260826T195832614537.png</t>
  </si>
  <si>
    <t>68e0a53ee62ec2deb6fcc691bb11c87c</t>
  </si>
  <si>
    <t>comprovantes\Alimentação\Comprovante_20260826T195939820470.png</t>
  </si>
  <si>
    <t>9957be47338cc3b1b3239b59b7a9f792</t>
  </si>
  <si>
    <t>comprovantes\Alimentação\Comprovante_20260826T200016499128.png</t>
  </si>
  <si>
    <t>94233c53e517833dece6ee0068204418</t>
  </si>
  <si>
    <t>comprovantes\Alimentação\GCompartilhar comprovante(203).png</t>
  </si>
  <si>
    <t>da81ec4571c76253663358c57d0391ba</t>
  </si>
  <si>
    <t>EVA KÁTIA</t>
  </si>
  <si>
    <t>comprovantes\Alimentação\GCompartilhar comprovante(204).png</t>
  </si>
  <si>
    <t>764c56b9e25eb49505e1a444c925fba5</t>
  </si>
  <si>
    <t>comprovantes\Alimentação\GCompartilhar comprovante(205).png</t>
  </si>
  <si>
    <t>bbe3dfe2a17c93635092fb5983f051e6</t>
  </si>
  <si>
    <t>comprovantes\Alimentação\Comprovante_20260826T200252005392.png</t>
  </si>
  <si>
    <t>8f3644d3233574205f38f0b3dee07ee3</t>
  </si>
  <si>
    <t>IFD Araujo</t>
  </si>
  <si>
    <t>comprovantes\Alimentação\Compartilhar comprovante(31).png</t>
  </si>
  <si>
    <t>4c9cb09c773dbec5203e80e5de3715fc</t>
  </si>
  <si>
    <t>comprovantes\Alimentação\SuplementoComprovante_20260826T220907562521.png</t>
  </si>
  <si>
    <t>facf4c9a660999b3b398e454fba764b7</t>
  </si>
  <si>
    <t>comprovantes\Alimentação\Comprovante_20260826T200439311001.png</t>
  </si>
  <si>
    <t>95eda96f716c9569494a92f90809a26a</t>
  </si>
  <si>
    <t>comprovantes\Alimentação\GCompartilhar comprovante(211).png</t>
  </si>
  <si>
    <t>4e22452fafdc06cc91f20610925dc778</t>
  </si>
  <si>
    <t>comprovantes\Alimentação\GCompartilhar comprovante(213).png</t>
  </si>
  <si>
    <t>07ab8c3398e3acbf31869e15e8332317</t>
  </si>
  <si>
    <t>IFD Carolina</t>
  </si>
  <si>
    <t>comprovantes\Alimentação\Compartilhar comprovante(29).png</t>
  </si>
  <si>
    <t>71657b05a0c0af8d6f75694f59d57768</t>
  </si>
  <si>
    <t>comprovantes\Alimentação\Comprovante_20260826T200546962468.png</t>
  </si>
  <si>
    <t>ec37e0e5939c11578392b5518cf89e0a</t>
  </si>
  <si>
    <t>comprovantes\Alimentação\GCompartilhar comprovante(214).png</t>
  </si>
  <si>
    <t>98371e2fc47a2e1384d59bcda3982022</t>
  </si>
  <si>
    <t>PRE ABSOLUTO UNIDADE IV</t>
  </si>
  <si>
    <t>comprovantes\Alimentação\GCompartilhar comprovante(216).png</t>
  </si>
  <si>
    <t>3e3f260f0342b5b6519d661a025b8e31</t>
  </si>
  <si>
    <t>comprovantes\Alimentação\Compartilhar comprovante(28).png</t>
  </si>
  <si>
    <t>410c48bba9024593dcf2ef486024761b</t>
  </si>
  <si>
    <t>comprovantes\Alimentação\Comprovante_20260826T200740608352.png</t>
  </si>
  <si>
    <t>e0de970eecf1bfdfb9bf28a6c47e1d64</t>
  </si>
  <si>
    <t>comprovantes\Alimentação\Comprovante_20260826T200804190311.png</t>
  </si>
  <si>
    <t>9b9d590d8e08b7fcd78997091e739387</t>
  </si>
  <si>
    <t>comprovantes\Alimentação\Comprovante_20260826T200853499992.png</t>
  </si>
  <si>
    <t>85f7514ba63961bb4d91ab259ab3b3fe</t>
  </si>
  <si>
    <t>comprovantes\Alimentação\Comprovante_20260826T200934982533.png</t>
  </si>
  <si>
    <t>9afb8bd0420675533b5cc464e9a17e66</t>
  </si>
  <si>
    <t>comprovantes\Alimentação\Comprovante_20260826T200956598141.png</t>
  </si>
  <si>
    <t>43f9a17ab70fdeb766b200e5fab64632</t>
  </si>
  <si>
    <t>EXPRESS CONTAGEM ALIMENTOS LTDA</t>
  </si>
  <si>
    <t>comprovantes\Alimentação\GCompartilhar comprovante(218).png</t>
  </si>
  <si>
    <t>15eeaf800dbbd2c5013664dad4feddb5</t>
  </si>
  <si>
    <t>comprovantes\Alimentação\Comprovante_20260826T201132377486.png</t>
  </si>
  <si>
    <t>fc1102922e57b9d451a18672199dc39e</t>
  </si>
  <si>
    <t>comprovantes\Alimentação\Comprovante_20260826T201157067199.png</t>
  </si>
  <si>
    <t>418f2cd1e0892296ee31ebf9a57ab42c</t>
  </si>
  <si>
    <t>comprovantes\Alimentação\GCompartilhar comprovante(220).png</t>
  </si>
  <si>
    <t>3e8744548e8a8a679fb99efe0de36fe5</t>
  </si>
  <si>
    <t>comprovantes\Alimentação\GCompartilhar comprovante(221).png</t>
  </si>
  <si>
    <t>0aa95bb2d7ad04475b35ff4e19568ad7</t>
  </si>
  <si>
    <t>IFD Panificadora</t>
  </si>
  <si>
    <t>comprovantes\Alimentação\Compartilhar comprovante(27).png</t>
  </si>
  <si>
    <t>cc3cfc7a6260d46ff5dd745ac7ffb2e8</t>
  </si>
  <si>
    <t>comprovantes\Alimentação\GCompartilhar comprovante(230).png</t>
  </si>
  <si>
    <t>a366c9f12ab3be9b34d26c475c3181f1</t>
  </si>
  <si>
    <t>comprovantes\Alimentação\GCompartilhar comprovante(235).png</t>
  </si>
  <si>
    <t>8987efd86dd8072c173b31d91ba5289a</t>
  </si>
  <si>
    <t>comprovantes\Alimentação\GCompartilhar comprovante(248).png</t>
  </si>
  <si>
    <t>2d29c69823636841cbbbd51ffddafbf2</t>
  </si>
  <si>
    <t>comprovantes\Alimentação\GCompartilhar comprovante(249).png</t>
  </si>
  <si>
    <t>f051d33a04f22a6a07e88f99fca612aa</t>
  </si>
  <si>
    <t>comprovantes\Alimentação\GCompartilhar comprovante(250).png</t>
  </si>
  <si>
    <t>b44c74c0225582548a8a059eb7a3d67d</t>
  </si>
  <si>
    <t>comprovantes\Alimentação\GCompartilhar comprovante(252).png</t>
  </si>
  <si>
    <t>6301f776cf2440d688323e7ee3729fd5</t>
  </si>
  <si>
    <t>comprovantes\Alimentação\GCompartilhar comprovante(253).png</t>
  </si>
  <si>
    <t>3c8e17d7e13aed03318bc5f373455aa4</t>
  </si>
  <si>
    <t>comprovantes\Alimentação\GCompartilhar comprovante(254).png</t>
  </si>
  <si>
    <t>7ad866fbd197ab699c19e23caa650251</t>
  </si>
  <si>
    <t>comprovantes\Alimentação\GCompartilhar comprovante(256).png</t>
  </si>
  <si>
    <t>828f051f3a252e1c770edae0e3d6edd7</t>
  </si>
  <si>
    <t>comprovantes\Alimentação\GCompartilhar comprovante(257).png</t>
  </si>
  <si>
    <t>d7bb2701b9c1e4b58af540bf0935a150</t>
  </si>
  <si>
    <t>REDE PANNI</t>
  </si>
  <si>
    <t>comprovantes\Alimentação\GCompartilhar comprovante(259).png</t>
  </si>
  <si>
    <t>d81709540e5dd50bf8308f8d91f2374c</t>
  </si>
  <si>
    <t>comprovantes\Alimentação\GCompartilhar comprovante(261).png</t>
  </si>
  <si>
    <t>649f272076ee3847d9fc2d3f225c4dae</t>
  </si>
  <si>
    <t>comprovantes\Alimentação\GCompartilhar comprovante(263).png</t>
  </si>
  <si>
    <t>fb26422a6a39e2234642b5590f055252</t>
  </si>
  <si>
    <t>comprovantes\Alimentação\GCompartilhar comprovante(266).png</t>
  </si>
  <si>
    <t>9e1a36c6d5885589bd1c596c65c19137</t>
  </si>
  <si>
    <t>MSN Cabral</t>
  </si>
  <si>
    <t>comprovantes\Alimentação\Compartilhar comprovante(26).png</t>
  </si>
  <si>
    <t>0ec28bc1091816852a3cbdfd4e351d6e</t>
  </si>
  <si>
    <t>comprovantes\Alimentação\GCompartilhar comprovante(269).png</t>
  </si>
  <si>
    <t>20b78fa73f674baeb85214cd83d95125</t>
  </si>
  <si>
    <t>comprovantes\Alimentação\GCompartilhar comprovante(270).png</t>
  </si>
  <si>
    <t>a21c891e9d7799b9a1880411d9bf5117</t>
  </si>
  <si>
    <t>IFOOD.COM AGENCIA DE RESTAURANTES ONLINE S.A</t>
  </si>
  <si>
    <t>comprovantes\Alimentação\GCompartilhar comprovante(271).png</t>
  </si>
  <si>
    <t>e43e43e1b35608168218764813062146</t>
  </si>
  <si>
    <t>comprovantes\Alimentação\GCompartilhar comprovante(273).png</t>
  </si>
  <si>
    <t>5407a8dc77c149af59ad6cb5b88bb374</t>
  </si>
  <si>
    <t>alimentacao</t>
  </si>
  <si>
    <t xml:space="preserve">Pix (transferência) - 08/09/2026 - pagador: </t>
  </si>
  <si>
    <t xml:space="preserve">Pix (transferência) - 04/09/2026 - pagador: </t>
  </si>
  <si>
    <t xml:space="preserve">Pix (transferência) - 03/09/2026 - pagador: </t>
  </si>
  <si>
    <t xml:space="preserve">Pix (transferência) - 02/09/2026 - pagador: </t>
  </si>
  <si>
    <t>Pix (transferência) - 31/08/2026 - pagador: Daisy Ferreira Braga de Souza</t>
  </si>
  <si>
    <t xml:space="preserve">Pix (transferência) - 28/08/2026 - pagador: </t>
  </si>
  <si>
    <t xml:space="preserve">Pix (transferência) - 27/08/2026 - pagador: </t>
  </si>
  <si>
    <t xml:space="preserve">Pix (transferência) - 24/08/2026 - pagador: </t>
  </si>
  <si>
    <t xml:space="preserve">Pix (transferência) - 22/08/2026 - pagador: </t>
  </si>
  <si>
    <t xml:space="preserve">Pix (transferência) - 21/08/2026 - pagador: </t>
  </si>
  <si>
    <t xml:space="preserve">Pix (pagamento) - 19/08/2026 - pagador: </t>
  </si>
  <si>
    <t xml:space="preserve">Pix (transferência) - 17/08/2026 - pagador: </t>
  </si>
  <si>
    <t xml:space="preserve">Pix (transferência) - 15/08/2026 - pagador: </t>
  </si>
  <si>
    <t xml:space="preserve">Pix (transferência) - 06/08/2026 - pagador: </t>
  </si>
  <si>
    <t xml:space="preserve">Pix (transferência) - 03/08/2026 - pagador: </t>
  </si>
  <si>
    <t>Pix (transferência) - 01/08/2026 - pagador: Daisy Ferreira Braga de Souza</t>
  </si>
  <si>
    <t xml:space="preserve">Pix (transferência) - 30/07/2026 - pagador: </t>
  </si>
  <si>
    <t>Débito (cartão) - 30/07/2026 - pagador: Daisy Ferreira Braga de Souza</t>
  </si>
  <si>
    <t xml:space="preserve">Pix (transferência) - 28/07/2026 - pagador: </t>
  </si>
  <si>
    <t>Débito (cartão) - 26/07/2026 - pagador: Daisy Ferreira Braga de Souza</t>
  </si>
  <si>
    <t>Débito (cartão) - 25/07/2026 - pagador: Daisy Ferreira Braga de Souza</t>
  </si>
  <si>
    <t>Débito (cartão) - 24/07/2026 - pagador: Daisy Ferreira Braga de Souza</t>
  </si>
  <si>
    <t xml:space="preserve">Pix (transferência) - 22/07/2026 - pagador: </t>
  </si>
  <si>
    <t xml:space="preserve">Pix (transferência) - 20/07/2026 - pagador: </t>
  </si>
  <si>
    <t>Pix (transferência) - 17/07/2026 - pagador: Daisy Ferreira Braga de Souza</t>
  </si>
  <si>
    <t xml:space="preserve">Pix (transferência) - 14/07/2026 - pagador: </t>
  </si>
  <si>
    <t xml:space="preserve">Pix (transferência) - 13/07/2026 - pagador: </t>
  </si>
  <si>
    <t>Pix (transferência) - 13/07/2026 - pagador: Daisy Ferreira Braga de Souza</t>
  </si>
  <si>
    <t>Pix (transferência) - 10/07/2026 - pagador: Daisy Ferreira Braga de Souza</t>
  </si>
  <si>
    <t>Pix (pagamento) - 08/07/2026 - pagador: Daisy Ferreira Braga de Souza</t>
  </si>
  <si>
    <t xml:space="preserve">Pix (transferência) - 06/07/2026 - pagador: </t>
  </si>
  <si>
    <t>Débito (cartão) - 06/07/2026 - pagador: Daisy Ferreira Braga de Souza</t>
  </si>
  <si>
    <t>Pix (pagamento) - 05/07/2026 - pagador: Daisy Ferreira Braga de Souza</t>
  </si>
  <si>
    <t>Débito (cartão) - 04/07/2026 - pagador: Daisy Ferreira Braga de Souza</t>
  </si>
  <si>
    <t>Pix (pagamento) - 04/07/2026 - pagador: Daisy Ferreira Braga de Souza</t>
  </si>
  <si>
    <t xml:space="preserve">Pix (transferência) - 03/07/2026 - pagador: </t>
  </si>
  <si>
    <t xml:space="preserve">Pix (transferência) - 02/07/2026 - pagador: </t>
  </si>
  <si>
    <t>Débito (cartão) - 02/07/2026 - pagador: Daisy Ferreira Braga de Souza</t>
  </si>
  <si>
    <t>Pix (transferência) - 01/07/2026 - pagador: Daisy Ferreira Braga de Souza</t>
  </si>
  <si>
    <t xml:space="preserve">Pix (transferência) - 29/06/2026 - pagador: </t>
  </si>
  <si>
    <t>Débito (cartão) - 28/06/2026 - pagador: Daisy Ferreira Braga de Souza</t>
  </si>
  <si>
    <t>Pix (pagamento) - 26/06/2026 - pagador: Daisy Ferreira Braga de Souza</t>
  </si>
  <si>
    <t xml:space="preserve">Pix (transferência) - 23/06/2026 - pagador: </t>
  </si>
  <si>
    <t>Débito (cartão) - 22/06/2026 - pagador: Daisy Ferreira Braga de Souza</t>
  </si>
  <si>
    <t xml:space="preserve">Pix (transferência) - 20/06/2026 - pagador: </t>
  </si>
  <si>
    <t>Pix (pagamento) - 20/06/2026 - pagador: Daisy Ferreira Braga de Souza</t>
  </si>
  <si>
    <t xml:space="preserve">Pix (transferência) - 19/06/2026 - pagador: </t>
  </si>
  <si>
    <t xml:space="preserve">Pix (transferência) - 18/06/2026 - pagador: </t>
  </si>
  <si>
    <t xml:space="preserve">Pix (transferência) - 17/06/2026 - pagador: </t>
  </si>
  <si>
    <t xml:space="preserve">Pix (transferência) - 16/06/2026 - pagador: </t>
  </si>
  <si>
    <t>Débito (cartão) - 13/06/2026 - pagador: Daisy Ferreira Braga de Souza</t>
  </si>
  <si>
    <t xml:space="preserve">Pix (transferência) - 12/06/2026 - pagador: </t>
  </si>
  <si>
    <t xml:space="preserve">Pix (transferência) - 11/06/2026 - pagador: </t>
  </si>
  <si>
    <t>Pix (transferência) - 06/06/2026 - pagador: Daisy Ferreira Braga de Souza</t>
  </si>
  <si>
    <t>DANFE/NF-e - 03/06/2026 - pagador: DAISY SOUZA</t>
  </si>
  <si>
    <t xml:space="preserve">Pix (transferência) - 30/05/2026 - pagador: </t>
  </si>
  <si>
    <t>Pix (pagamento) - 29/05/2026 - pagador: Daisy Ferreira Braga de Souza</t>
  </si>
  <si>
    <t>Débito (cartão) - 29/05/2026 - pagador: Daisy Ferreira Braga de Souza</t>
  </si>
  <si>
    <t>Pix (transferência) - 29/05/2026 - pagador: Daisy Ferreira Braga de Souza</t>
  </si>
  <si>
    <t xml:space="preserve">Pix (transferência) - 27/05/2026 - pagador: </t>
  </si>
  <si>
    <t xml:space="preserve">Pix (transferência) - 26/05/2026 - pagador: </t>
  </si>
  <si>
    <t>Débito (cartão) - 22/05/2026 - pagador: Daisy Ferreira Braga de Souza</t>
  </si>
  <si>
    <t xml:space="preserve">Pix (pagamento) - 19/05/2026 - pagador: </t>
  </si>
  <si>
    <t>Pix (pagamento) - 19/05/2026 - pagador: Daisy Ferreira Braga de Souza</t>
  </si>
  <si>
    <t>Pix (pagamento) - 15/05/2026 - pagador: Daisy Ferreira Braga de Souza</t>
  </si>
  <si>
    <t xml:space="preserve">Pix (transferência) - 14/05/2026 - pagador: </t>
  </si>
  <si>
    <t xml:space="preserve">Pix (transferência) - 11/05/2026 - pagador: </t>
  </si>
  <si>
    <t xml:space="preserve">Pix (transferência) - 09/05/2026 - pagador: </t>
  </si>
  <si>
    <t>Pix (pagamento) - 09/05/2026 - pagador: Daisy Ferreira Braga de Souza</t>
  </si>
  <si>
    <t xml:space="preserve">Pix (transferência) - 08/05/2026 - pagador: </t>
  </si>
  <si>
    <t>Débito (cartão) - 08/05/2026 - pagador: Daisy Ferreira Braga de Souza</t>
  </si>
  <si>
    <t>Pix (pagamento) - 08/05/2026 - pagador: Daisy Ferreira Braga de Souza</t>
  </si>
  <si>
    <t>Pix (pagamento) - 30/04/2026 - pagador: Daisy Ferreira Braga de Souza</t>
  </si>
  <si>
    <t xml:space="preserve">Pix (transferência) - 29/04/2026 - pagador: </t>
  </si>
  <si>
    <t xml:space="preserve">Pix (transferência) - 26/04/2026 - pagador: </t>
  </si>
  <si>
    <t>Pix (pagamento) - 26/04/2026 - pagador: Daisy Ferreira Braga de Souza</t>
  </si>
  <si>
    <t xml:space="preserve">Pix (transferência) - 25/04/2026 - pagador: </t>
  </si>
  <si>
    <t>Pix (pagamento) - 24/04/2026 - pagador: Daisy Ferreira Braga de Souza</t>
  </si>
  <si>
    <t>Débito (cartão) - 18/04/2026 - pagador: Daisy Ferreira Braga de Souza</t>
  </si>
  <si>
    <t>Pix (pagamento) - 17/04/2026 - pagador: Daisy Ferreira Braga de Souza</t>
  </si>
  <si>
    <t xml:space="preserve">Pix (transferência) - 15/04/2026 - pagador: </t>
  </si>
  <si>
    <t>Débito (cartão) - 11/04/2026 - pagador: Daisy Ferreira Braga de Souza</t>
  </si>
  <si>
    <t>Pix (pagamento) - 11/04/2026 - pagador: Daisy Ferreira Braga de Souza</t>
  </si>
  <si>
    <t xml:space="preserve">Pix (transferência) - 10/04/2026 - pagador: </t>
  </si>
  <si>
    <t>Pix (transferência) - 10/04/2026 - pagador: Daisy Ferreira Braga de Souza</t>
  </si>
  <si>
    <t xml:space="preserve">Pix (transferência) - 09/04/2026 - pagador: </t>
  </si>
  <si>
    <t>Débito (cartão) - 05/04/2026 - pagador: Daisy Ferreira Braga de Souza</t>
  </si>
  <si>
    <t xml:space="preserve">Pix (transferência) - 03/04/2026 - pagador: </t>
  </si>
  <si>
    <t>Controle nº 484, 526, 573</t>
  </si>
  <si>
    <t>Pix (pagamento) - 02/04/2026 - pagador: Daisy Ferreira Braga de Souza</t>
  </si>
  <si>
    <t>Pix (transferência) - 01/04/2026 - pagador: Daisy Ferreira Braga de Souza</t>
  </si>
  <si>
    <t xml:space="preserve">Pix (transferência) - 26/03/2026 - pagador: </t>
  </si>
  <si>
    <t>Pix (pagamento) - 26/03/2026 - pagador: Daisy Ferreira Braga de Souza</t>
  </si>
  <si>
    <t>Débito (cartão) - 23/03/2026 - pagador: Daisy Ferreira Braga de Souza</t>
  </si>
  <si>
    <t xml:space="preserve">Pix (transferência) - 20/03/2026 - pagador: </t>
  </si>
  <si>
    <t>Pix (transferência) - 20/03/2026 - pagador: Daisy Ferreira Braga de Souza</t>
  </si>
  <si>
    <t>Pix (pagamento) - 18/03/2026 - pagador: Daisy Ferreira Braga de Souza</t>
  </si>
  <si>
    <t xml:space="preserve">Pix (transferência) - 17/03/2026 - pagador: </t>
  </si>
  <si>
    <t xml:space="preserve">Pix (transferência) - 16/03/2026 - pagador: </t>
  </si>
  <si>
    <t>Pix (pagamento) - 15/03/2026 - pagador: Daisy Ferreira Braga de Souza</t>
  </si>
  <si>
    <t xml:space="preserve">Pix (transferência) - 13/03/2026 - pagador: </t>
  </si>
  <si>
    <t xml:space="preserve">Pix (transferência) - 12/03/2026 - pagador: </t>
  </si>
  <si>
    <t>Débito (cartão) - 10/03/2026 - pagador: Daisy Ferreira Braga de Souza</t>
  </si>
  <si>
    <t>Débito (cartão) - 07/03/2026 - pagador: Daisy Ferreira Braga de Souza</t>
  </si>
  <si>
    <t>Pix (pagamento) - 06/03/2026 - pagador: Daisy Ferreira Braga de Souza</t>
  </si>
  <si>
    <t xml:space="preserve">Pix (transferência) - 05/03/2026 - pagador: </t>
  </si>
  <si>
    <t xml:space="preserve">Pix (pagamento) - 04/03/2026 - pagador: </t>
  </si>
  <si>
    <t xml:space="preserve">Pix (transferência) - 04/03/2026 - pagador: </t>
  </si>
  <si>
    <t xml:space="preserve">Pix (transferência) - 01/03/2026 - pagador: </t>
  </si>
  <si>
    <t>Pix (transferência) - 01/03/2026 - pagador: Daisy Ferreira Braga de Souza</t>
  </si>
  <si>
    <t xml:space="preserve">Pix (transferência) - 24/02/2026 - pagador: </t>
  </si>
  <si>
    <t xml:space="preserve">Pix (transferência) - 23/02/2026 - pagador: </t>
  </si>
  <si>
    <t xml:space="preserve">Pix (pagamento) - 22/02/2026 - pagador: </t>
  </si>
  <si>
    <t xml:space="preserve">Pix (transferência) - 21/02/2026 - pagador: </t>
  </si>
  <si>
    <t xml:space="preserve">Pix (transferência) - 20/02/2026 - pagador: </t>
  </si>
  <si>
    <t>Pix (transferência) - 19/02/2026 - pagador: Daisy Ferreira Braga de Souza</t>
  </si>
  <si>
    <t xml:space="preserve">Pix (transferência) - 17/02/2026 - pagador: </t>
  </si>
  <si>
    <t xml:space="preserve">Pix (transferência) - 15/02/2026 - pagador: </t>
  </si>
  <si>
    <t>Pix (transferência) - 14/02/2026 - pagador: Daisy Ferreira Braga de Souza</t>
  </si>
  <si>
    <t>Débito (cartão) - 14/02/2026 - pagador: Daisy Ferreira Braga de Souza</t>
  </si>
  <si>
    <t>Pix (transferência) - 13/02/2026 - pagador: Daisy Ferreira Braga de Souza</t>
  </si>
  <si>
    <t xml:space="preserve">Pix (transferência) - 11/02/2026 - pagador: </t>
  </si>
  <si>
    <t>Pix (transferência) - 10/02/2026 - pagador: Daisy Ferreira Braga de Souza</t>
  </si>
  <si>
    <t xml:space="preserve">Pix (transferência) - 09/02/2026 - pagador: </t>
  </si>
  <si>
    <t xml:space="preserve">Pix (pagamento) - 07/02/2026 - pagador: </t>
  </si>
  <si>
    <t xml:space="preserve">Pix (transferência) - 07/02/2026 - pagador: </t>
  </si>
  <si>
    <t>Pix (pagamento) - 04/02/2026 - pagador: Daisy Ferreira Braga de Souza</t>
  </si>
  <si>
    <t xml:space="preserve">Pix (transferência) - 02/02/2026 - pagador: </t>
  </si>
  <si>
    <t>Pix (transferência) - 01/02/2026 - pagador: Daisy Ferreira Braga de Souza</t>
  </si>
  <si>
    <t>Pix (pagamento) - 30/01/2026 - pagador: Daisy Ferreira Braga de Souza</t>
  </si>
  <si>
    <t xml:space="preserve">Pix (transferência) - 29/01/2026 - pagador: </t>
  </si>
  <si>
    <t xml:space="preserve">Pix (pagamento) - 25/01/2026 - pagador: </t>
  </si>
  <si>
    <t>Pix (transferência) - 25/01/2026 - pagador: Daisy Ferreira Braga de Souza</t>
  </si>
  <si>
    <t xml:space="preserve">Débito (cartão) - 24/01/2026 - pagador: </t>
  </si>
  <si>
    <t>Pix (transferência) - 23/01/2026 - pagador: Daisy Ferreira Braga de Souza</t>
  </si>
  <si>
    <t xml:space="preserve">Pix (pagamento) - 22/01/2026 - pagador: </t>
  </si>
  <si>
    <t>Pix (pagamento) - 17/01/2026 - pagador: Daisy Ferreira Braga de Souza</t>
  </si>
  <si>
    <t xml:space="preserve">Débito (cartão) - 16/01/2026 - pagador: </t>
  </si>
  <si>
    <t xml:space="preserve">Débito (cartão) - 14/01/2026 - pagador: </t>
  </si>
  <si>
    <t xml:space="preserve">Pix (transferência) - 14/01/2026 - pagador: </t>
  </si>
  <si>
    <t xml:space="preserve">Pix (pagamento) - 11/01/2026 - pagador: </t>
  </si>
  <si>
    <t xml:space="preserve">Débito (cartão) - 10/01/2026 - pagador: </t>
  </si>
  <si>
    <t xml:space="preserve">Pix (pagamento) - 09/01/2026 - pagador: </t>
  </si>
  <si>
    <t>Débito (cartão) - 09/01/2026 - pagador: Daisy Ferreira Braga de Souza</t>
  </si>
  <si>
    <t>Débito (cartão) - 05/01/2026 - pagador: Daisy Ferreira Braga de Souza</t>
  </si>
  <si>
    <t>Pix (pagamento) - 03/01/2026 - pagador: Daisy Ferreira Braga de Souza</t>
  </si>
  <si>
    <t>Pix (transferência) - 02/01/2026 - pagador: Daisy Ferreira Braga de Souza</t>
  </si>
  <si>
    <t>Pix (pagamento) - 01/01/2026 - pagador: Daisy Ferreira Braga de Souza</t>
  </si>
  <si>
    <t>Pix (pagamento) - 31/01/2026 - pagador: Daisy Ferreira Braga de Souza</t>
  </si>
  <si>
    <t>Débito (cartão) - 04/01/2026 - pagador: Daisy Ferreira Braga de Souza</t>
  </si>
  <si>
    <t>Débito (cartão) - 25/01/2026 - pagador: Daisy Ferreira Braga de Souza</t>
  </si>
  <si>
    <t>Victor Vinicius</t>
  </si>
  <si>
    <t>653bde7b1c4ff12be6cb397854f6819f</t>
  </si>
  <si>
    <t>Pix (transferência) - 12/03/2026 - pagador: GABRIEL ARTHUR</t>
  </si>
  <si>
    <t>comprovantes\Moradia\condom-janeiro.pdf</t>
  </si>
  <si>
    <t>e79603f9ccf1947fed8122e683856f16</t>
  </si>
  <si>
    <t>Boleto (condomínio) - 15/01/2026 - pagador: Daisy Ferreira Braga de Souza</t>
  </si>
  <si>
    <t>comprovantes\Moradia\condominio-fevereiro.pdf</t>
  </si>
  <si>
    <t>d4e4823e4881d88923e9b3bc30d39824</t>
  </si>
  <si>
    <t>Boleto (condominio) - 18/02/2026 - pagador: Daisy Ferreira Braga de Souza</t>
  </si>
  <si>
    <t>Controle nº 342, 347, 352, 356, 359, 364, 666, 667</t>
  </si>
  <si>
    <t>Controle nº 446, 447, 448, 449, 450, 451, 452, 453, 454, 455, 456, 457, 458, 459, 460, 461, 462, 463, 464, 465, 466, 467, 468, 469, 470, 471, 472, 473, 474, 475, 476, 477, 478, 479, 480, 481, 482, 483, 485, 486, 487, 488, 489, 490, 491, 492, 493, 494, 495, 496, 497, 498, 499, 500, 501, 502, 503, 504, 505, 506, 507, 508, 509, 510, 511, 512, 513, 514, 515, 516, 517, 518, 519, 520, 521, 522, 523, 524, 525, 527, 528, 529, 530, 531, 532, 533, 534, 535, 536, 537, 538, 539, 540, 541, 542, 543, 544, 545, 546, 547, 548, 549, 550, 551, 552, 553, 554, 555, 556, 557, 558, 559, 560, 561, 562, 563, 564, 565, 566, 567, 568, 569, 570, 571, 572, 574, 575, 576, 577, 578, 579, 580, 581, 582, 583, 584, 585, 586, 587, 588, 589, 590, 591, 592, 593, 594, 595, 596, 597, 598, 599, 600, 601, 602, 603, 604, 605, 606, 607, 608, 609, 610, 611, 612, 613, 614, 615, 616, 617, 618, 619, 620, 621, 622, 623, 624, 625, 626, 627, 628, 629, 630, 631, 632, 633, 634, 635, 636, 637, 638, 639, 640, 641, 642, 643, 644, 645, 646, 647, 648, 649, 650, 651, 652, 653, 654, 655, 656, 657, 658, 659, 660, 661, 662, 663, 665</t>
  </si>
  <si>
    <t>Giardino di Napoli (condominio)</t>
  </si>
  <si>
    <t>Controle nº 343, 348, 362, 368, 668</t>
  </si>
  <si>
    <t>D000001</t>
  </si>
  <si>
    <t>D000002</t>
  </si>
  <si>
    <t>D000003</t>
  </si>
  <si>
    <t>D000004</t>
  </si>
  <si>
    <t>D000005</t>
  </si>
  <si>
    <t>D000006</t>
  </si>
  <si>
    <t>D000007</t>
  </si>
  <si>
    <t>D000008</t>
  </si>
  <si>
    <t>D000009</t>
  </si>
  <si>
    <t>D000010</t>
  </si>
  <si>
    <t>D000011</t>
  </si>
  <si>
    <t>D000012</t>
  </si>
  <si>
    <t>D000013</t>
  </si>
  <si>
    <t>D000014</t>
  </si>
  <si>
    <t>D000015</t>
  </si>
  <si>
    <t>D000016</t>
  </si>
  <si>
    <t>D000017</t>
  </si>
  <si>
    <t>D000018</t>
  </si>
  <si>
    <t>D000019</t>
  </si>
  <si>
    <t>D000020</t>
  </si>
  <si>
    <t>D000021</t>
  </si>
  <si>
    <t>D000022</t>
  </si>
  <si>
    <t>D000023</t>
  </si>
  <si>
    <t>D000024</t>
  </si>
  <si>
    <t>D000025</t>
  </si>
  <si>
    <t>D000026</t>
  </si>
  <si>
    <t>D000027</t>
  </si>
  <si>
    <t>D000028</t>
  </si>
  <si>
    <t>D000029</t>
  </si>
  <si>
    <t>D000030</t>
  </si>
  <si>
    <t>D000031</t>
  </si>
  <si>
    <t>D000032</t>
  </si>
  <si>
    <t>D000033</t>
  </si>
  <si>
    <t>D000034</t>
  </si>
  <si>
    <t>D000035</t>
  </si>
  <si>
    <t>D000036</t>
  </si>
  <si>
    <t>D000037</t>
  </si>
  <si>
    <t>D000038</t>
  </si>
  <si>
    <t>D000039</t>
  </si>
  <si>
    <t>D000040</t>
  </si>
  <si>
    <t>D000041</t>
  </si>
  <si>
    <t>D000042</t>
  </si>
  <si>
    <t>D000043</t>
  </si>
  <si>
    <t>D000044</t>
  </si>
  <si>
    <t>D000045</t>
  </si>
  <si>
    <t>D000046</t>
  </si>
  <si>
    <t>D000047</t>
  </si>
  <si>
    <t>D000048</t>
  </si>
  <si>
    <t>D000049</t>
  </si>
  <si>
    <t>D000050</t>
  </si>
  <si>
    <t>D000051</t>
  </si>
  <si>
    <t>D000052</t>
  </si>
  <si>
    <t>D000053</t>
  </si>
  <si>
    <t>D000054</t>
  </si>
  <si>
    <t>D000055</t>
  </si>
  <si>
    <t>D000056</t>
  </si>
  <si>
    <t>D000057</t>
  </si>
  <si>
    <t>Observacao anterior (auditoria)</t>
  </si>
  <si>
    <t>ID despesa</t>
  </si>
  <si>
    <t>OK</t>
  </si>
  <si>
    <t>PENDENTE</t>
  </si>
  <si>
    <t>Eventual</t>
  </si>
  <si>
    <t>Conciliacao</t>
  </si>
  <si>
    <t>ID anterior</t>
  </si>
  <si>
    <t>ID cadastro</t>
  </si>
  <si>
    <t>Controle 353, 354, 361, 365, 369</t>
  </si>
  <si>
    <t>Controle 342, 347, 352, 356, 359, 364, 666, 667</t>
  </si>
  <si>
    <t>Conferir</t>
  </si>
  <si>
    <t>Controle 366</t>
  </si>
  <si>
    <t>Controle 345, 351, 358</t>
  </si>
  <si>
    <t>Controle 343, 348, 362, 368, 668</t>
  </si>
  <si>
    <t>Controle 349, 360</t>
  </si>
  <si>
    <t>Controle 341, 346, 350, 355, 357, 363, 370, 371</t>
  </si>
  <si>
    <t>Controle 446, 447, 448, 449, 450, 451, 452, 453, 454, 455, 456, 457, 458, 459, 460, 461, 462, 463, 464, 465, 466, 467, 468, 469, 470, 471, 472, 473, 474, 475, 476, 477, 478, 479, 480, 481, 482, 483, 485, 486, 487, 488, 489, 490, 491, 492, 493, 494, 495, 496, 497, 498, 499, 500, 501, 502, 503, 504, 505, 506, 507, 508, 509, 510, 511, 512, 513, 514, 515, 516, 517, 518, 519, 520, 521, 522, 523, 524, 525, 527, 528, 529, 530, 531, 532, 533, 534, 535, 536, 537, 538, 539, 540, 541, 542, 543, 544, 545, 546, 547, 548, 549, 550, 551, 552, 553, 554, 555, 556, 557, 558, 559, 560, 561, 562, 563, 564, 565, 566, 567, 568, 569, 570, 571, 572, 574, 575, 576, 577, 578, 579, 580, 581, 582, 583, 584, 585, 586, 587, 588, 589, 590, 591, 592, 593, 594, 595, 596, 597, 598, 599, 600, 601, 602, 603, 604, 605, 606, 607, 608, 609, 610, 611, 612, 613, 614, 615, 616, 617, 618, 619, 620, 621, 622, 623, 624, 625, 626, 627, 628, 629, 630, 631, 632, 633, 634, 635, 636, 637, 638, 639, 640, 641, 642, 643, 644, 645, 646, 647, 648, 649, 650, 651, 652, 653, 654, 655, 656, 657, 658, 659, 660, 661, 662, 663, 665</t>
  </si>
  <si>
    <t>Controle 484, 526, 573</t>
  </si>
  <si>
    <t>Controle 320, 324, 326, 328, 330, 334, 335, 336, 337</t>
  </si>
  <si>
    <t>Controle 318, 332</t>
  </si>
  <si>
    <t>Controle 322</t>
  </si>
  <si>
    <t>Controle 6, 7, 14, 16, 19, 20, 33</t>
  </si>
  <si>
    <t>Controle 54</t>
  </si>
  <si>
    <t>Controle 55, 304, 305</t>
  </si>
  <si>
    <t>Controle 68, 69</t>
  </si>
  <si>
    <t>Controle 56, 57, 58, 306, 307, 308, 309, 310, 311, 312, 313</t>
  </si>
  <si>
    <t>Controle 374, 375, 376, 378, 380, 382, 383, 386, 387, 389, 390, 392, 395, 399, 400, 401, 403, 404, 406, 407, 408, 410, 412, 413, 415, 416, 417, 418, 420, 422, 423, 424, 425, 426, 427, 428, 429, 430, 431, 432, 433, 435, 436, 437, 438, 439, 440, 441, 442, 443, 444, 445, 669, 670</t>
  </si>
  <si>
    <t>Controle 377, 379, 381, 384, 385, 388, 391, 393, 394, 396, 397, 398, 402, 405, 409, 411, 414, 419, 421, 434</t>
  </si>
  <si>
    <t>Controle 344, 367</t>
  </si>
  <si>
    <t>C:\Users\User\Documents\Projetos\Daisy\system_proof\comprovantes</t>
  </si>
  <si>
    <t>Configuracoes</t>
  </si>
  <si>
    <t>Parametro</t>
  </si>
  <si>
    <t>Renda liquida mensal (R$)</t>
  </si>
  <si>
    <t>Outras obrigacoes essenciais (R$)</t>
  </si>
  <si>
    <t>No de moradores (rateio moradia)</t>
  </si>
  <si>
    <t>comprovantes\Educação\teoria-musical-agosto.jpg</t>
  </si>
  <si>
    <t>comprovantes\Educação\teoria-musical-junho.jpg</t>
  </si>
  <si>
    <t>Controle 340</t>
  </si>
  <si>
    <t>Controle 339</t>
  </si>
  <si>
    <t>Eventual/anual no periodo</t>
  </si>
  <si>
    <t>Media mensal</t>
  </si>
  <si>
    <t>Total do periodo</t>
  </si>
  <si>
    <t>Cota total do periodo</t>
  </si>
  <si>
    <t>Cota media mensal</t>
  </si>
  <si>
    <t>Inicio do periodo</t>
  </si>
  <si>
    <t>Fim do periodo</t>
  </si>
  <si>
    <t>Periodo: 10/2025 a 09/2026 (12 meses)</t>
  </si>
  <si>
    <t>Periodo: 10/2025 a 09/2026</t>
  </si>
  <si>
    <t>Cota media mensal (12 meses)</t>
  </si>
  <si>
    <t>No periodo</t>
  </si>
  <si>
    <t>Fora do periodo</t>
  </si>
  <si>
    <t>Diferenca despesas - comprovantes</t>
  </si>
  <si>
    <t>comprovantes\Mesada\GCompartilhar comprovante(30).png</t>
  </si>
  <si>
    <t>af34b78022e51e445eff62bb4d66d590</t>
  </si>
  <si>
    <t>comprovantes\Mesada\GCompartilhar comprovante(31).png</t>
  </si>
  <si>
    <t>6bdf4f1787253584a387b61f72f33a41</t>
  </si>
  <si>
    <t>comprovantes\Mesada\GCompartilhar comprovante(28).png</t>
  </si>
  <si>
    <t>a739fc6da7bfd5273684ff6bcd92590e</t>
  </si>
  <si>
    <t>comprovantes\Mesada\GCompartilhar comprovante(22).png</t>
  </si>
  <si>
    <t>5ab6cf1a22d1d6918ea052d60f173685</t>
  </si>
  <si>
    <t>comprovantes\Mesada\GCompartilhar comprovante(14).png</t>
  </si>
  <si>
    <t>2c69c25e0c25402a665723195642c8d4</t>
  </si>
  <si>
    <t>comprovantes\Mesada\GCompartilhar comprovante(5).png</t>
  </si>
  <si>
    <t>cd7b276078c5c66de06c83e5e38111a8</t>
  </si>
  <si>
    <t>comprovantes\Mesada\GCompartilhar comprovante(33).png</t>
  </si>
  <si>
    <t>e18f9938194bf0a7ced44881544d9c4f</t>
  </si>
  <si>
    <t>comprovantes\Mesada\GCompartilhar comprovante(48).png</t>
  </si>
  <si>
    <t>0c1b8e2ce818bf0bffc19070953d8375</t>
  </si>
  <si>
    <t>comprovantes\Mesada\GCompartilhar comprovante(52).png</t>
  </si>
  <si>
    <t>5e04fd4214619fce247a567e66a01035</t>
  </si>
  <si>
    <t>comprovantes\Mesada\GCompartilhar comprovante(65).png</t>
  </si>
  <si>
    <t>c1ae11c9ff6c5c78a1c29a181c34ceaf</t>
  </si>
  <si>
    <t>comprovantes\Mesada\GCompartilhar comprovante(76).png</t>
  </si>
  <si>
    <t>9ce741e02c69e5c41039e4750d54e932</t>
  </si>
  <si>
    <t>comprovantes\Mesada\GCompartilhar comprovante(77).png</t>
  </si>
  <si>
    <t>903acc7ddab45eb8e3125f8158e07d20</t>
  </si>
  <si>
    <t>comprovantes\Mesada\GCompartilhar comprovante(92).png</t>
  </si>
  <si>
    <t>b3919cc20683c352c24db03a0fc6a7bb</t>
  </si>
  <si>
    <t>comprovantes\Mesada\GCompartilhar comprovante(93).png</t>
  </si>
  <si>
    <t>1a0ac8f356836ab67e69a1cdd734b531</t>
  </si>
  <si>
    <t>comprovantes\Mesada\GCompartilhar comprovante(104).png</t>
  </si>
  <si>
    <t>3b3b3444a6369cb4e45951290c469105</t>
  </si>
  <si>
    <t>comprovantes\Mesada\GCompartilhar comprovante(108).png</t>
  </si>
  <si>
    <t>88af7a4d134f928a6b3a692bc0f46489</t>
  </si>
  <si>
    <t>comprovantes\Mesada\GCompartilhar comprovante(120).png</t>
  </si>
  <si>
    <t>88a5645c74e9523b27797a861df3f690</t>
  </si>
  <si>
    <t>comprovantes\Mesada\GCompartilhar comprovante(141).png</t>
  </si>
  <si>
    <t>58cd82a37d27b98c6cb5f2205c2d7ed1</t>
  </si>
  <si>
    <t>comprovantes\Mesada\GCompartilhar comprovante(144).png</t>
  </si>
  <si>
    <t>ec0f1cc183998699aa3370c37c4c3288</t>
  </si>
  <si>
    <t>comprovantes\Mesada\GCompartilhar comprovante(153).png</t>
  </si>
  <si>
    <t>f429fa7997a8c1a2179e1fd5f1cb284f</t>
  </si>
  <si>
    <t>comprovantes\Mesada\GCompartilhar comprovante(168).png</t>
  </si>
  <si>
    <t>a631280b25e253ef894d10d9295b5634</t>
  </si>
  <si>
    <t>comprovantes\Mesada\GCompartilhar comprovante(170).png</t>
  </si>
  <si>
    <t>931c165f545c7ac93d01c22817e7dfd1</t>
  </si>
  <si>
    <t>comprovantes\Mesada\GCompartilhar comprovante(172).png</t>
  </si>
  <si>
    <t>e5b6f0e990430bbbd4633340f81d1de2</t>
  </si>
  <si>
    <t>comprovantes\Mesada\GCompartilhar comprovante(174).png</t>
  </si>
  <si>
    <t>b7bf886c3ec7d75a412e062ffe91eea6</t>
  </si>
  <si>
    <t>comprovantes\Mesada\GCompartilhar comprovante(186).png</t>
  </si>
  <si>
    <t>de31d184093698d985da340291f44448</t>
  </si>
  <si>
    <t>comprovantes\Mesada\GCompartilhar comprovante(187).png</t>
  </si>
  <si>
    <t>f98ad6ac4000895e8676cbb656e2ab81</t>
  </si>
  <si>
    <t>comprovantes\Mesada\GCompartilhar comprovante(232).png</t>
  </si>
  <si>
    <t>96b14ffcfeec18f6928a3873ca34a66b</t>
  </si>
  <si>
    <t>comprovantes\Mesada\GCompartilhar comprovante(244).png</t>
  </si>
  <si>
    <t>74fe5d53bc32f107682e002c124d4bac</t>
  </si>
  <si>
    <t>comprovantes\Mesada\GCompartilhar comprovante(242).png</t>
  </si>
  <si>
    <t>31aad38843a29b5e94a42eb9a83fd235</t>
  </si>
  <si>
    <t>comprovantes\Mesada\GCompartilhar comprovante(240).png</t>
  </si>
  <si>
    <t>cf5488ae33935a4192c54c741fc6852a</t>
  </si>
  <si>
    <t>comprovantes\Mesada\GCompartilhar comprovante(241).png</t>
  </si>
  <si>
    <t>8d2cb6a3b637e7c3f7b77abeb3b94ac2</t>
  </si>
  <si>
    <t>comprovantes\Mesada\GCompartilhar comprovante(239).png</t>
  </si>
  <si>
    <t>b2f3e68c73b368c483d90b9a6e95d826</t>
  </si>
  <si>
    <t>comprovantes\Mesada\GCompartilhar comprovante(238).png</t>
  </si>
  <si>
    <t>53a5f8d7a6b66b44ffbf5453dd216cb3</t>
  </si>
  <si>
    <t>comprovantes\Mesada\GCompartilhar comprovante(237).png</t>
  </si>
  <si>
    <t>5a2eb46ae5260b7d9a3397e94dc952ca</t>
  </si>
  <si>
    <t>comprovantes\Mesada\GCompartilhar comprovante(236).png</t>
  </si>
  <si>
    <t>a3393afa01d97c13c6dda7956a5f1fb6</t>
  </si>
  <si>
    <t>comprovantes\Saúde\Compartilhar comprovante(3).png</t>
  </si>
  <si>
    <t>add7e8309835ace9ac590aec85885a49</t>
  </si>
  <si>
    <t>comprovantes\Saúde\Compartilhar comprovante(5).png</t>
  </si>
  <si>
    <t>1e8b80728cd6857f50999a44203c3975</t>
  </si>
  <si>
    <t>comprovantes\Transporte\Compartilhar comprovante(55).png</t>
  </si>
  <si>
    <t>32e82b6e17cb3bd66f5e6981114eb3b1</t>
  </si>
  <si>
    <t>comprovantes\Transporte\Compartilhar comprovante(56).png</t>
  </si>
  <si>
    <t>0876ce72317c885e65b330d085a4ffbd</t>
  </si>
  <si>
    <t>ATAHANE VON BOROWSKI</t>
  </si>
  <si>
    <t>comprovantes\Vestuário e higiene\GCompartilhar comprovante(226).png</t>
  </si>
  <si>
    <t>77f49ce4a59af909f678622722b76eec</t>
  </si>
  <si>
    <t>RIACHUELO - MGC</t>
  </si>
  <si>
    <t>comprovantes\Vestuário e higiene\Compartilhar comprovante(3).png</t>
  </si>
  <si>
    <t>d6cecdb01dd457764cde876c0862012d</t>
  </si>
  <si>
    <t>Débito (cartão) - 31/08/2026 - pagador: Daisy Ferreira Braga de Souza</t>
  </si>
  <si>
    <t>Pix (transferência) - 02/08/2026 - pagador: Gabriel Arthur Braga Fernandes</t>
  </si>
  <si>
    <t>Controle 59, 60, 61, 62, 63, 64, 65, 66, 67, 70, 71, 671, 672</t>
  </si>
  <si>
    <t>Controle 72, 73, 74, 75, 76, 77, 78, 79, 80, 81, 82, 83, 84, 85, 86, 87, 88, 89, 90, 91, 92, 93, 94, 95, 96, 97, 98, 99, 100, 101, 102, 103, 104, 105, 106, 107, 108, 109, 110, 111, 112, 113, 114, 115, 116, 117, 118, 119, 120, 121, 122, 123, 124, 125, 126, 127, 128, 129, 130, 131, 132, 133, 134, 135, 136, 137, 138, 139, 140, 141, 142, 143, 144, 145, 146, 147, 148, 149, 150, 151, 152, 153, 154, 155, 156, 157, 158, 159, 160, 161, 162, 163, 164, 165, 166, 167, 168, 169, 170, 171, 172, 173, 174, 175, 176, 177, 178, 179, 180, 181, 182, 183, 184, 185, 186, 187, 188, 189, 190, 191, 192, 193, 194, 195, 196, 197, 198, 199, 200, 201, 202, 203, 204, 205, 206, 207, 208, 209, 210, 211, 212, 213, 214, 215, 216, 217, 218, 219, 220, 221, 222, 223, 224, 225, 226, 227, 228, 229, 230, 231, 232, 233, 234, 235, 236, 237, 238, 239, 240, 241, 242, 243, 244, 245, 246, 247, 248, 249, 250, 251, 252, 253, 254, 255, 256, 257, 258, 259, 260, 261, 262, 263, 264, 265, 266, 267, 268, 269, 270, 271, 272, 273, 274, 275, 276, 277, 278, 279, 280, 281, 282, 283, 284, 285, 286, 287, 288, 289, 290, 291, 292, 293, 294, 295, 296, 297, 298, 299, 300, 301, 302, 303, 673, 674</t>
  </si>
  <si>
    <t>Pix - 01/06/2026 - pagador: Daisy Ferreira Braga de Souza</t>
  </si>
  <si>
    <t>Controle 1, 4, 26, 42, 44, 675</t>
  </si>
  <si>
    <t>Controle 2, 3, 5, 8, 9, 10, 11, 12, 13, 15, 17, 18, 21, 22, 23, 24, 25, 27, 28, 29, 30, 31, 32, 34, 35, 36, 37, 38, 39, 40, 41, 43, 45, 46, 47, 48, 49, 50, 51, 52, 53, 676</t>
  </si>
  <si>
    <t>Pix - 08/09/2026 - pagador: MARIA GRACAS F B SOUZA</t>
  </si>
  <si>
    <t>Pix - 04/09/2026 - pagador: _ Daisy Ferreira Braga de Souza</t>
  </si>
  <si>
    <t>Pix - 01/09/2026 - pagador: _ Daisy Ferreira Braga de Souza</t>
  </si>
  <si>
    <t>Pix - 28/08/2026 - pagador: _ Daisy Ferreira Braga de Souza</t>
  </si>
  <si>
    <t>Pix - 21/08/2026 - pagador: _ Daisy Ferreira Braga de Souza</t>
  </si>
  <si>
    <t>Pix - 17/08/2026 - pagador: _ Daisy Ferreira Braga de Souza</t>
  </si>
  <si>
    <t>Pix - 15/08/2026 - pagador: _ Daisy Ferreira Braga de Souza</t>
  </si>
  <si>
    <t>Pix - 14/08/2026 - pagador: _ Daisy Ferreira Braga de Souza</t>
  </si>
  <si>
    <t>Pix - 06/08/2026 - pagador: MARIA GRACAS F B SOUZA</t>
  </si>
  <si>
    <t>Pix - 17/06/2026 - pagador: _ Daisy Ferreira Braga de Souza</t>
  </si>
  <si>
    <t>Pix - 08/06/2026 - pagador: MARIA GRACAS F B SOUZA</t>
  </si>
  <si>
    <t>Pix - 05/06/2026 - pagador: MARIA GRACAS F B SOUZA</t>
  </si>
  <si>
    <t>Pix - 03/06/2026 - pagador: _ Daisy Ferreira Braga de Souza</t>
  </si>
  <si>
    <t>Pix - 02/06/2026 - pagador: _ Daisy Ferreira Braga de Souza</t>
  </si>
  <si>
    <t>Pix - 14/05/2026 - pagador: _ Daisy Ferreira Braga de Souza</t>
  </si>
  <si>
    <t>Pix - 08/05/2026 - pagador: MARIA GRACAS F B SOUZA</t>
  </si>
  <si>
    <t>Pix - 07/05/2026 - pagador: _ Daisy Ferreira Braga de Souza</t>
  </si>
  <si>
    <t>Pix - 02/04/2026 - pagador: MARIA GRACAS F B SOUZA</t>
  </si>
  <si>
    <t>Pix - 21/03/2026 - pagador: RENATO LOPES FERNANDES</t>
  </si>
  <si>
    <t>Pix - 17/03/2026 - pagador: _ Daisy Ferreira Braga de Souza</t>
  </si>
  <si>
    <t>Pix - 06/03/2026 - pagador: MARIA GRACAS F B SOUZA</t>
  </si>
  <si>
    <t>Pix - 04/03/2026 - pagador: _ Daisy Ferreira Braga de Souza</t>
  </si>
  <si>
    <t>Pix - 20/02/2026 - pagador: _ Daisy Ferreira Braga de Souza</t>
  </si>
  <si>
    <t xml:space="preserve">Pix - 11/02/2026 - pagador: </t>
  </si>
  <si>
    <t>Pix - 06/02/2026 - pagador: MARIA GRACAS F B SOUZA</t>
  </si>
  <si>
    <t>Pix - 02/02/2026 - pagador: _ Daisy Ferreira Braga de Souza</t>
  </si>
  <si>
    <t>Pix - 24/01/2026 - pagador: _ Daisy Ferreira Braga de Souza</t>
  </si>
  <si>
    <t>Pix - 22/01/2026 - pagador: _ Daisy Ferreira Braga de Souza</t>
  </si>
  <si>
    <t>Pix - 16/01/2026 - pagador: _ Daisy Ferreira Braga de Souza</t>
  </si>
  <si>
    <t>Pix - 10/01/2026 - pagador: MARIA GRACAS F B SOUZA</t>
  </si>
  <si>
    <t>Pix - 09/01/2026 - pagador: RODRIGO MIRANDA MENDES</t>
  </si>
  <si>
    <t>Pix - 08/01/2026 - pagador: CARLOS FERREIRA BRAGA DE SOUZA</t>
  </si>
  <si>
    <t>Pix - 08/01/2026 - pagador: MARIA GRACAS F B SOUZA</t>
  </si>
  <si>
    <t>Controle 677, 678, 679, 680, 681, 682, 683, 684, 685, 686, 687, 688, 689, 690, 691, 692, 693, 694, 695, 696, 697, 698, 699, 700, 701, 702, 703, 704, 705, 706, 707, 708, 709, 710, 711</t>
  </si>
  <si>
    <t>2025-10</t>
  </si>
  <si>
    <t>Violino - 25/09/2025 - pagador: Daisy Ferreira Braga de Souza | Competencia ajustada para 10/2025 por solicitacao do usuario; data original da nota: 25/09/2025.</t>
  </si>
  <si>
    <t>Controle 314, 315, 316, 317, 319, 321, 323, 325, 327, 329, 331, 338</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</si>
</sst>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yyyy\-mm"/>
    <numFmt numFmtId="165" formatCode="&quot;R$&quot;\ #,##0.00"/>
    <numFmt numFmtId="166" formatCode="#.##000"/>
    <numFmt numFmtId="167" formatCode=";;;"/>
    <numFmt numFmtId="168" formatCode="mmm/\y\y"/>
    <numFmt numFmtId="169" formatCode="mmmm/\y\y\y\y"/>
    <numFmt numFmtId="170" formatCode="&quot;R$&quot;\ #,##0.00"/>
  </numFmts>
  <fonts count="18" x14ac:knownFonts="1">
    <font>
      <sz val="11"/>
      <color theme="1"/>
      <name val="Calibri"/>
      <family val="2"/>
      <scheme val="minor"/>
    </font>
    <font>
      <sz val="12"/>
      <color theme="10"/>
      <name val="Calibri"/>
      <family val="2"/>
      <scheme val="minor"/>
    </font>
    <font>
      <b/>
      <sz val="10"/>
      <color rgb="FFFFFFFF"/>
      <name val="Segoe UI"/>
      <family val="2"/>
    </font>
    <font>
      <b/>
      <sz val="16"/>
      <color rgb="FF1E3A5F"/>
      <name val="Segoe UI"/>
      <family val="2"/>
    </font>
    <font>
      <sz val="10"/>
      <color rgb="FF0F172A"/>
      <name val="Segoe UI"/>
      <family val="2"/>
    </font>
    <font>
      <b/>
      <sz val="10"/>
      <color rgb="FF0F172A"/>
      <name val="Segoe UI"/>
      <family val="2"/>
    </font>
    <font>
      <u/>
      <sz val="10"/>
      <color rgb="FF0F172A"/>
      <name val="Segoe UI"/>
      <family val="2"/>
    </font>
    <font>
      <b/>
      <sz val="18"/>
      <color rgb="FF1E3A5F"/>
      <name val="Segoe UI"/>
      <family val="2"/>
    </font>
    <font>
      <b/>
      <sz val="10"/>
      <color rgb="FF1E293B"/>
      <name val="Segoe UI"/>
      <family val="2"/>
    </font>
    <font>
      <sz val="10"/>
      <color rgb="FF1E293B"/>
      <name val="Segoe UI"/>
      <family val="2"/>
    </font>
    <font>
      <b/>
      <u/>
      <sz val="10"/>
      <color rgb="FFFFFFFF"/>
      <name val="Segoe UI"/>
      <family val="2"/>
    </font>
    <font>
      <b/>
      <sz val="10"/>
      <color rgb="FF2563EB"/>
      <name val="Segoe UI"/>
      <family val="2"/>
    </font>
    <font>
      <sz val="11"/>
      <color rgb="FF0F172A"/>
      <name val="Calibri"/>
      <family val="2"/>
      <scheme val="minor"/>
    </font>
    <font>
      <b/>
      <sz val="17"/>
      <color rgb="FF0F172A"/>
      <name val="Segoe UI"/>
      <family val="2"/>
    </font>
    <font>
      <b/>
      <sz val="8"/>
      <color rgb="FF334155"/>
      <name val="Segoe UI"/>
      <family val="2"/>
    </font>
    <font>
      <b/>
      <sz val="17"/>
      <color rgb="FF1E3A5F"/>
      <name val="Segoe UI"/>
      <family val="2"/>
    </font>
    <font>
      <b/>
      <u/>
      <sz val="10"/>
      <color rgb="FF0F172A"/>
      <name val="Segoe UI"/>
      <family val="2"/>
    </font>
    <font>
      <b/>
      <sz val="11"/>
      <color theme="1"/>
      <name val="Calibri"/>
      <family val="2"/>
      <scheme val="minor"/>
    </font>
  </fonts>
  <fills count="23">
    <fill>
      <patternFill patternType="none"/>
    </fill>
    <fill>
      <patternFill patternType="gray125"/>
    </fill>
    <fill>
      <patternFill patternType="solid">
        <fgColor rgb="FF1E3A5F"/>
        <bgColor indexed="64"/>
      </patternFill>
    </fill>
    <fill>
      <patternFill patternType="solid">
        <fgColor rgb="FFDBEAFE"/>
        <bgColor indexed="64"/>
      </patternFill>
    </fill>
    <fill>
      <patternFill patternType="solid">
        <fgColor rgb="FFF5F3FF"/>
        <bgColor indexed="64"/>
      </patternFill>
    </fill>
    <fill>
      <patternFill patternType="solid">
        <fgColor rgb="FFE2E8F0"/>
        <bgColor indexed="64"/>
      </patternFill>
    </fill>
    <fill>
      <patternFill patternType="solid">
        <fgColor rgb="FFBFDBFE"/>
        <bgColor indexed="64"/>
      </patternFill>
    </fill>
    <fill>
      <patternFill patternType="solid">
        <fgColor rgb="FFBBF7D0"/>
        <bgColor indexed="64"/>
      </patternFill>
    </fill>
    <fill>
      <patternFill patternType="solid">
        <fgColor rgb="FFFDE68A"/>
        <bgColor indexed="64"/>
      </patternFill>
    </fill>
    <fill>
      <patternFill patternType="solid">
        <fgColor rgb="FFFBCFE8"/>
        <bgColor indexed="64"/>
      </patternFill>
    </fill>
    <fill>
      <patternFill patternType="solid">
        <fgColor rgb="FFC7D2FE"/>
        <bgColor indexed="64"/>
      </patternFill>
    </fill>
    <fill>
      <patternFill patternType="solid">
        <fgColor rgb="FFDDD6FE"/>
        <bgColor indexed="64"/>
      </patternFill>
    </fill>
    <fill>
      <patternFill patternType="solid">
        <fgColor rgb="FF99F6E4"/>
        <bgColor indexed="64"/>
      </patternFill>
    </fill>
    <fill>
      <patternFill patternType="solid">
        <fgColor rgb="FFBAE6FD"/>
        <bgColor indexed="64"/>
      </patternFill>
    </fill>
    <fill>
      <patternFill patternType="solid">
        <fgColor rgb="FFFED7AA"/>
        <bgColor indexed="64"/>
      </patternFill>
    </fill>
    <fill>
      <patternFill patternType="solid">
        <fgColor rgb="FFCBD5E1"/>
        <bgColor indexed="64"/>
      </patternFill>
    </fill>
    <fill>
      <patternFill patternType="solid">
        <fgColor rgb="FF94A3B8"/>
        <bgColor indexed="64"/>
      </patternFill>
    </fill>
    <fill>
      <patternFill patternType="solid">
        <fgColor rgb="FFF8FAFC"/>
        <bgColor indexed="64"/>
      </patternFill>
    </fill>
    <fill>
      <patternFill patternType="solid">
        <fgColor rgb="FFF1F5F9"/>
        <bgColor indexed="64"/>
      </patternFill>
    </fill>
    <fill>
      <patternFill patternType="solid">
        <fgColor rgb="FFD6E0EA"/>
        <bgColor indexed="64"/>
      </patternFill>
    </fill>
    <fill>
      <patternFill patternType="solid">
        <fgColor rgb="FFC6D3E0"/>
        <bgColor indexed="64"/>
      </patternFill>
    </fill>
    <fill>
      <patternFill patternType="solid">
        <fgColor rgb="FFDBE4EE"/>
        <bgColor indexed="64"/>
      </patternFill>
    </fill>
    <fill>
      <patternFill patternType="solid">
        <fgColor theme="8" tint="0.79998168889431442"/>
        <bgColor indexed="64"/>
      </patternFill>
    </fill>
  </fills>
  <borders count="5">
    <border>
      <left/>
      <right/>
      <top/>
      <bottom/>
      <diagonal/>
    </border>
    <border>
      <left/>
      <right/>
      <top/>
      <bottom style="thin">
        <color rgb="FFFFFFFF"/>
      </bottom>
      <diagonal/>
    </border>
    <border>
      <left/>
      <right/>
      <top style="thin">
        <color rgb="FFFFFFFF"/>
      </top>
      <bottom style="thin">
        <color rgb="FFFFFFFF"/>
      </bottom>
      <diagonal/>
    </border>
    <border>
      <left/>
      <right/>
      <top style="thin">
        <color rgb="FFFFFFFF"/>
      </top>
      <bottom/>
      <diagonal/>
    </border>
    <border>
      <left style="thin">
        <color rgb="FFFFFFFF"/>
      </left>
      <right style="thin">
        <color rgb="FFFFFFFF"/>
      </right>
      <top style="thin">
        <color rgb="FFFFFFFF"/>
      </top>
      <bottom style="thin">
        <color rgb="FFFFFFFF"/>
      </bottom>
      <diagonal/>
    </border>
  </borders>
  <cellStyleXfs count="2">
    <xf numFmtId="0" fontId="0" fillId="0" borderId="0"/>
    <xf numFmtId="0" fontId="1" fillId="0" borderId="0"/>
  </cellStyleXfs>
  <cellXfs count="237">
    <xf numFmtId="0" fontId="0" fillId="0" borderId="0" xfId="0"/>
    <xf numFmtId="0" fontId="0" fillId="0" borderId="0" xfId="0" applyProtection="1">
      <protection locked="0"/>
    </xf>
    <xf numFmtId="0" fontId="4" fillId="0" borderId="0" xfId="0" applyFont="1" applyAlignment="1" applyProtection="1">
      <alignment horizontal="center"/>
      <protection locked="0"/>
    </xf>
    <xf numFmtId="1" fontId="4" fillId="0" borderId="0" xfId="0" applyNumberFormat="1" applyFont="1" applyAlignment="1" applyProtection="1">
      <alignment horizontal="center"/>
      <protection locked="0"/>
    </xf>
    <xf numFmtId="0" fontId="4" fillId="6" borderId="1" xfId="0" applyFont="1" applyFill="1" applyBorder="1" applyAlignment="1" applyProtection="1">
      <alignment horizontal="left"/>
      <protection locked="0"/>
    </xf>
    <xf numFmtId="0" fontId="4" fillId="6" borderId="2" xfId="0" applyFont="1" applyFill="1" applyBorder="1" applyAlignment="1" applyProtection="1">
      <alignment horizontal="left"/>
      <protection locked="0"/>
    </xf>
    <xf numFmtId="0" fontId="4" fillId="7" borderId="2" xfId="0" applyFont="1" applyFill="1" applyBorder="1" applyAlignment="1" applyProtection="1">
      <alignment horizontal="left"/>
      <protection locked="0"/>
    </xf>
    <xf numFmtId="0" fontId="4" fillId="8" borderId="2" xfId="0" applyFont="1" applyFill="1" applyBorder="1" applyAlignment="1" applyProtection="1">
      <alignment horizontal="left"/>
      <protection locked="0"/>
    </xf>
    <xf numFmtId="0" fontId="4" fillId="9" borderId="2" xfId="0" applyFont="1" applyFill="1" applyBorder="1" applyAlignment="1" applyProtection="1">
      <alignment horizontal="left"/>
      <protection locked="0"/>
    </xf>
    <xf numFmtId="0" fontId="4" fillId="10" borderId="2" xfId="0" applyFont="1" applyFill="1" applyBorder="1" applyAlignment="1" applyProtection="1">
      <alignment horizontal="left"/>
      <protection locked="0"/>
    </xf>
    <xf numFmtId="0" fontId="4" fillId="11" borderId="2" xfId="0" applyFont="1" applyFill="1" applyBorder="1" applyAlignment="1" applyProtection="1">
      <alignment horizontal="left"/>
      <protection locked="0"/>
    </xf>
    <xf numFmtId="0" fontId="4" fillId="12" borderId="2" xfId="0" applyFont="1" applyFill="1" applyBorder="1" applyAlignment="1" applyProtection="1">
      <alignment horizontal="left"/>
      <protection locked="0"/>
    </xf>
    <xf numFmtId="0" fontId="4" fillId="13" borderId="2" xfId="0" applyFont="1" applyFill="1" applyBorder="1" applyAlignment="1" applyProtection="1">
      <alignment horizontal="left"/>
      <protection locked="0"/>
    </xf>
    <xf numFmtId="0" fontId="4" fillId="14" borderId="2" xfId="0" applyFont="1" applyFill="1" applyBorder="1" applyAlignment="1" applyProtection="1">
      <alignment horizontal="left"/>
      <protection locked="0"/>
    </xf>
    <xf numFmtId="0" fontId="4" fillId="15" borderId="2" xfId="0" applyFont="1" applyFill="1" applyBorder="1" applyAlignment="1" applyProtection="1">
      <alignment horizontal="left"/>
      <protection locked="0"/>
    </xf>
    <xf numFmtId="0" fontId="4" fillId="5" borderId="2" xfId="0" applyFont="1" applyFill="1" applyBorder="1" applyAlignment="1" applyProtection="1">
      <alignment horizontal="left"/>
      <protection locked="0"/>
    </xf>
    <xf numFmtId="0" fontId="2" fillId="2" borderId="4" xfId="0" applyFont="1" applyFill="1" applyBorder="1" applyAlignment="1" applyProtection="1">
      <alignment horizontal="center" vertical="center" wrapText="1"/>
      <protection locked="0"/>
    </xf>
    <xf numFmtId="0" fontId="2" fillId="2" borderId="4" xfId="0" applyFont="1" applyFill="1" applyBorder="1" applyAlignment="1" applyProtection="1">
      <alignment horizontal="center"/>
      <protection locked="0"/>
    </xf>
    <xf numFmtId="0" fontId="10" fillId="2" borderId="4" xfId="0" applyFont="1" applyFill="1" applyBorder="1" applyAlignment="1" applyProtection="1">
      <alignment horizontal="center" vertical="center" wrapText="1"/>
      <protection locked="0"/>
    </xf>
    <xf numFmtId="0" fontId="6" fillId="5" borderId="0" xfId="0" applyFont="1" applyFill="1" applyAlignment="1" applyProtection="1">
      <alignment horizontal="center"/>
      <protection locked="0"/>
    </xf>
    <xf numFmtId="0" fontId="6" fillId="0" borderId="0" xfId="0" applyFont="1" applyAlignment="1" applyProtection="1">
      <alignment horizontal="center"/>
      <protection locked="0"/>
    </xf>
    <xf numFmtId="0" fontId="11" fillId="7" borderId="2" xfId="0" applyFont="1" applyFill="1" applyBorder="1" applyAlignment="1" applyProtection="1">
      <alignment horizontal="center"/>
      <protection locked="0"/>
    </xf>
    <xf numFmtId="0" fontId="11" fillId="8" borderId="2" xfId="0" applyFont="1" applyFill="1" applyBorder="1" applyAlignment="1" applyProtection="1">
      <alignment horizontal="center"/>
      <protection locked="0"/>
    </xf>
    <xf numFmtId="0" fontId="11" fillId="9" borderId="2" xfId="0" applyFont="1" applyFill="1" applyBorder="1" applyAlignment="1" applyProtection="1">
      <alignment horizontal="center"/>
      <protection locked="0"/>
    </xf>
    <xf numFmtId="0" fontId="11" fillId="11" borderId="2" xfId="0" applyFont="1" applyFill="1" applyBorder="1" applyAlignment="1" applyProtection="1">
      <alignment horizontal="center"/>
      <protection locked="0"/>
    </xf>
    <xf numFmtId="0" fontId="11" fillId="12" borderId="2" xfId="0" applyFont="1" applyFill="1" applyBorder="1" applyAlignment="1" applyProtection="1">
      <alignment horizontal="center"/>
      <protection locked="0"/>
    </xf>
    <xf numFmtId="0" fontId="11" fillId="13" borderId="2" xfId="0" applyFont="1" applyFill="1" applyBorder="1" applyAlignment="1" applyProtection="1">
      <alignment horizontal="center"/>
      <protection locked="0"/>
    </xf>
    <xf numFmtId="0" fontId="11" fillId="14" borderId="2" xfId="0" applyFont="1" applyFill="1" applyBorder="1" applyAlignment="1" applyProtection="1">
      <alignment horizontal="center"/>
      <protection locked="0"/>
    </xf>
    <xf numFmtId="0" fontId="11" fillId="15" borderId="2" xfId="0" applyFont="1" applyFill="1" applyBorder="1" applyAlignment="1" applyProtection="1">
      <alignment horizontal="center"/>
      <protection locked="0"/>
    </xf>
    <xf numFmtId="0" fontId="11" fillId="5" borderId="2" xfId="0" applyFont="1" applyFill="1" applyBorder="1" applyAlignment="1" applyProtection="1">
      <alignment horizontal="center"/>
      <protection locked="0"/>
    </xf>
    <xf numFmtId="0" fontId="4" fillId="5" borderId="3" xfId="0" applyFont="1" applyFill="1" applyBorder="1" applyAlignment="1" applyProtection="1">
      <alignment horizontal="left"/>
      <protection locked="0"/>
    </xf>
    <xf numFmtId="0" fontId="4" fillId="5" borderId="3" xfId="0" applyFont="1" applyFill="1" applyBorder="1" applyAlignment="1" applyProtection="1">
      <alignment horizontal="center"/>
      <protection locked="0"/>
    </xf>
    <xf numFmtId="0" fontId="5" fillId="16" borderId="2" xfId="0" applyFont="1" applyFill="1" applyBorder="1" applyAlignment="1" applyProtection="1">
      <alignment horizontal="left"/>
      <protection locked="0"/>
    </xf>
    <xf numFmtId="0" fontId="5" fillId="16" borderId="2" xfId="0" applyFont="1" applyFill="1" applyBorder="1" applyAlignment="1" applyProtection="1">
      <alignment horizontal="center"/>
      <protection locked="0"/>
    </xf>
    <xf numFmtId="0" fontId="5" fillId="15" borderId="2" xfId="1" applyFont="1" applyFill="1" applyBorder="1" applyAlignment="1" applyProtection="1">
      <alignment horizontal="left"/>
      <protection locked="0"/>
    </xf>
    <xf numFmtId="0" fontId="5" fillId="7" borderId="0" xfId="0" applyFont="1" applyFill="1" applyAlignment="1" applyProtection="1">
      <alignment horizontal="center"/>
      <protection locked="0"/>
    </xf>
    <xf numFmtId="1" fontId="4" fillId="7" borderId="0" xfId="0" applyNumberFormat="1" applyFont="1" applyFill="1" applyAlignment="1" applyProtection="1">
      <alignment horizontal="center"/>
      <protection locked="0"/>
    </xf>
    <xf numFmtId="0" fontId="4" fillId="7" borderId="0" xfId="0" applyFont="1" applyFill="1" applyAlignment="1" applyProtection="1">
      <alignment horizontal="center"/>
      <protection locked="0"/>
    </xf>
    <xf numFmtId="0" fontId="6" fillId="7" borderId="0" xfId="0" applyFont="1" applyFill="1" applyAlignment="1" applyProtection="1">
      <alignment horizontal="center"/>
      <protection locked="0"/>
    </xf>
    <xf numFmtId="11" fontId="4" fillId="7" borderId="0" xfId="0" applyNumberFormat="1" applyFont="1" applyFill="1" applyAlignment="1" applyProtection="1">
      <alignment horizontal="center"/>
      <protection locked="0"/>
    </xf>
    <xf numFmtId="1" fontId="5" fillId="7" borderId="0" xfId="0" applyNumberFormat="1" applyFont="1" applyFill="1" applyAlignment="1" applyProtection="1">
      <alignment horizontal="center"/>
      <protection locked="0"/>
    </xf>
    <xf numFmtId="0" fontId="16" fillId="7" borderId="0" xfId="0" applyFont="1" applyFill="1" applyAlignment="1" applyProtection="1">
      <alignment horizontal="center"/>
      <protection locked="0"/>
    </xf>
    <xf numFmtId="0" fontId="1" fillId="0" borderId="0" xfId="1"/>
    <xf numFmtId="0" fontId="4" fillId="0" borderId="0" xfId="0" applyFont="1" applyFill="1" applyBorder="1" applyAlignment="1" applyProtection="1">
      <alignment horizontal="left"/>
      <protection locked="0"/>
    </xf>
    <xf numFmtId="0" fontId="4" fillId="0" borderId="0" xfId="0" applyFont="1" applyFill="1" applyBorder="1" applyAlignment="1" applyProtection="1">
      <alignment horizontal="center"/>
      <protection locked="0"/>
    </xf>
    <xf numFmtId="0" fontId="4" fillId="5" borderId="0" xfId="0" applyFont="1" applyFill="1" applyBorder="1" applyAlignment="1" applyProtection="1">
      <alignment horizontal="left"/>
      <protection locked="0"/>
    </xf>
    <xf numFmtId="0" fontId="4" fillId="5" borderId="0" xfId="0" applyFont="1" applyFill="1" applyBorder="1" applyAlignment="1" applyProtection="1">
      <alignment horizontal="center"/>
      <protection locked="0"/>
    </xf>
    <xf numFmtId="0" fontId="5" fillId="5" borderId="0" xfId="0" applyFont="1" applyFill="1" applyBorder="1" applyAlignment="1" applyProtection="1">
      <alignment horizontal="center"/>
      <protection locked="0"/>
    </xf>
    <xf numFmtId="1" fontId="4" fillId="0" borderId="0" xfId="0" applyNumberFormat="1" applyFont="1" applyFill="1" applyBorder="1" applyAlignment="1" applyProtection="1">
      <alignment horizontal="center"/>
      <protection locked="0"/>
    </xf>
    <xf numFmtId="164" fontId="4" fillId="0" borderId="0" xfId="0" applyNumberFormat="1" applyFont="1" applyFill="1" applyBorder="1" applyAlignment="1" applyProtection="1">
      <alignment horizontal="center"/>
      <protection locked="0"/>
    </xf>
    <xf numFmtId="0" fontId="6" fillId="0" borderId="0" xfId="0" applyFont="1" applyFill="1" applyBorder="1" applyAlignment="1" applyProtection="1">
      <alignment horizontal="center"/>
      <protection locked="0"/>
    </xf>
    <xf numFmtId="1" fontId="4" fillId="5" borderId="0" xfId="0" applyNumberFormat="1" applyFont="1" applyFill="1" applyBorder="1" applyAlignment="1" applyProtection="1">
      <alignment horizontal="center"/>
      <protection locked="0"/>
    </xf>
    <xf numFmtId="164" fontId="4" fillId="5" borderId="0" xfId="0" applyNumberFormat="1" applyFont="1" applyFill="1" applyBorder="1" applyAlignment="1" applyProtection="1">
      <alignment horizontal="center"/>
      <protection locked="0"/>
    </xf>
    <xf numFmtId="0" fontId="6" fillId="5" borderId="0" xfId="0" applyFont="1" applyFill="1" applyBorder="1" applyAlignment="1" applyProtection="1">
      <alignment horizontal="center"/>
      <protection locked="0"/>
    </xf>
    <xf numFmtId="0" fontId="4" fillId="0" borderId="0" xfId="0" applyFont="1" applyFill="1" applyBorder="1" applyProtection="1">
      <protection locked="0"/>
    </xf>
    <xf numFmtId="0" fontId="5" fillId="5" borderId="0" xfId="0" applyFont="1" applyFill="1" applyBorder="1" applyAlignment="1" applyProtection="1">
      <alignment horizontal="center" vertical="center"/>
      <protection locked="0"/>
    </xf>
    <xf numFmtId="0" fontId="4" fillId="5" borderId="0" xfId="0" applyFont="1" applyFill="1" applyBorder="1" applyAlignment="1" applyProtection="1">
      <alignment vertical="center"/>
      <protection locked="0"/>
    </xf>
    <xf numFmtId="0" fontId="5" fillId="5" borderId="0" xfId="0" applyFont="1" applyFill="1" applyBorder="1" applyAlignment="1" applyProtection="1">
      <alignment vertical="center"/>
      <protection locked="0"/>
    </xf>
    <xf numFmtId="0" fontId="4" fillId="5" borderId="0" xfId="0" applyFont="1" applyFill="1" applyBorder="1" applyProtection="1">
      <protection locked="0"/>
    </xf>
    <xf numFmtId="0" fontId="5" fillId="5" borderId="0" xfId="0" applyFont="1" applyFill="1" applyBorder="1" applyProtection="1">
      <protection locked="0"/>
    </xf>
    <xf numFmtId="164" fontId="4" fillId="5" borderId="0" xfId="0" applyNumberFormat="1" applyFont="1" applyFill="1" applyBorder="1" applyProtection="1">
      <protection locked="0"/>
    </xf>
    <xf numFmtId="0" fontId="2" fillId="2" borderId="0" xfId="0" applyFont="1" applyFill="1" applyBorder="1" applyAlignment="1" applyProtection="1">
      <alignment horizontal="center" vertical="center" wrapText="1"/>
      <protection locked="0"/>
    </xf>
    <xf numFmtId="0" fontId="2" fillId="2" borderId="0" xfId="0" applyFont="1" applyFill="1" applyBorder="1" applyAlignment="1" applyProtection="1">
      <alignment horizontal="center"/>
      <protection locked="0"/>
    </xf>
    <xf numFmtId="0" fontId="4" fillId="14" borderId="0" xfId="0" applyFont="1" applyFill="1" applyBorder="1" applyAlignment="1" applyProtection="1">
      <alignment horizontal="center"/>
      <protection locked="0"/>
    </xf>
    <xf numFmtId="0" fontId="5" fillId="8" borderId="2" xfId="0" applyFont="1" applyFill="1" applyBorder="1" applyAlignment="1" applyProtection="1">
      <alignment horizontal="left"/>
      <protection locked="0"/>
    </xf>
    <xf numFmtId="1" fontId="2" fillId="2" borderId="0" xfId="0" applyNumberFormat="1" applyFont="1" applyFill="1" applyBorder="1" applyAlignment="1" applyProtection="1">
      <alignment horizontal="center" vertical="center" wrapText="1"/>
      <protection locked="0"/>
    </xf>
    <xf numFmtId="164" fontId="2" fillId="2" borderId="0" xfId="0" applyNumberFormat="1" applyFont="1" applyFill="1" applyBorder="1" applyAlignment="1" applyProtection="1">
      <alignment horizontal="center" vertical="center" wrapText="1"/>
      <protection locked="0"/>
    </xf>
    <xf numFmtId="1" fontId="4" fillId="11" borderId="0" xfId="0" applyNumberFormat="1" applyFont="1" applyFill="1" applyAlignment="1" applyProtection="1">
      <alignment horizontal="center"/>
      <protection locked="0"/>
    </xf>
    <xf numFmtId="0" fontId="4" fillId="11" borderId="0" xfId="0" applyFont="1" applyFill="1" applyAlignment="1" applyProtection="1">
      <alignment horizontal="center"/>
      <protection locked="0"/>
    </xf>
    <xf numFmtId="0" fontId="6" fillId="11" borderId="0" xfId="0" applyFont="1" applyFill="1" applyAlignment="1" applyProtection="1">
      <alignment horizontal="center"/>
      <protection locked="0"/>
    </xf>
    <xf numFmtId="0" fontId="5" fillId="11" borderId="0" xfId="0" applyFont="1" applyFill="1" applyAlignment="1" applyProtection="1">
      <alignment horizontal="center"/>
      <protection locked="0"/>
    </xf>
    <xf numFmtId="11" fontId="4" fillId="11" borderId="0" xfId="0" applyNumberFormat="1" applyFont="1" applyFill="1" applyAlignment="1" applyProtection="1">
      <alignment horizontal="center"/>
      <protection locked="0"/>
    </xf>
    <xf numFmtId="1" fontId="4" fillId="8" borderId="0" xfId="0" applyNumberFormat="1" applyFont="1" applyFill="1" applyAlignment="1" applyProtection="1">
      <alignment horizontal="center"/>
      <protection locked="0"/>
    </xf>
    <xf numFmtId="0" fontId="4" fillId="8" borderId="0" xfId="0" applyFont="1" applyFill="1" applyAlignment="1" applyProtection="1">
      <alignment horizontal="center"/>
      <protection locked="0"/>
    </xf>
    <xf numFmtId="0" fontId="6" fillId="8" borderId="0" xfId="0" applyFont="1" applyFill="1" applyAlignment="1" applyProtection="1">
      <alignment horizontal="center"/>
      <protection locked="0"/>
    </xf>
    <xf numFmtId="1" fontId="4" fillId="10" borderId="0" xfId="0" applyNumberFormat="1" applyFont="1" applyFill="1" applyAlignment="1" applyProtection="1">
      <alignment horizontal="center"/>
      <protection locked="0"/>
    </xf>
    <xf numFmtId="0" fontId="4" fillId="10" borderId="0" xfId="0" applyFont="1" applyFill="1" applyAlignment="1" applyProtection="1">
      <alignment horizontal="center"/>
      <protection locked="0"/>
    </xf>
    <xf numFmtId="0" fontId="6" fillId="10" borderId="0" xfId="0" applyFont="1" applyFill="1" applyAlignment="1" applyProtection="1">
      <alignment horizontal="center"/>
      <protection locked="0"/>
    </xf>
    <xf numFmtId="11" fontId="4" fillId="10" borderId="0" xfId="0" applyNumberFormat="1" applyFont="1" applyFill="1" applyAlignment="1" applyProtection="1">
      <alignment horizontal="center"/>
      <protection locked="0"/>
    </xf>
    <xf numFmtId="1" fontId="5" fillId="10" borderId="0" xfId="0" applyNumberFormat="1" applyFont="1" applyFill="1" applyAlignment="1" applyProtection="1">
      <alignment horizontal="center"/>
      <protection locked="0"/>
    </xf>
    <xf numFmtId="0" fontId="5" fillId="10" borderId="0" xfId="0" applyFont="1" applyFill="1" applyAlignment="1" applyProtection="1">
      <alignment horizontal="center"/>
      <protection locked="0"/>
    </xf>
    <xf numFmtId="1" fontId="4" fillId="9" borderId="0" xfId="0" applyNumberFormat="1" applyFont="1" applyFill="1" applyAlignment="1" applyProtection="1">
      <alignment horizontal="center"/>
      <protection locked="0"/>
    </xf>
    <xf numFmtId="0" fontId="4" fillId="9" borderId="0" xfId="0" applyFont="1" applyFill="1" applyAlignment="1" applyProtection="1">
      <alignment horizontal="center"/>
      <protection locked="0"/>
    </xf>
    <xf numFmtId="1" fontId="4" fillId="6" borderId="0" xfId="0" applyNumberFormat="1" applyFont="1" applyFill="1" applyAlignment="1" applyProtection="1">
      <alignment horizontal="center"/>
      <protection locked="0"/>
    </xf>
    <xf numFmtId="0" fontId="4" fillId="6" borderId="0" xfId="0" applyFont="1" applyFill="1" applyAlignment="1" applyProtection="1">
      <alignment horizontal="center"/>
      <protection locked="0"/>
    </xf>
    <xf numFmtId="1" fontId="4" fillId="14" borderId="0" xfId="0" applyNumberFormat="1" applyFont="1" applyFill="1" applyAlignment="1" applyProtection="1">
      <alignment horizontal="center"/>
      <protection locked="0"/>
    </xf>
    <xf numFmtId="0" fontId="4" fillId="14" borderId="0" xfId="0" applyFont="1" applyFill="1" applyAlignment="1" applyProtection="1">
      <alignment horizontal="center"/>
      <protection locked="0"/>
    </xf>
    <xf numFmtId="1" fontId="4" fillId="14" borderId="0" xfId="0" applyNumberFormat="1" applyFont="1" applyFill="1" applyBorder="1" applyAlignment="1" applyProtection="1">
      <alignment horizontal="center"/>
      <protection locked="0"/>
    </xf>
    <xf numFmtId="0" fontId="5" fillId="6" borderId="0" xfId="0" applyFont="1" applyFill="1" applyBorder="1" applyAlignment="1" applyProtection="1">
      <alignment vertical="center"/>
      <protection locked="0"/>
    </xf>
    <xf numFmtId="0" fontId="4" fillId="7" borderId="0" xfId="0" applyFont="1" applyFill="1" applyBorder="1" applyAlignment="1" applyProtection="1">
      <alignment vertical="center"/>
      <protection locked="0"/>
    </xf>
    <xf numFmtId="0" fontId="4" fillId="8" borderId="0" xfId="0" applyFont="1" applyFill="1" applyBorder="1" applyAlignment="1" applyProtection="1">
      <alignment vertical="center"/>
      <protection locked="0"/>
    </xf>
    <xf numFmtId="0" fontId="4" fillId="9" borderId="0" xfId="0" applyFont="1" applyFill="1" applyBorder="1" applyAlignment="1" applyProtection="1">
      <alignment vertical="center"/>
      <protection locked="0"/>
    </xf>
    <xf numFmtId="0" fontId="4" fillId="10" borderId="0" xfId="0" applyFont="1" applyFill="1" applyBorder="1" applyAlignment="1" applyProtection="1">
      <alignment vertical="center"/>
      <protection locked="0"/>
    </xf>
    <xf numFmtId="0" fontId="4" fillId="11" borderId="0" xfId="0" applyFont="1" applyFill="1" applyBorder="1" applyAlignment="1" applyProtection="1">
      <alignment vertical="center"/>
      <protection locked="0"/>
    </xf>
    <xf numFmtId="0" fontId="4" fillId="12" borderId="0" xfId="0" applyFont="1" applyFill="1" applyBorder="1" applyAlignment="1" applyProtection="1">
      <alignment vertical="center"/>
      <protection locked="0"/>
    </xf>
    <xf numFmtId="0" fontId="4" fillId="13" borderId="0" xfId="0" applyFont="1" applyFill="1" applyBorder="1" applyAlignment="1" applyProtection="1">
      <alignment vertical="center"/>
      <protection locked="0"/>
    </xf>
    <xf numFmtId="0" fontId="4" fillId="14" borderId="0" xfId="0" applyFont="1" applyFill="1" applyBorder="1" applyAlignment="1" applyProtection="1">
      <alignment vertical="center"/>
      <protection locked="0"/>
    </xf>
    <xf numFmtId="0" fontId="4" fillId="15" borderId="0" xfId="0" applyFont="1" applyFill="1" applyBorder="1" applyAlignment="1" applyProtection="1">
      <alignment vertical="center"/>
      <protection locked="0"/>
    </xf>
    <xf numFmtId="0" fontId="5" fillId="3" borderId="0" xfId="0" applyFont="1" applyFill="1" applyBorder="1" applyAlignment="1" applyProtection="1">
      <alignment vertical="center"/>
      <protection locked="0"/>
    </xf>
    <xf numFmtId="0" fontId="2" fillId="2" borderId="0" xfId="0" applyFont="1" applyFill="1" applyBorder="1" applyAlignment="1" applyProtection="1">
      <alignment horizontal="center" vertical="center"/>
      <protection locked="0"/>
    </xf>
    <xf numFmtId="10" fontId="4" fillId="4" borderId="0" xfId="0" applyNumberFormat="1" applyFont="1" applyFill="1" applyBorder="1" applyAlignment="1" applyProtection="1">
      <alignment vertical="center"/>
      <protection locked="0"/>
    </xf>
    <xf numFmtId="165" fontId="4" fillId="4" borderId="0" xfId="0" applyNumberFormat="1" applyFont="1" applyFill="1" applyBorder="1" applyAlignment="1" applyProtection="1">
      <alignment vertical="center"/>
      <protection locked="0"/>
    </xf>
    <xf numFmtId="0" fontId="8" fillId="17" borderId="0" xfId="0" applyFont="1" applyFill="1" applyBorder="1" applyProtection="1">
      <protection locked="0"/>
    </xf>
    <xf numFmtId="0" fontId="9" fillId="17" borderId="0" xfId="0" applyFont="1" applyFill="1" applyBorder="1" applyProtection="1">
      <protection locked="0"/>
    </xf>
    <xf numFmtId="1" fontId="2" fillId="2" borderId="0" xfId="0" applyNumberFormat="1" applyFont="1" applyFill="1" applyBorder="1" applyProtection="1">
      <protection locked="0"/>
    </xf>
    <xf numFmtId="0" fontId="4" fillId="18" borderId="0" xfId="0" applyFont="1" applyFill="1" applyBorder="1" applyProtection="1">
      <protection locked="0"/>
    </xf>
    <xf numFmtId="0" fontId="12" fillId="19" borderId="0" xfId="0" applyFont="1" applyFill="1" applyBorder="1" applyAlignment="1" applyProtection="1">
      <alignment horizontal="left" vertical="center"/>
      <protection locked="0"/>
    </xf>
    <xf numFmtId="0" fontId="14" fillId="20" borderId="0" xfId="0" applyFont="1" applyFill="1" applyBorder="1" applyAlignment="1" applyProtection="1">
      <alignment horizontal="left" vertical="center"/>
      <protection locked="0"/>
    </xf>
    <xf numFmtId="0" fontId="12" fillId="20" borderId="0" xfId="0" applyFont="1" applyFill="1" applyBorder="1" applyAlignment="1" applyProtection="1">
      <alignment horizontal="left" vertical="center"/>
      <protection locked="0"/>
    </xf>
    <xf numFmtId="0" fontId="5" fillId="3" borderId="0" xfId="0" applyFont="1" applyFill="1" applyBorder="1" applyAlignment="1" applyProtection="1">
      <alignment horizontal="center"/>
      <protection locked="0"/>
    </xf>
    <xf numFmtId="165" fontId="4" fillId="4" borderId="0" xfId="0" applyNumberFormat="1" applyFont="1" applyFill="1" applyBorder="1" applyAlignment="1" applyProtection="1">
      <alignment vertical="center"/>
      <protection locked="0"/>
    </xf>
    <xf numFmtId="165" fontId="4" fillId="18" borderId="0" xfId="0" applyNumberFormat="1" applyFont="1" applyFill="1" applyBorder="1" applyProtection="1">
      <protection locked="0"/>
    </xf>
    <xf numFmtId="0" fontId="4" fillId="6" borderId="1" xfId="0" applyNumberFormat="1" applyFont="1" applyFill="1" applyBorder="1" applyAlignment="1" applyProtection="1">
      <alignment horizontal="center"/>
      <protection locked="0"/>
    </xf>
    <xf numFmtId="0" fontId="4" fillId="6" borderId="2" xfId="0" applyNumberFormat="1" applyFont="1" applyFill="1" applyBorder="1" applyAlignment="1" applyProtection="1">
      <alignment horizontal="center"/>
      <protection locked="0"/>
    </xf>
    <xf numFmtId="0" fontId="4" fillId="7" borderId="2" xfId="0" applyNumberFormat="1" applyFont="1" applyFill="1" applyBorder="1" applyAlignment="1" applyProtection="1">
      <alignment horizontal="center"/>
      <protection locked="0"/>
    </xf>
    <xf numFmtId="0" fontId="4" fillId="8" borderId="2" xfId="0" applyNumberFormat="1" applyFont="1" applyFill="1" applyBorder="1" applyAlignment="1" applyProtection="1">
      <alignment horizontal="center"/>
      <protection locked="0"/>
    </xf>
    <xf numFmtId="0" fontId="4" fillId="9" borderId="2" xfId="0" applyNumberFormat="1" applyFont="1" applyFill="1" applyBorder="1" applyAlignment="1" applyProtection="1">
      <alignment horizontal="center"/>
      <protection locked="0"/>
    </xf>
    <xf numFmtId="0" fontId="4" fillId="10" borderId="2" xfId="0" applyNumberFormat="1" applyFont="1" applyFill="1" applyBorder="1" applyAlignment="1" applyProtection="1">
      <alignment horizontal="center"/>
      <protection locked="0"/>
    </xf>
    <xf numFmtId="0" fontId="4" fillId="11" borderId="2" xfId="0" applyNumberFormat="1" applyFont="1" applyFill="1" applyBorder="1" applyAlignment="1" applyProtection="1">
      <alignment horizontal="center"/>
      <protection locked="0"/>
    </xf>
    <xf numFmtId="0" fontId="4" fillId="12" borderId="2" xfId="0" applyNumberFormat="1" applyFont="1" applyFill="1" applyBorder="1" applyAlignment="1" applyProtection="1">
      <alignment horizontal="center"/>
      <protection locked="0"/>
    </xf>
    <xf numFmtId="0" fontId="4" fillId="13" borderId="2" xfId="0" applyNumberFormat="1" applyFont="1" applyFill="1" applyBorder="1" applyAlignment="1" applyProtection="1">
      <alignment horizontal="center"/>
      <protection locked="0"/>
    </xf>
    <xf numFmtId="0" fontId="4" fillId="14" borderId="2" xfId="0" applyNumberFormat="1" applyFont="1" applyFill="1" applyBorder="1" applyAlignment="1" applyProtection="1">
      <alignment horizontal="center"/>
      <protection locked="0"/>
    </xf>
    <xf numFmtId="0" fontId="4" fillId="15" borderId="2" xfId="0" applyNumberFormat="1" applyFont="1" applyFill="1" applyBorder="1" applyAlignment="1" applyProtection="1">
      <alignment horizontal="center"/>
      <protection locked="0"/>
    </xf>
    <xf numFmtId="0" fontId="4" fillId="5" borderId="2" xfId="0" applyNumberFormat="1" applyFont="1" applyFill="1" applyBorder="1" applyAlignment="1" applyProtection="1">
      <alignment horizontal="center"/>
      <protection locked="0"/>
    </xf>
    <xf numFmtId="0" fontId="17" fillId="0" borderId="0" xfId="0" applyFont="1"/>
    <xf numFmtId="1" fontId="17" fillId="0" borderId="0" xfId="0" applyNumberFormat="1" applyFont="1"/>
    <xf numFmtId="1" fontId="0" fillId="0" borderId="0" xfId="0" applyNumberFormat="1"/>
    <xf numFmtId="164" fontId="17" fillId="0" borderId="0" xfId="0" applyNumberFormat="1" applyFont="1"/>
    <xf numFmtId="164" fontId="0" fillId="0" borderId="0" xfId="0" applyNumberFormat="1"/>
    <xf numFmtId="11" fontId="4" fillId="6" borderId="0" xfId="0" applyNumberFormat="1" applyFont="1" applyFill="1" applyAlignment="1" applyProtection="1">
      <alignment horizontal="center"/>
      <protection locked="0"/>
    </xf>
    <xf numFmtId="0" fontId="5" fillId="3" borderId="0" xfId="0" applyFont="1" applyFill="1" applyAlignment="1" applyProtection="1">
      <alignment horizontal="center"/>
      <protection locked="0"/>
    </xf>
    <xf numFmtId="1" fontId="4" fillId="0" borderId="0" xfId="0" applyNumberFormat="1" applyFont="1" applyFill="1" applyAlignment="1" applyProtection="1">
      <alignment horizontal="center"/>
      <protection locked="0"/>
    </xf>
    <xf numFmtId="0" fontId="4" fillId="0" borderId="0" xfId="0" applyFont="1" applyFill="1" applyAlignment="1" applyProtection="1">
      <alignment horizontal="center"/>
      <protection locked="0"/>
    </xf>
    <xf numFmtId="0" fontId="4" fillId="22" borderId="2" xfId="0" applyFont="1" applyFill="1" applyBorder="1" applyAlignment="1" applyProtection="1">
      <alignment horizontal="left"/>
      <protection locked="0"/>
    </xf>
    <xf numFmtId="0" fontId="4" fillId="22" borderId="2" xfId="0" applyNumberFormat="1" applyFont="1" applyFill="1" applyBorder="1" applyAlignment="1" applyProtection="1">
      <alignment horizontal="center"/>
      <protection locked="0"/>
    </xf>
    <xf numFmtId="0" fontId="6" fillId="0" borderId="0" xfId="0" applyFont="1" applyFill="1" applyAlignment="1" applyProtection="1">
      <alignment horizontal="center"/>
      <protection locked="0"/>
    </xf>
    <xf numFmtId="0" fontId="0" fillId="0" borderId="0" xfId="0" applyAlignment="1">
      <alignment horizontal="left"/>
    </xf>
    <xf numFmtId="0" fontId="0" fillId="0" borderId="0" xfId="0" applyNumberFormat="1"/>
    <xf numFmtId="165" fontId="4" fillId="0" borderId="0" xfId="0" applyNumberFormat="1" applyFont="1" applyFill="1" applyBorder="1" applyAlignment="1" applyProtection="1">
      <alignment horizontal="center"/>
      <protection locked="0"/>
    </xf>
    <xf numFmtId="11" fontId="4" fillId="0" borderId="0" xfId="0" applyNumberFormat="1" applyFont="1" applyFill="1" applyBorder="1" applyAlignment="1" applyProtection="1">
      <alignment horizontal="center"/>
      <protection locked="0"/>
    </xf>
    <xf numFmtId="1" fontId="5" fillId="3" borderId="0" xfId="0" applyNumberFormat="1" applyFont="1" applyFill="1" applyBorder="1" applyAlignment="1" applyProtection="1">
      <alignment horizontal="center"/>
      <protection locked="0"/>
    </xf>
    <xf numFmtId="164" fontId="5" fillId="3" borderId="0" xfId="0" applyNumberFormat="1" applyFont="1" applyFill="1" applyBorder="1" applyAlignment="1" applyProtection="1">
      <alignment horizontal="center"/>
      <protection locked="0"/>
    </xf>
    <xf numFmtId="166" fontId="0" fillId="0" borderId="0" xfId="0" applyNumberFormat="1" applyProtection="1">
      <protection locked="0"/>
    </xf>
    <xf numFmtId="0" fontId="2" fillId="2" borderId="0" xfId="0" applyFont="1" applyFill="1" applyBorder="1" applyProtection="1">
      <protection locked="0"/>
    </xf>
    <xf numFmtId="0" fontId="15" fillId="21" borderId="0" xfId="0" applyFont="1" applyFill="1" applyBorder="1" applyProtection="1">
      <protection locked="0"/>
    </xf>
    <xf numFmtId="0" fontId="4" fillId="21" borderId="0" xfId="0" applyFont="1" applyFill="1" applyBorder="1" applyProtection="1">
      <protection locked="0"/>
    </xf>
    <xf numFmtId="0" fontId="4" fillId="18" borderId="0" xfId="0" applyFont="1" applyFill="1" applyBorder="1" applyProtection="1">
      <protection locked="0"/>
    </xf>
    <xf numFmtId="167" fontId="4" fillId="21" borderId="0" xfId="0" applyNumberFormat="1" applyFont="1" applyFill="1" applyBorder="1" applyProtection="1">
      <protection locked="0"/>
    </xf>
    <xf numFmtId="168" fontId="2" fillId="2" borderId="4" xfId="0" applyNumberFormat="1" applyFont="1" applyFill="1" applyBorder="1" applyAlignment="1" applyProtection="1">
      <alignment horizontal="center" vertical="center" wrapText="1"/>
      <protection locked="0"/>
    </xf>
    <xf numFmtId="0" fontId="2" fillId="2" borderId="4" xfId="0" applyFont="1" applyFill="1" applyBorder="1" applyAlignment="1" applyProtection="1">
      <alignment horizontal="center" wrapText="1"/>
      <protection locked="0"/>
    </xf>
    <xf numFmtId="169" fontId="4" fillId="2" borderId="0" xfId="0" applyNumberFormat="1" applyFont="1" applyFill="1" applyBorder="1" applyProtection="1"/>
    <xf numFmtId="169" fontId="4" fillId="21" borderId="0" xfId="0" applyNumberFormat="1" applyFont="1" applyFill="1" applyBorder="1" applyProtection="1"/>
    <xf numFmtId="0" fontId="2" fillId="2" borderId="0" xfId="0" applyFont="1" applyFill="1" applyBorder="1" applyAlignment="1" applyProtection="1">
      <alignment vertical="center"/>
      <protection locked="0"/>
    </xf>
    <xf numFmtId="0" fontId="4" fillId="5" borderId="0" xfId="0" applyFont="1" applyFill="1" applyBorder="1" applyAlignment="1" applyProtection="1">
      <alignment vertical="center" wrapText="1"/>
      <protection locked="0"/>
    </xf>
    <xf numFmtId="1" fontId="4" fillId="5" borderId="0" xfId="0" applyNumberFormat="1" applyFont="1" applyFill="1" applyBorder="1" applyAlignment="1" applyProtection="1">
      <alignment vertical="center"/>
      <protection locked="0"/>
    </xf>
    <xf numFmtId="165" fontId="4" fillId="6" borderId="1" xfId="0" applyNumberFormat="1" applyFont="1" applyFill="1" applyBorder="1" applyAlignment="1" applyProtection="1">
      <alignment horizontal="center"/>
      <protection locked="0"/>
    </xf>
    <xf numFmtId="165" fontId="4" fillId="6" borderId="2" xfId="0" applyNumberFormat="1" applyFont="1" applyFill="1" applyBorder="1" applyAlignment="1" applyProtection="1">
      <alignment horizontal="center"/>
      <protection locked="0"/>
    </xf>
    <xf numFmtId="165" fontId="4" fillId="6" borderId="2" xfId="1" applyNumberFormat="1" applyFont="1" applyFill="1" applyBorder="1" applyAlignment="1" applyProtection="1">
      <alignment horizontal="center"/>
      <protection locked="0"/>
    </xf>
    <xf numFmtId="165" fontId="4" fillId="7" borderId="2" xfId="0" applyNumberFormat="1" applyFont="1" applyFill="1" applyBorder="1" applyAlignment="1" applyProtection="1">
      <alignment horizontal="center"/>
      <protection locked="0"/>
    </xf>
    <xf numFmtId="165" fontId="4" fillId="7" borderId="2" xfId="1" applyNumberFormat="1" applyFont="1" applyFill="1" applyBorder="1" applyAlignment="1" applyProtection="1">
      <alignment horizontal="center"/>
      <protection locked="0"/>
    </xf>
    <xf numFmtId="165" fontId="4" fillId="8" borderId="2" xfId="0" applyNumberFormat="1" applyFont="1" applyFill="1" applyBorder="1" applyAlignment="1" applyProtection="1">
      <alignment horizontal="center"/>
      <protection locked="0"/>
    </xf>
    <xf numFmtId="165" fontId="4" fillId="8" borderId="2" xfId="1" applyNumberFormat="1" applyFont="1" applyFill="1" applyBorder="1" applyAlignment="1" applyProtection="1">
      <alignment horizontal="center"/>
      <protection locked="0"/>
    </xf>
    <xf numFmtId="165" fontId="4" fillId="9" borderId="2" xfId="0" applyNumberFormat="1" applyFont="1" applyFill="1" applyBorder="1" applyAlignment="1" applyProtection="1">
      <alignment horizontal="center"/>
      <protection locked="0"/>
    </xf>
    <xf numFmtId="165" fontId="4" fillId="9" borderId="2" xfId="1" applyNumberFormat="1" applyFont="1" applyFill="1" applyBorder="1" applyAlignment="1" applyProtection="1">
      <alignment horizontal="center"/>
      <protection locked="0"/>
    </xf>
    <xf numFmtId="165" fontId="4" fillId="10" borderId="2" xfId="0" applyNumberFormat="1" applyFont="1" applyFill="1" applyBorder="1" applyAlignment="1" applyProtection="1">
      <alignment horizontal="center"/>
      <protection locked="0"/>
    </xf>
    <xf numFmtId="165" fontId="4" fillId="22" borderId="2" xfId="0" applyNumberFormat="1" applyFont="1" applyFill="1" applyBorder="1" applyAlignment="1" applyProtection="1">
      <alignment horizontal="center"/>
      <protection locked="0"/>
    </xf>
    <xf numFmtId="165" fontId="4" fillId="10" borderId="2" xfId="1" applyNumberFormat="1" applyFont="1" applyFill="1" applyBorder="1" applyAlignment="1" applyProtection="1">
      <alignment horizontal="center"/>
      <protection locked="0"/>
    </xf>
    <xf numFmtId="165" fontId="4" fillId="11" borderId="2" xfId="0" applyNumberFormat="1" applyFont="1" applyFill="1" applyBorder="1" applyAlignment="1" applyProtection="1">
      <alignment horizontal="center"/>
      <protection locked="0"/>
    </xf>
    <xf numFmtId="165" fontId="4" fillId="11" borderId="2" xfId="1" applyNumberFormat="1" applyFont="1" applyFill="1" applyBorder="1" applyAlignment="1" applyProtection="1">
      <alignment horizontal="center"/>
      <protection locked="0"/>
    </xf>
    <xf numFmtId="165" fontId="4" fillId="12" borderId="2" xfId="0" applyNumberFormat="1" applyFont="1" applyFill="1" applyBorder="1" applyAlignment="1" applyProtection="1">
      <alignment horizontal="center"/>
      <protection locked="0"/>
    </xf>
    <xf numFmtId="165" fontId="4" fillId="12" borderId="2" xfId="1" applyNumberFormat="1" applyFont="1" applyFill="1" applyBorder="1" applyAlignment="1" applyProtection="1">
      <alignment horizontal="center"/>
      <protection locked="0"/>
    </xf>
    <xf numFmtId="165" fontId="4" fillId="13" borderId="2" xfId="0" applyNumberFormat="1" applyFont="1" applyFill="1" applyBorder="1" applyAlignment="1" applyProtection="1">
      <alignment horizontal="center"/>
      <protection locked="0"/>
    </xf>
    <xf numFmtId="165" fontId="4" fillId="14" borderId="2" xfId="0" applyNumberFormat="1" applyFont="1" applyFill="1" applyBorder="1" applyAlignment="1" applyProtection="1">
      <alignment horizontal="center"/>
      <protection locked="0"/>
    </xf>
    <xf numFmtId="165" fontId="4" fillId="14" borderId="2" xfId="1" applyNumberFormat="1" applyFont="1" applyFill="1" applyBorder="1" applyAlignment="1" applyProtection="1">
      <alignment horizontal="center"/>
      <protection locked="0"/>
    </xf>
    <xf numFmtId="165" fontId="4" fillId="15" borderId="2" xfId="0" applyNumberFormat="1" applyFont="1" applyFill="1" applyBorder="1" applyAlignment="1" applyProtection="1">
      <alignment horizontal="center"/>
      <protection locked="0"/>
    </xf>
    <xf numFmtId="165" fontId="4" fillId="15" borderId="2" xfId="1" applyNumberFormat="1" applyFont="1" applyFill="1" applyBorder="1" applyAlignment="1" applyProtection="1">
      <alignment horizontal="center"/>
      <protection locked="0"/>
    </xf>
    <xf numFmtId="165" fontId="0" fillId="0" borderId="0" xfId="0" applyNumberFormat="1"/>
    <xf numFmtId="165" fontId="4" fillId="5" borderId="2" xfId="0" applyNumberFormat="1" applyFont="1" applyFill="1" applyBorder="1" applyAlignment="1" applyProtection="1">
      <alignment horizontal="center"/>
      <protection locked="0"/>
    </xf>
    <xf numFmtId="165" fontId="5" fillId="16" borderId="2" xfId="0" applyNumberFormat="1" applyFont="1" applyFill="1" applyBorder="1" applyAlignment="1" applyProtection="1">
      <alignment horizontal="center"/>
      <protection locked="0"/>
    </xf>
    <xf numFmtId="165" fontId="4" fillId="5" borderId="3" xfId="0" applyNumberFormat="1" applyFont="1" applyFill="1" applyBorder="1" applyAlignment="1" applyProtection="1">
      <alignment horizontal="center"/>
      <protection locked="0"/>
    </xf>
    <xf numFmtId="164" fontId="4" fillId="7" borderId="0" xfId="0" applyNumberFormat="1" applyFont="1" applyFill="1" applyAlignment="1" applyProtection="1">
      <alignment horizontal="center"/>
      <protection locked="0"/>
    </xf>
    <xf numFmtId="164" fontId="5" fillId="7" borderId="0" xfId="0" applyNumberFormat="1" applyFont="1" applyFill="1" applyAlignment="1" applyProtection="1">
      <alignment horizontal="center"/>
      <protection locked="0"/>
    </xf>
    <xf numFmtId="164" fontId="4" fillId="0" borderId="0" xfId="0" applyNumberFormat="1" applyFont="1" applyFill="1" applyAlignment="1" applyProtection="1">
      <alignment horizontal="center"/>
      <protection locked="0"/>
    </xf>
    <xf numFmtId="164" fontId="4" fillId="11" borderId="0" xfId="0" applyNumberFormat="1" applyFont="1" applyFill="1" applyAlignment="1" applyProtection="1">
      <alignment horizontal="center"/>
      <protection locked="0"/>
    </xf>
    <xf numFmtId="164" fontId="4" fillId="8" borderId="0" xfId="0" applyNumberFormat="1" applyFont="1" applyFill="1" applyAlignment="1" applyProtection="1">
      <alignment horizontal="center"/>
      <protection locked="0"/>
    </xf>
    <xf numFmtId="164" fontId="4" fillId="10" borderId="0" xfId="0" applyNumberFormat="1" applyFont="1" applyFill="1" applyAlignment="1" applyProtection="1">
      <alignment horizontal="center"/>
      <protection locked="0"/>
    </xf>
    <xf numFmtId="164" fontId="5" fillId="10" borderId="0" xfId="0" applyNumberFormat="1" applyFont="1" applyFill="1" applyAlignment="1" applyProtection="1">
      <alignment horizontal="center"/>
      <protection locked="0"/>
    </xf>
    <xf numFmtId="164" fontId="4" fillId="9" borderId="0" xfId="0" applyNumberFormat="1" applyFont="1" applyFill="1" applyAlignment="1" applyProtection="1">
      <alignment horizontal="center"/>
      <protection locked="0"/>
    </xf>
    <xf numFmtId="164" fontId="4" fillId="6" borderId="0" xfId="0" applyNumberFormat="1" applyFont="1" applyFill="1" applyAlignment="1" applyProtection="1">
      <alignment horizontal="center"/>
      <protection locked="0"/>
    </xf>
    <xf numFmtId="164" fontId="4" fillId="14" borderId="0" xfId="0" applyNumberFormat="1" applyFont="1" applyFill="1" applyAlignment="1" applyProtection="1">
      <alignment horizontal="center"/>
      <protection locked="0"/>
    </xf>
    <xf numFmtId="164" fontId="4" fillId="14" borderId="0" xfId="0" applyNumberFormat="1" applyFont="1" applyFill="1" applyBorder="1" applyAlignment="1" applyProtection="1">
      <alignment horizontal="center"/>
      <protection locked="0"/>
    </xf>
    <xf numFmtId="164" fontId="4" fillId="0" borderId="0" xfId="0" applyNumberFormat="1" applyFont="1" applyAlignment="1" applyProtection="1">
      <alignment horizontal="center"/>
      <protection locked="0"/>
    </xf>
    <xf numFmtId="165" fontId="4" fillId="5" borderId="0" xfId="0" applyNumberFormat="1" applyFont="1" applyFill="1" applyBorder="1" applyAlignment="1" applyProtection="1">
      <alignment horizontal="center"/>
      <protection locked="0"/>
    </xf>
    <xf numFmtId="165" fontId="2" fillId="2" borderId="0" xfId="0" applyNumberFormat="1" applyFont="1" applyFill="1" applyBorder="1" applyAlignment="1" applyProtection="1">
      <alignment horizontal="center" vertical="center" wrapText="1"/>
      <protection locked="0"/>
    </xf>
    <xf numFmtId="165" fontId="4" fillId="7" borderId="0" xfId="0" applyNumberFormat="1" applyFont="1" applyFill="1" applyAlignment="1" applyProtection="1">
      <alignment horizontal="center"/>
      <protection locked="0"/>
    </xf>
    <xf numFmtId="165" fontId="5" fillId="7" borderId="0" xfId="0" applyNumberFormat="1" applyFont="1" applyFill="1" applyAlignment="1" applyProtection="1">
      <alignment horizontal="center"/>
      <protection locked="0"/>
    </xf>
    <xf numFmtId="165" fontId="4" fillId="0" borderId="0" xfId="0" applyNumberFormat="1" applyFont="1" applyFill="1" applyAlignment="1" applyProtection="1">
      <alignment horizontal="center"/>
      <protection locked="0"/>
    </xf>
    <xf numFmtId="165" fontId="4" fillId="11" borderId="0" xfId="0" applyNumberFormat="1" applyFont="1" applyFill="1" applyAlignment="1" applyProtection="1">
      <alignment horizontal="center"/>
      <protection locked="0"/>
    </xf>
    <xf numFmtId="165" fontId="4" fillId="8" borderId="0" xfId="0" applyNumberFormat="1" applyFont="1" applyFill="1" applyAlignment="1" applyProtection="1">
      <alignment horizontal="center"/>
      <protection locked="0"/>
    </xf>
    <xf numFmtId="165" fontId="4" fillId="10" borderId="0" xfId="0" applyNumberFormat="1" applyFont="1" applyFill="1" applyAlignment="1" applyProtection="1">
      <alignment horizontal="center"/>
      <protection locked="0"/>
    </xf>
    <xf numFmtId="165" fontId="5" fillId="10" borderId="0" xfId="0" applyNumberFormat="1" applyFont="1" applyFill="1" applyAlignment="1" applyProtection="1">
      <alignment horizontal="center"/>
      <protection locked="0"/>
    </xf>
    <xf numFmtId="165" fontId="4" fillId="9" borderId="0" xfId="0" applyNumberFormat="1" applyFont="1" applyFill="1" applyAlignment="1" applyProtection="1">
      <alignment horizontal="center"/>
      <protection locked="0"/>
    </xf>
    <xf numFmtId="165" fontId="4" fillId="6" borderId="0" xfId="0" applyNumberFormat="1" applyFont="1" applyFill="1" applyAlignment="1" applyProtection="1">
      <alignment horizontal="center"/>
      <protection locked="0"/>
    </xf>
    <xf numFmtId="165" fontId="4" fillId="14" borderId="0" xfId="0" applyNumberFormat="1" applyFont="1" applyFill="1" applyAlignment="1" applyProtection="1">
      <alignment horizontal="center"/>
      <protection locked="0"/>
    </xf>
    <xf numFmtId="165" fontId="4" fillId="14" borderId="0" xfId="0" applyNumberFormat="1" applyFont="1" applyFill="1" applyBorder="1" applyAlignment="1" applyProtection="1">
      <alignment horizontal="center"/>
      <protection locked="0"/>
    </xf>
    <xf numFmtId="165" fontId="4" fillId="0" borderId="0" xfId="0" applyNumberFormat="1" applyFont="1" applyFill="1" applyBorder="1" applyAlignment="1" applyProtection="1">
      <alignment horizontal="center"/>
      <protection locked="0"/>
    </xf>
    <xf numFmtId="165" fontId="4" fillId="0" borderId="0" xfId="0" applyNumberFormat="1" applyFont="1" applyAlignment="1" applyProtection="1">
      <alignment horizontal="center"/>
      <protection locked="0"/>
    </xf>
    <xf numFmtId="14" fontId="17" fillId="0" borderId="0" xfId="0" applyNumberFormat="1" applyFont="1"/>
    <xf numFmtId="14" fontId="0" fillId="0" borderId="0" xfId="0" applyNumberFormat="1"/>
    <xf numFmtId="165" fontId="17" fillId="0" borderId="0" xfId="0" applyNumberFormat="1" applyFont="1"/>
    <xf numFmtId="14" fontId="4" fillId="5" borderId="0" xfId="0" applyNumberFormat="1" applyFont="1" applyFill="1" applyBorder="1" applyProtection="1">
      <protection locked="0"/>
    </xf>
    <xf numFmtId="165" fontId="4" fillId="5" borderId="0" xfId="0" applyNumberFormat="1" applyFont="1" applyFill="1" applyBorder="1" applyProtection="1">
      <protection locked="0"/>
    </xf>
    <xf numFmtId="0" fontId="3" fillId="5" borderId="0" xfId="0" applyFont="1" applyFill="1" applyBorder="1" applyAlignment="1" applyProtection="1">
      <alignment vertical="center"/>
      <protection locked="0"/>
    </xf>
    <xf numFmtId="0" fontId="5" fillId="5" borderId="0" xfId="0" applyFont="1" applyFill="1" applyBorder="1" applyAlignment="1" applyProtection="1">
      <alignment vertical="center"/>
      <protection locked="0"/>
    </xf>
    <xf numFmtId="0" fontId="2" fillId="2" borderId="0" xfId="0" applyFont="1" applyFill="1" applyBorder="1" applyAlignment="1" applyProtection="1">
      <alignment horizontal="center" vertical="center"/>
      <protection locked="0"/>
    </xf>
    <xf numFmtId="0" fontId="13" fillId="19" borderId="0" xfId="0" applyFont="1" applyFill="1" applyBorder="1" applyAlignment="1" applyProtection="1">
      <alignment horizontal="left" vertical="center"/>
      <protection locked="0"/>
    </xf>
    <xf numFmtId="0" fontId="12" fillId="19" borderId="0" xfId="0" applyFont="1" applyFill="1" applyBorder="1" applyAlignment="1" applyProtection="1">
      <alignment horizontal="left" vertical="center"/>
      <protection locked="0"/>
    </xf>
    <xf numFmtId="0" fontId="5" fillId="5" borderId="0" xfId="0" applyFont="1" applyFill="1" applyBorder="1" applyProtection="1">
      <protection locked="0"/>
    </xf>
    <xf numFmtId="0" fontId="4" fillId="5" borderId="0" xfId="0" applyFont="1" applyFill="1" applyBorder="1" applyProtection="1">
      <protection locked="0"/>
    </xf>
    <xf numFmtId="0" fontId="7" fillId="5" borderId="0" xfId="0" applyFont="1" applyFill="1" applyBorder="1" applyProtection="1">
      <protection locked="0"/>
    </xf>
    <xf numFmtId="49" fontId="4" fillId="0" borderId="0" xfId="0" applyNumberFormat="1" applyFont="1" applyFill="1" applyBorder="1" applyAlignment="1" applyProtection="1">
      <alignment horizontal="center"/>
      <protection locked="0"/>
    </xf>
    <xf numFmtId="0" fontId="6" fillId="0" borderId="0" xfId="0" applyFont="1" applyFill="1" applyBorder="1" applyAlignment="1" applyProtection="1">
      <alignment horizontal="center" wrapText="1"/>
      <protection locked="0"/>
    </xf>
    <xf numFmtId="170" fontId="5" fillId="6" borderId="0" xfId="0" applyNumberFormat="1" applyFont="1" applyFill="1" applyBorder="1" applyAlignment="1" applyProtection="1">
      <alignment vertical="center"/>
      <protection locked="0"/>
    </xf>
    <xf numFmtId="170" fontId="4" fillId="7" borderId="0" xfId="0" applyNumberFormat="1" applyFont="1" applyFill="1" applyBorder="1" applyAlignment="1" applyProtection="1">
      <alignment vertical="center"/>
      <protection locked="0"/>
    </xf>
    <xf numFmtId="170" fontId="4" fillId="8" borderId="0" xfId="0" applyNumberFormat="1" applyFont="1" applyFill="1" applyBorder="1" applyAlignment="1" applyProtection="1">
      <alignment vertical="center"/>
      <protection locked="0"/>
    </xf>
    <xf numFmtId="170" fontId="4" fillId="9" borderId="0" xfId="0" applyNumberFormat="1" applyFont="1" applyFill="1" applyBorder="1" applyAlignment="1" applyProtection="1">
      <alignment vertical="center"/>
      <protection locked="0"/>
    </xf>
    <xf numFmtId="170" fontId="4" fillId="10" borderId="0" xfId="0" applyNumberFormat="1" applyFont="1" applyFill="1" applyBorder="1" applyAlignment="1" applyProtection="1">
      <alignment vertical="center"/>
      <protection locked="0"/>
    </xf>
    <xf numFmtId="170" fontId="4" fillId="11" borderId="0" xfId="0" applyNumberFormat="1" applyFont="1" applyFill="1" applyBorder="1" applyAlignment="1" applyProtection="1">
      <alignment vertical="center"/>
      <protection locked="0"/>
    </xf>
    <xf numFmtId="170" fontId="4" fillId="12" borderId="0" xfId="0" applyNumberFormat="1" applyFont="1" applyFill="1" applyBorder="1" applyAlignment="1" applyProtection="1">
      <alignment vertical="center"/>
      <protection locked="0"/>
    </xf>
    <xf numFmtId="170" fontId="4" fillId="13" borderId="0" xfId="0" applyNumberFormat="1" applyFont="1" applyFill="1" applyBorder="1" applyAlignment="1" applyProtection="1">
      <alignment vertical="center"/>
      <protection locked="0"/>
    </xf>
    <xf numFmtId="170" fontId="4" fillId="14" borderId="0" xfId="0" applyNumberFormat="1" applyFont="1" applyFill="1" applyBorder="1" applyAlignment="1" applyProtection="1">
      <alignment vertical="center"/>
      <protection locked="0"/>
    </xf>
    <xf numFmtId="170" fontId="4" fillId="15" borderId="0" xfId="0" applyNumberFormat="1" applyFont="1" applyFill="1" applyBorder="1" applyAlignment="1" applyProtection="1">
      <alignment vertical="center"/>
      <protection locked="0"/>
    </xf>
    <xf numFmtId="170" fontId="16" fillId="3" borderId="0" xfId="0" applyNumberFormat="1" applyFont="1" applyFill="1" applyBorder="1" applyAlignment="1" applyProtection="1">
      <alignment vertical="center"/>
      <protection locked="0"/>
    </xf>
    <xf numFmtId="170" fontId="5" fillId="3" borderId="0" xfId="0" applyNumberFormat="1" applyFont="1" applyFill="1" applyBorder="1" applyAlignment="1" applyProtection="1">
      <alignment vertical="center"/>
      <protection locked="0"/>
    </xf>
    <xf numFmtId="170" fontId="4" fillId="5" borderId="0" xfId="0" applyNumberFormat="1" applyFont="1" applyFill="1" applyBorder="1" applyAlignment="1" applyProtection="1">
      <alignment vertical="center"/>
      <protection locked="0"/>
    </xf>
    <xf numFmtId="170" fontId="4" fillId="5" borderId="0" xfId="0" applyNumberFormat="1" applyFont="1" applyFill="1" applyBorder="1" applyAlignment="1" applyProtection="1">
      <alignment vertical="center" wrapText="1"/>
      <protection locked="0"/>
    </xf>
    <xf numFmtId="170" fontId="5" fillId="3" borderId="0" xfId="0" applyNumberFormat="1" applyFont="1" applyFill="1" applyBorder="1" applyAlignment="1" applyProtection="1">
      <alignment horizontal="center"/>
      <protection locked="0"/>
    </xf>
  </cellXfs>
  <cellStyles count="2">
    <cellStyle name="Hiperlink" xfId="1" builtinId="8"/>
    <cellStyle name="Normal" xfId="0" builtinId="0"/>
  </cellStyles>
  <dxfs count="3">
    <dxf>
      <font>
        <b/>
        <i val="0"/>
        <color rgb="FF334155"/>
      </font>
      <fill>
        <patternFill>
          <bgColor rgb="FFCBD5E1"/>
        </patternFill>
      </fill>
    </dxf>
    <dxf>
      <font>
        <b/>
        <i val="0"/>
        <color rgb="FF334155"/>
      </font>
      <fill>
        <patternFill>
          <bgColor rgb="FFCBD5E1"/>
        </patternFill>
      </fill>
    </dxf>
    <dxf>
      <font>
        <b/>
        <i val="0"/>
        <color rgb="FFFFFFFF"/>
      </font>
      <fill>
        <patternFill>
          <bgColor rgb="FF16A34A"/>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0</xdr:col>
      <xdr:colOff>25400</xdr:colOff>
      <xdr:row>0</xdr:row>
      <xdr:rowOff>25400</xdr:rowOff>
    </xdr:from>
    <xdr:to>
      <xdr:col>3</xdr:col>
      <xdr:colOff>50800</xdr:colOff>
      <xdr:row>1</xdr:row>
      <xdr:rowOff>155575</xdr:rowOff>
    </xdr:to>
    <xdr:sp macro="[0]!ExcluirRegistroControleSelecionado" textlink="">
      <xdr:nvSpPr>
        <xdr:cNvPr id="4" name="Retângulo de cantos arredondados 3"/>
        <xdr:cNvSpPr/>
      </xdr:nvSpPr>
      <xdr:spPr>
        <a:xfrm>
          <a:off x="25400" y="25400"/>
          <a:ext cx="7721600" cy="434975"/>
        </a:xfrm>
        <a:prstGeom prst="roundRect">
          <a:avLst/>
        </a:prstGeom>
        <a:solidFill>
          <a:srgbClr val="FECACA"/>
        </a:solidFill>
        <a:ln>
          <a:solidFill>
            <a:srgbClr val="93C5F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rgbClr val="1E3A5F"/>
              </a:solidFill>
              <a:latin typeface="Segoe UI"/>
            </a:rPr>
            <a:t>Excluir selecionado</a:t>
          </a:r>
        </a:p>
      </xdr:txBody>
    </xdr:sp>
    <xdr:clientData/>
  </xdr:twoCellAnchor>
  <xdr:twoCellAnchor editAs="absolute">
    <xdr:from>
      <xdr:col>3</xdr:col>
      <xdr:colOff>101600</xdr:colOff>
      <xdr:row>0</xdr:row>
      <xdr:rowOff>25400</xdr:rowOff>
    </xdr:from>
    <xdr:to>
      <xdr:col>5</xdr:col>
      <xdr:colOff>50800</xdr:colOff>
      <xdr:row>1</xdr:row>
      <xdr:rowOff>155575</xdr:rowOff>
    </xdr:to>
    <xdr:sp macro="[0]!LimparFiltroControle" textlink="">
      <xdr:nvSpPr>
        <xdr:cNvPr id="5" name="Retângulo de cantos arredondados 4"/>
        <xdr:cNvSpPr/>
      </xdr:nvSpPr>
      <xdr:spPr>
        <a:xfrm>
          <a:off x="7797800" y="25400"/>
          <a:ext cx="2044700" cy="434975"/>
        </a:xfrm>
        <a:prstGeom prst="roundRect">
          <a:avLst/>
        </a:prstGeom>
        <a:solidFill>
          <a:srgbClr val="DBEAFE"/>
        </a:solidFill>
        <a:ln>
          <a:solidFill>
            <a:srgbClr val="93C5F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rgbClr val="1E3A5F"/>
              </a:solidFill>
              <a:latin typeface="Segoe UI"/>
            </a:rPr>
            <a:t>Limpar filtro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231775</xdr:colOff>
      <xdr:row>3</xdr:row>
      <xdr:rowOff>136525</xdr:rowOff>
    </xdr:from>
    <xdr:to>
      <xdr:col>3</xdr:col>
      <xdr:colOff>225425</xdr:colOff>
      <xdr:row>4</xdr:row>
      <xdr:rowOff>120650</xdr:rowOff>
    </xdr:to>
    <xdr:sp macro="[0]!AbrirFerramentaExtracao" textlink="">
      <xdr:nvSpPr>
        <xdr:cNvPr id="12" name="Retângulo de cantos arredondados 11"/>
        <xdr:cNvSpPr/>
      </xdr:nvSpPr>
      <xdr:spPr>
        <a:xfrm>
          <a:off x="231775" y="936625"/>
          <a:ext cx="2470150" cy="250825"/>
        </a:xfrm>
        <a:prstGeom prst="roundRect">
          <a:avLst/>
        </a:prstGeom>
        <a:solidFill>
          <a:srgbClr val="334155"/>
        </a:solidFill>
        <a:ln w="12700">
          <a:solidFill>
            <a:srgbClr val="47556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F8FAFC"/>
              </a:solidFill>
              <a:latin typeface="Segoe UI"/>
            </a:rPr>
            <a:t>Abrir ferramenta</a:t>
          </a:r>
        </a:p>
      </xdr:txBody>
    </xdr:sp>
    <xdr:clientData/>
  </xdr:twoCellAnchor>
  <xdr:twoCellAnchor editAs="absolute">
    <xdr:from>
      <xdr:col>3</xdr:col>
      <xdr:colOff>498475</xdr:colOff>
      <xdr:row>3</xdr:row>
      <xdr:rowOff>136525</xdr:rowOff>
    </xdr:from>
    <xdr:to>
      <xdr:col>5</xdr:col>
      <xdr:colOff>739775</xdr:colOff>
      <xdr:row>4</xdr:row>
      <xdr:rowOff>120650</xdr:rowOff>
    </xdr:to>
    <xdr:sp macro="[0]!ExtrairDados" textlink="">
      <xdr:nvSpPr>
        <xdr:cNvPr id="13" name="Retângulo de cantos arredondados 12"/>
        <xdr:cNvSpPr/>
      </xdr:nvSpPr>
      <xdr:spPr>
        <a:xfrm>
          <a:off x="2974975" y="936625"/>
          <a:ext cx="2470150" cy="250825"/>
        </a:xfrm>
        <a:prstGeom prst="roundRect">
          <a:avLst/>
        </a:prstGeom>
        <a:solidFill>
          <a:srgbClr val="2563EB"/>
        </a:solidFill>
        <a:ln w="12700">
          <a:solidFill>
            <a:srgbClr val="1D4ED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FFFFFF"/>
              </a:solidFill>
              <a:latin typeface="Segoe UI"/>
            </a:rPr>
            <a:t>Extrair</a:t>
          </a:r>
        </a:p>
      </xdr:txBody>
    </xdr:sp>
    <xdr:clientData/>
  </xdr:twoCellAnchor>
  <xdr:twoCellAnchor editAs="absolute">
    <xdr:from>
      <xdr:col>5</xdr:col>
      <xdr:colOff>1012825</xdr:colOff>
      <xdr:row>3</xdr:row>
      <xdr:rowOff>136525</xdr:rowOff>
    </xdr:from>
    <xdr:to>
      <xdr:col>7</xdr:col>
      <xdr:colOff>6350</xdr:colOff>
      <xdr:row>4</xdr:row>
      <xdr:rowOff>120650</xdr:rowOff>
    </xdr:to>
    <xdr:sp macro="[0]!CarregarFilaJson" textlink="">
      <xdr:nvSpPr>
        <xdr:cNvPr id="14" name="Retângulo de cantos arredondados 13"/>
        <xdr:cNvSpPr/>
      </xdr:nvSpPr>
      <xdr:spPr>
        <a:xfrm>
          <a:off x="5718175" y="936625"/>
          <a:ext cx="1222375" cy="250825"/>
        </a:xfrm>
        <a:prstGeom prst="roundRect">
          <a:avLst/>
        </a:prstGeom>
        <a:solidFill>
          <a:srgbClr val="0F766E"/>
        </a:solidFill>
        <a:ln w="12700">
          <a:solidFill>
            <a:srgbClr val="0D948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FFFFFF"/>
              </a:solidFill>
              <a:latin typeface="Segoe UI"/>
            </a:rPr>
            <a:t>Fila JSON</a:t>
          </a:r>
        </a:p>
      </xdr:txBody>
    </xdr:sp>
    <xdr:clientData/>
  </xdr:twoCellAnchor>
  <xdr:twoCellAnchor editAs="absolute">
    <xdr:from>
      <xdr:col>0</xdr:col>
      <xdr:colOff>231775</xdr:colOff>
      <xdr:row>6</xdr:row>
      <xdr:rowOff>260350</xdr:rowOff>
    </xdr:from>
    <xdr:to>
      <xdr:col>3</xdr:col>
      <xdr:colOff>225425</xdr:colOff>
      <xdr:row>7</xdr:row>
      <xdr:rowOff>244475</xdr:rowOff>
    </xdr:to>
    <xdr:sp macro="[0]!ImportarTodosPendentes" textlink="">
      <xdr:nvSpPr>
        <xdr:cNvPr id="15" name="Retângulo de cantos arredondados 14"/>
        <xdr:cNvSpPr/>
      </xdr:nvSpPr>
      <xdr:spPr>
        <a:xfrm>
          <a:off x="231775" y="1860550"/>
          <a:ext cx="2470150" cy="250825"/>
        </a:xfrm>
        <a:prstGeom prst="roundRect">
          <a:avLst/>
        </a:prstGeom>
        <a:solidFill>
          <a:srgbClr val="166534"/>
        </a:solidFill>
        <a:ln w="12700">
          <a:solidFill>
            <a:srgbClr val="15803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FFFFFF"/>
              </a:solidFill>
              <a:latin typeface="Segoe UI"/>
            </a:rPr>
            <a:t>Pendentes</a:t>
          </a:r>
        </a:p>
      </xdr:txBody>
    </xdr:sp>
    <xdr:clientData/>
  </xdr:twoCellAnchor>
  <xdr:twoCellAnchor editAs="absolute">
    <xdr:from>
      <xdr:col>3</xdr:col>
      <xdr:colOff>498475</xdr:colOff>
      <xdr:row>6</xdr:row>
      <xdr:rowOff>260350</xdr:rowOff>
    </xdr:from>
    <xdr:to>
      <xdr:col>5</xdr:col>
      <xdr:colOff>739775</xdr:colOff>
      <xdr:row>7</xdr:row>
      <xdr:rowOff>244475</xdr:rowOff>
    </xdr:to>
    <xdr:sp macro="[0]!ImportarSelecionadoDaFila" textlink="">
      <xdr:nvSpPr>
        <xdr:cNvPr id="16" name="Retângulo de cantos arredondados 15"/>
        <xdr:cNvSpPr/>
      </xdr:nvSpPr>
      <xdr:spPr>
        <a:xfrm>
          <a:off x="2974975" y="1860550"/>
          <a:ext cx="2470150" cy="250825"/>
        </a:xfrm>
        <a:prstGeom prst="roundRect">
          <a:avLst/>
        </a:prstGeom>
        <a:solidFill>
          <a:srgbClr val="065F46"/>
        </a:solidFill>
        <a:ln w="12700">
          <a:solidFill>
            <a:srgbClr val="05966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FFFFFF"/>
              </a:solidFill>
              <a:latin typeface="Segoe UI"/>
            </a:rPr>
            <a:t>Linha selecionada</a:t>
          </a:r>
        </a:p>
      </xdr:txBody>
    </xdr:sp>
    <xdr:clientData/>
  </xdr:twoCellAnchor>
  <xdr:twoCellAnchor editAs="absolute">
    <xdr:from>
      <xdr:col>0</xdr:col>
      <xdr:colOff>231775</xdr:colOff>
      <xdr:row>10</xdr:row>
      <xdr:rowOff>117475</xdr:rowOff>
    </xdr:from>
    <xdr:to>
      <xdr:col>3</xdr:col>
      <xdr:colOff>225425</xdr:colOff>
      <xdr:row>11</xdr:row>
      <xdr:rowOff>101600</xdr:rowOff>
    </xdr:to>
    <xdr:sp macro="[0]!AbrirCadastros" textlink="">
      <xdr:nvSpPr>
        <xdr:cNvPr id="17" name="Retângulo de cantos arredondados 16"/>
        <xdr:cNvSpPr/>
      </xdr:nvSpPr>
      <xdr:spPr>
        <a:xfrm>
          <a:off x="231775" y="2784475"/>
          <a:ext cx="2470150" cy="250825"/>
        </a:xfrm>
        <a:prstGeom prst="roundRect">
          <a:avLst/>
        </a:prstGeom>
        <a:solidFill>
          <a:srgbClr val="78350F"/>
        </a:solidFill>
        <a:ln w="12700">
          <a:solidFill>
            <a:srgbClr val="92400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FFFFFF"/>
              </a:solidFill>
              <a:latin typeface="Segoe UI"/>
            </a:rPr>
            <a:t>Cadastros</a:t>
          </a:r>
        </a:p>
      </xdr:txBody>
    </xdr:sp>
    <xdr:clientData/>
  </xdr:twoCellAnchor>
  <xdr:twoCellAnchor editAs="absolute">
    <xdr:from>
      <xdr:col>3</xdr:col>
      <xdr:colOff>498475</xdr:colOff>
      <xdr:row>10</xdr:row>
      <xdr:rowOff>117475</xdr:rowOff>
    </xdr:from>
    <xdr:to>
      <xdr:col>5</xdr:col>
      <xdr:colOff>739775</xdr:colOff>
      <xdr:row>11</xdr:row>
      <xdr:rowOff>101600</xdr:rowOff>
    </xdr:to>
    <xdr:sp macro="[0]!AbrirComprovante" textlink="">
      <xdr:nvSpPr>
        <xdr:cNvPr id="18" name="Retângulo de cantos arredondados 17"/>
        <xdr:cNvSpPr/>
      </xdr:nvSpPr>
      <xdr:spPr>
        <a:xfrm>
          <a:off x="2974975" y="2784475"/>
          <a:ext cx="2470150" cy="250825"/>
        </a:xfrm>
        <a:prstGeom prst="roundRect">
          <a:avLst/>
        </a:prstGeom>
        <a:solidFill>
          <a:srgbClr val="7C2D12"/>
        </a:solidFill>
        <a:ln w="12700">
          <a:solidFill>
            <a:srgbClr val="9A341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FFFFFF"/>
              </a:solidFill>
              <a:latin typeface="Segoe UI"/>
            </a:rPr>
            <a:t>Abrir arquivo</a:t>
          </a:r>
        </a:p>
      </xdr:txBody>
    </xdr:sp>
    <xdr:clientData/>
  </xdr:twoCellAnchor>
  <xdr:twoCellAnchor editAs="absolute">
    <xdr:from>
      <xdr:col>5</xdr:col>
      <xdr:colOff>1012825</xdr:colOff>
      <xdr:row>10</xdr:row>
      <xdr:rowOff>117475</xdr:rowOff>
    </xdr:from>
    <xdr:to>
      <xdr:col>7</xdr:col>
      <xdr:colOff>6350</xdr:colOff>
      <xdr:row>11</xdr:row>
      <xdr:rowOff>101600</xdr:rowOff>
    </xdr:to>
    <xdr:sp macro="[0]!LimparDados" textlink="">
      <xdr:nvSpPr>
        <xdr:cNvPr id="19" name="Retângulo de cantos arredondados 18"/>
        <xdr:cNvSpPr/>
      </xdr:nvSpPr>
      <xdr:spPr>
        <a:xfrm>
          <a:off x="5718175" y="2784475"/>
          <a:ext cx="1222375" cy="250825"/>
        </a:xfrm>
        <a:prstGeom prst="roundRect">
          <a:avLst/>
        </a:prstGeom>
        <a:solidFill>
          <a:srgbClr val="7F1D1D"/>
        </a:solidFill>
        <a:ln w="12700">
          <a:solidFill>
            <a:srgbClr val="991B1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FFFFFF"/>
              </a:solidFill>
              <a:latin typeface="Segoe UI"/>
            </a:rPr>
            <a:t>Limpar</a:t>
          </a:r>
        </a:p>
      </xdr:txBody>
    </xdr:sp>
    <xdr:clientData/>
  </xdr:twoCellAnchor>
  <xdr:twoCellAnchor editAs="absolute">
    <xdr:from>
      <xdr:col>0</xdr:col>
      <xdr:colOff>231775</xdr:colOff>
      <xdr:row>13</xdr:row>
      <xdr:rowOff>241300</xdr:rowOff>
    </xdr:from>
    <xdr:to>
      <xdr:col>3</xdr:col>
      <xdr:colOff>225425</xdr:colOff>
      <xdr:row>14</xdr:row>
      <xdr:rowOff>225425</xdr:rowOff>
    </xdr:to>
    <xdr:sp macro="[0]!DesbloquearEdicao" textlink="">
      <xdr:nvSpPr>
        <xdr:cNvPr id="20" name="Retângulo de cantos arredondados 19"/>
        <xdr:cNvSpPr/>
      </xdr:nvSpPr>
      <xdr:spPr>
        <a:xfrm>
          <a:off x="231775" y="3708400"/>
          <a:ext cx="2470150" cy="250825"/>
        </a:xfrm>
        <a:prstGeom prst="roundRect">
          <a:avLst/>
        </a:prstGeom>
        <a:solidFill>
          <a:srgbClr val="475569"/>
        </a:solidFill>
        <a:ln w="12700">
          <a:solidFill>
            <a:srgbClr val="64748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F8FAFC"/>
              </a:solidFill>
              <a:latin typeface="Segoe UI"/>
            </a:rPr>
            <a:t>Destravar</a:t>
          </a:r>
        </a:p>
      </xdr:txBody>
    </xdr:sp>
    <xdr:clientData/>
  </xdr:twoCellAnchor>
  <xdr:twoCellAnchor editAs="absolute">
    <xdr:from>
      <xdr:col>3</xdr:col>
      <xdr:colOff>498475</xdr:colOff>
      <xdr:row>13</xdr:row>
      <xdr:rowOff>241300</xdr:rowOff>
    </xdr:from>
    <xdr:to>
      <xdr:col>5</xdr:col>
      <xdr:colOff>739775</xdr:colOff>
      <xdr:row>14</xdr:row>
      <xdr:rowOff>225425</xdr:rowOff>
    </xdr:to>
    <xdr:sp macro="[0]!BloquearEdicao" textlink="">
      <xdr:nvSpPr>
        <xdr:cNvPr id="21" name="Retângulo de cantos arredondados 20"/>
        <xdr:cNvSpPr/>
      </xdr:nvSpPr>
      <xdr:spPr>
        <a:xfrm>
          <a:off x="2974975" y="3708400"/>
          <a:ext cx="2470150" cy="250825"/>
        </a:xfrm>
        <a:prstGeom prst="roundRect">
          <a:avLst/>
        </a:prstGeom>
        <a:solidFill>
          <a:srgbClr val="475569"/>
        </a:solidFill>
        <a:ln w="12700">
          <a:solidFill>
            <a:srgbClr val="64748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F8FAFC"/>
              </a:solidFill>
              <a:latin typeface="Segoe UI"/>
            </a:rPr>
            <a:t>Travar</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25400</xdr:colOff>
      <xdr:row>9</xdr:row>
      <xdr:rowOff>25400</xdr:rowOff>
    </xdr:from>
    <xdr:to>
      <xdr:col>2</xdr:col>
      <xdr:colOff>955675</xdr:colOff>
      <xdr:row>10</xdr:row>
      <xdr:rowOff>155575</xdr:rowOff>
    </xdr:to>
    <xdr:sp macro="[0]!SalvarCadastroDespesa" textlink="">
      <xdr:nvSpPr>
        <xdr:cNvPr id="5" name="Retângulo de cantos arredondados 4"/>
        <xdr:cNvSpPr/>
      </xdr:nvSpPr>
      <xdr:spPr>
        <a:xfrm>
          <a:off x="1673225" y="1806575"/>
          <a:ext cx="3778250" cy="311150"/>
        </a:xfrm>
        <a:prstGeom prst="roundRect">
          <a:avLst/>
        </a:prstGeom>
        <a:solidFill>
          <a:srgbClr val="BBF7D0"/>
        </a:solidFill>
        <a:ln>
          <a:solidFill>
            <a:srgbClr val="93C5F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rgbClr val="1E3A5F"/>
              </a:solidFill>
              <a:latin typeface="Segoe UI"/>
            </a:rPr>
            <a:t>Salvar cadastro</a:t>
          </a:r>
        </a:p>
      </xdr:txBody>
    </xdr:sp>
    <xdr:clientData/>
  </xdr:twoCellAnchor>
  <xdr:twoCellAnchor editAs="absolute">
    <xdr:from>
      <xdr:col>3</xdr:col>
      <xdr:colOff>25400</xdr:colOff>
      <xdr:row>9</xdr:row>
      <xdr:rowOff>25400</xdr:rowOff>
    </xdr:from>
    <xdr:to>
      <xdr:col>4</xdr:col>
      <xdr:colOff>822325</xdr:colOff>
      <xdr:row>10</xdr:row>
      <xdr:rowOff>155575</xdr:rowOff>
    </xdr:to>
    <xdr:sp macro="[0]!CarregarCadastroSelecionado" textlink="">
      <xdr:nvSpPr>
        <xdr:cNvPr id="6" name="Retângulo de cantos arredondados 5"/>
        <xdr:cNvSpPr/>
      </xdr:nvSpPr>
      <xdr:spPr>
        <a:xfrm>
          <a:off x="5502275" y="1806575"/>
          <a:ext cx="2044700" cy="311150"/>
        </a:xfrm>
        <a:prstGeom prst="roundRect">
          <a:avLst/>
        </a:prstGeom>
        <a:solidFill>
          <a:srgbClr val="BFDBFE"/>
        </a:solidFill>
        <a:ln>
          <a:solidFill>
            <a:srgbClr val="93C5F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rgbClr val="1E3A5F"/>
              </a:solidFill>
              <a:latin typeface="Segoe UI"/>
            </a:rPr>
            <a:t>Carregar selecao</a:t>
          </a:r>
        </a:p>
      </xdr:txBody>
    </xdr:sp>
    <xdr:clientData/>
  </xdr:twoCellAnchor>
  <xdr:twoCellAnchor editAs="absolute">
    <xdr:from>
      <xdr:col>5</xdr:col>
      <xdr:colOff>25400</xdr:colOff>
      <xdr:row>9</xdr:row>
      <xdr:rowOff>25400</xdr:rowOff>
    </xdr:from>
    <xdr:to>
      <xdr:col>6</xdr:col>
      <xdr:colOff>1089025</xdr:colOff>
      <xdr:row>10</xdr:row>
      <xdr:rowOff>155575</xdr:rowOff>
    </xdr:to>
    <xdr:sp macro="[0]!SincronizarCadastrosDespesas" textlink="">
      <xdr:nvSpPr>
        <xdr:cNvPr id="7" name="Retângulo de cantos arredondados 6"/>
        <xdr:cNvSpPr/>
      </xdr:nvSpPr>
      <xdr:spPr>
        <a:xfrm>
          <a:off x="7597775" y="1806575"/>
          <a:ext cx="2178050" cy="311150"/>
        </a:xfrm>
        <a:prstGeom prst="roundRect">
          <a:avLst/>
        </a:prstGeom>
        <a:solidFill>
          <a:srgbClr val="FDE68A"/>
        </a:solidFill>
        <a:ln>
          <a:solidFill>
            <a:srgbClr val="93C5F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rgbClr val="1E3A5F"/>
              </a:solidFill>
              <a:latin typeface="Segoe UI"/>
            </a:rPr>
            <a:t>Sincronizar</a:t>
          </a:r>
        </a:p>
      </xdr:txBody>
    </xdr:sp>
    <xdr:clientData/>
  </xdr:twoCellAnchor>
  <xdr:twoCellAnchor editAs="absolute">
    <xdr:from>
      <xdr:col>7</xdr:col>
      <xdr:colOff>127000</xdr:colOff>
      <xdr:row>9</xdr:row>
      <xdr:rowOff>25400</xdr:rowOff>
    </xdr:from>
    <xdr:to>
      <xdr:col>9</xdr:col>
      <xdr:colOff>600075</xdr:colOff>
      <xdr:row>10</xdr:row>
      <xdr:rowOff>161925</xdr:rowOff>
    </xdr:to>
    <xdr:sp macro="[0]!NovoCadastroDespesa" textlink="">
      <xdr:nvSpPr>
        <xdr:cNvPr id="2" name="btnNovoCadastro"/>
        <xdr:cNvSpPr/>
      </xdr:nvSpPr>
      <xdr:spPr>
        <a:xfrm>
          <a:off x="9928225" y="1806575"/>
          <a:ext cx="1587500" cy="317500"/>
        </a:xfrm>
        <a:prstGeom prst="rect">
          <a:avLst/>
        </a:prstGeom>
        <a:solidFill>
          <a:srgbClr val="E0E0E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rgbClr val="000000"/>
              </a:solidFill>
            </a:rPr>
            <a:t>Novo cadastro</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comprovantes/Transporte/Compartilhar%20comprovante(232).png" TargetMode="External"/><Relationship Id="rId299" Type="http://schemas.openxmlformats.org/officeDocument/2006/relationships/hyperlink" Target="comprovantes/Transporte/Compartilhar%20comprovante(57).png" TargetMode="External"/><Relationship Id="rId671" Type="http://schemas.openxmlformats.org/officeDocument/2006/relationships/hyperlink" Target="comprovantes/Transporte/Compartilhar%20comprovante(55).png" TargetMode="External"/><Relationship Id="rId21" Type="http://schemas.openxmlformats.org/officeDocument/2006/relationships/hyperlink" Target="comprovantes/Sa&#250;de/Compartilhar%20comprovante(27).png" TargetMode="External"/><Relationship Id="rId63" Type="http://schemas.openxmlformats.org/officeDocument/2006/relationships/hyperlink" Target="comprovantes/Vestu&#225;rio%20e%20higiene/GCompartilhar%20comprovante(64).png" TargetMode="External"/><Relationship Id="rId159" Type="http://schemas.openxmlformats.org/officeDocument/2006/relationships/hyperlink" Target="comprovantes/Transporte/Compartilhar%20comprovante(145).png" TargetMode="External"/><Relationship Id="rId324" Type="http://schemas.openxmlformats.org/officeDocument/2006/relationships/hyperlink" Target="comprovantes/Educa&#231;&#227;o/boleto-escola-maio.pdf" TargetMode="External"/><Relationship Id="rId366" Type="http://schemas.openxmlformats.org/officeDocument/2006/relationships/hyperlink" Target="comprovantes/Moradia/abril-Agua.pdf" TargetMode="External"/><Relationship Id="rId531" Type="http://schemas.openxmlformats.org/officeDocument/2006/relationships/hyperlink" Target="comprovantes/Alimenta&#231;&#227;o/GCompartilhar%20comprovante(163).png" TargetMode="External"/><Relationship Id="rId573" Type="http://schemas.openxmlformats.org/officeDocument/2006/relationships/hyperlink" Target="comprovantes/Alimenta&#231;&#227;o/Compartilhar%20comprovante(52).png" TargetMode="External"/><Relationship Id="rId629" Type="http://schemas.openxmlformats.org/officeDocument/2006/relationships/hyperlink" Target="comprovantes/Alimenta&#231;&#227;o/Compartilhar%20comprovante(8).png" TargetMode="External"/><Relationship Id="rId170" Type="http://schemas.openxmlformats.org/officeDocument/2006/relationships/hyperlink" Target="comprovantes/Transporte/Compartilhar%20comprovante(192).png" TargetMode="External"/><Relationship Id="rId226" Type="http://schemas.openxmlformats.org/officeDocument/2006/relationships/hyperlink" Target="comprovantes/Transporte/Compartilhar%20comprovante(6).png" TargetMode="External"/><Relationship Id="rId433" Type="http://schemas.openxmlformats.org/officeDocument/2006/relationships/hyperlink" Target="comprovantes/Lazer%20e%20conviv&#234;ncia/GCompartilhar%20comprovante(24).png" TargetMode="External"/><Relationship Id="rId268" Type="http://schemas.openxmlformats.org/officeDocument/2006/relationships/hyperlink" Target="comprovantes/Transporte/GCompartilhar%20comprovante(41).png" TargetMode="External"/><Relationship Id="rId475" Type="http://schemas.openxmlformats.org/officeDocument/2006/relationships/hyperlink" Target="comprovantes/Alimenta&#231;&#227;o/GCompartilhar%20comprovante(216).png" TargetMode="External"/><Relationship Id="rId640" Type="http://schemas.openxmlformats.org/officeDocument/2006/relationships/hyperlink" Target="comprovantes/Alimenta&#231;&#227;o/GCompartilhar%20comprovante(9).png" TargetMode="External"/><Relationship Id="rId682" Type="http://schemas.openxmlformats.org/officeDocument/2006/relationships/hyperlink" Target="comprovantes/Mesada/GCompartilhar%20comprovante(232).png" TargetMode="External"/><Relationship Id="rId32" Type="http://schemas.openxmlformats.org/officeDocument/2006/relationships/hyperlink" Target="comprovantes/Sa&#250;de/Compartilhar%20comprovante(17).png" TargetMode="External"/><Relationship Id="rId74" Type="http://schemas.openxmlformats.org/officeDocument/2006/relationships/hyperlink" Target="comprovantes/Transporte/GCompartilhar%20comprovante(231).png" TargetMode="External"/><Relationship Id="rId128" Type="http://schemas.openxmlformats.org/officeDocument/2006/relationships/hyperlink" Target="comprovantes/Transporte/GCompartilhar%20comprovante(157).png" TargetMode="External"/><Relationship Id="rId335" Type="http://schemas.openxmlformats.org/officeDocument/2006/relationships/hyperlink" Target="comprovantes/Educa&#231;&#227;o/Compartilhar%20comprovante(3).png" TargetMode="External"/><Relationship Id="rId377" Type="http://schemas.openxmlformats.org/officeDocument/2006/relationships/hyperlink" Target="comprovantes/Lazer%20e%20conviv&#234;ncia/Compartilhar%20comprovante(44).png" TargetMode="External"/><Relationship Id="rId500" Type="http://schemas.openxmlformats.org/officeDocument/2006/relationships/hyperlink" Target="comprovantes/Alimenta&#231;&#227;o/Comprovante_20260826T195223397534.png" TargetMode="External"/><Relationship Id="rId542" Type="http://schemas.openxmlformats.org/officeDocument/2006/relationships/hyperlink" Target="comprovantes/Alimenta&#231;&#227;o/Comprovante_20260826T194006153884.png" TargetMode="External"/><Relationship Id="rId584" Type="http://schemas.openxmlformats.org/officeDocument/2006/relationships/hyperlink" Target="comprovantes/Alimenta&#231;&#227;o/Compartilhar%20comprovante(44).png" TargetMode="External"/><Relationship Id="rId5" Type="http://schemas.openxmlformats.org/officeDocument/2006/relationships/hyperlink" Target="comprovantes/Sa&#250;de/GCompartilhar%20comprovante(247).png" TargetMode="External"/><Relationship Id="rId181" Type="http://schemas.openxmlformats.org/officeDocument/2006/relationships/hyperlink" Target="comprovantes/Transporte/Compartilhar%20comprovante(186).png" TargetMode="External"/><Relationship Id="rId237" Type="http://schemas.openxmlformats.org/officeDocument/2006/relationships/hyperlink" Target="comprovantes/Transporte/Compartilhar%20comprovante(18).png" TargetMode="External"/><Relationship Id="rId402" Type="http://schemas.openxmlformats.org/officeDocument/2006/relationships/hyperlink" Target="comprovantes/Lazer%20e%20conviv&#234;ncia/Compartilhar%20comprovante(38).png" TargetMode="External"/><Relationship Id="rId279" Type="http://schemas.openxmlformats.org/officeDocument/2006/relationships/hyperlink" Target="comprovantes/Transporte/Compartilhar%20comprovante(63).png" TargetMode="External"/><Relationship Id="rId444" Type="http://schemas.openxmlformats.org/officeDocument/2006/relationships/hyperlink" Target="comprovantes/Alimenta&#231;&#227;o/GCompartilhar%20comprovante(273).png" TargetMode="External"/><Relationship Id="rId486" Type="http://schemas.openxmlformats.org/officeDocument/2006/relationships/hyperlink" Target="comprovantes/Alimenta&#231;&#227;o/GCompartilhar%20comprovante(204).png" TargetMode="External"/><Relationship Id="rId651" Type="http://schemas.openxmlformats.org/officeDocument/2006/relationships/hyperlink" Target="comprovantes/Alimenta&#231;&#227;o/GCompartilhar%20comprovante(29).png" TargetMode="External"/><Relationship Id="rId693" Type="http://schemas.openxmlformats.org/officeDocument/2006/relationships/hyperlink" Target="comprovantes/Mesada/GCompartilhar%20comprovante(108).png" TargetMode="External"/><Relationship Id="rId707" Type="http://schemas.openxmlformats.org/officeDocument/2006/relationships/hyperlink" Target="comprovantes/Mesada/GCompartilhar%20comprovante(31).png" TargetMode="External"/><Relationship Id="rId43" Type="http://schemas.openxmlformats.org/officeDocument/2006/relationships/hyperlink" Target="comprovantes/Sa&#250;de/GCompartilhar%20comprovante(95).png" TargetMode="External"/><Relationship Id="rId139" Type="http://schemas.openxmlformats.org/officeDocument/2006/relationships/hyperlink" Target="comprovantes/Transporte/GCompartilhar%20comprovante(146).png" TargetMode="External"/><Relationship Id="rId290" Type="http://schemas.openxmlformats.org/officeDocument/2006/relationships/hyperlink" Target="comprovantes/Transporte/Compartilhar%20comprovante(70).png" TargetMode="External"/><Relationship Id="rId304" Type="http://schemas.openxmlformats.org/officeDocument/2006/relationships/hyperlink" Target="comprovantes/Comunica&#231;&#227;o%20e%20tecnologia/Fatura%20de%20junho.pdf" TargetMode="External"/><Relationship Id="rId346" Type="http://schemas.openxmlformats.org/officeDocument/2006/relationships/hyperlink" Target="comprovantes/Moradia/julho-Agua%20(1).pdf" TargetMode="External"/><Relationship Id="rId388" Type="http://schemas.openxmlformats.org/officeDocument/2006/relationships/hyperlink" Target="comprovantes/Lazer%20e%20conviv&#234;ncia/GCompartilhar%20comprovante(175).png" TargetMode="External"/><Relationship Id="rId511" Type="http://schemas.openxmlformats.org/officeDocument/2006/relationships/hyperlink" Target="comprovantes/Alimenta&#231;&#227;o/GCompartilhar%20comprovante(194).png" TargetMode="External"/><Relationship Id="rId553" Type="http://schemas.openxmlformats.org/officeDocument/2006/relationships/hyperlink" Target="comprovantes/Alimenta&#231;&#227;o/GCompartilhar%20comprovante(133).png" TargetMode="External"/><Relationship Id="rId609" Type="http://schemas.openxmlformats.org/officeDocument/2006/relationships/hyperlink" Target="comprovantes/Alimenta&#231;&#227;o/GCompartilhar%20comprovante(79).png" TargetMode="External"/><Relationship Id="rId85" Type="http://schemas.openxmlformats.org/officeDocument/2006/relationships/hyperlink" Target="comprovantes/Transporte/Compartilhar%20comprovante(93).png" TargetMode="External"/><Relationship Id="rId150" Type="http://schemas.openxmlformats.org/officeDocument/2006/relationships/hyperlink" Target="comprovantes/Transporte/GCompartilhar%20comprovante(127).png" TargetMode="External"/><Relationship Id="rId192" Type="http://schemas.openxmlformats.org/officeDocument/2006/relationships/hyperlink" Target="comprovantes/Transporte/Compartilhar%20comprovante(160).png" TargetMode="External"/><Relationship Id="rId206" Type="http://schemas.openxmlformats.org/officeDocument/2006/relationships/hyperlink" Target="comprovantes/Transporte/Compartilhar%20comprovante(178).png" TargetMode="External"/><Relationship Id="rId413" Type="http://schemas.openxmlformats.org/officeDocument/2006/relationships/hyperlink" Target="comprovantes/Lazer%20e%20conviv&#234;ncia/GCompartilhar%20comprovante(98).png" TargetMode="External"/><Relationship Id="rId595" Type="http://schemas.openxmlformats.org/officeDocument/2006/relationships/hyperlink" Target="comprovantes/Alimenta&#231;&#227;o/Compartilhar%20comprovante(38).png" TargetMode="External"/><Relationship Id="rId248" Type="http://schemas.openxmlformats.org/officeDocument/2006/relationships/hyperlink" Target="comprovantes/Transporte/Compartilhar%20comprovante(33).png" TargetMode="External"/><Relationship Id="rId455" Type="http://schemas.openxmlformats.org/officeDocument/2006/relationships/hyperlink" Target="comprovantes/Alimenta&#231;&#227;o/GCompartilhar%20comprovante(254).png" TargetMode="External"/><Relationship Id="rId497" Type="http://schemas.openxmlformats.org/officeDocument/2006/relationships/hyperlink" Target="comprovantes/Alimenta&#231;&#227;o/Comprovante_20260826T195608588349.png" TargetMode="External"/><Relationship Id="rId620" Type="http://schemas.openxmlformats.org/officeDocument/2006/relationships/hyperlink" Target="comprovantes/Alimenta&#231;&#227;o/GCompartilhar%20comprovante(66).png" TargetMode="External"/><Relationship Id="rId662" Type="http://schemas.openxmlformats.org/officeDocument/2006/relationships/hyperlink" Target="comprovantes/Alimenta&#231;&#227;o/GCompartilhar%20comprovante(99).png" TargetMode="External"/><Relationship Id="rId12" Type="http://schemas.openxmlformats.org/officeDocument/2006/relationships/hyperlink" Target="comprovantes/Sa&#250;de/Compartilhar%20comprovante(25).png" TargetMode="External"/><Relationship Id="rId108" Type="http://schemas.openxmlformats.org/officeDocument/2006/relationships/hyperlink" Target="comprovantes/Transporte/Compartilhar%20comprovante(226).png" TargetMode="External"/><Relationship Id="rId315" Type="http://schemas.openxmlformats.org/officeDocument/2006/relationships/hyperlink" Target="comprovantes/Educa&#231;&#227;o/GCompartilhar%20comprovante(268).png" TargetMode="External"/><Relationship Id="rId357" Type="http://schemas.openxmlformats.org/officeDocument/2006/relationships/hyperlink" Target="comprovantes/Moradia/condom-abril.pdf" TargetMode="External"/><Relationship Id="rId522" Type="http://schemas.openxmlformats.org/officeDocument/2006/relationships/hyperlink" Target="comprovantes/Alimenta&#231;&#227;o/GCompartilhar%20comprovante(180).png" TargetMode="External"/><Relationship Id="rId54" Type="http://schemas.openxmlformats.org/officeDocument/2006/relationships/hyperlink" Target="comprovantes/Sa&#250;de/Compartilhar%20comprovante(21).png" TargetMode="External"/><Relationship Id="rId96" Type="http://schemas.openxmlformats.org/officeDocument/2006/relationships/hyperlink" Target="comprovantes/Transporte/Compartilhar%20comprovante(210).png" TargetMode="External"/><Relationship Id="rId161" Type="http://schemas.openxmlformats.org/officeDocument/2006/relationships/hyperlink" Target="comprovantes/Transporte/Compartilhar%20comprovante(143).png" TargetMode="External"/><Relationship Id="rId217" Type="http://schemas.openxmlformats.org/officeDocument/2006/relationships/hyperlink" Target="comprovantes/Transporte/GCompartilhar%20comprovante(88).png" TargetMode="External"/><Relationship Id="rId399" Type="http://schemas.openxmlformats.org/officeDocument/2006/relationships/hyperlink" Target="comprovantes/Lazer%20e%20conviv&#234;ncia/Compartilhar%20comprovante(37).png" TargetMode="External"/><Relationship Id="rId564" Type="http://schemas.openxmlformats.org/officeDocument/2006/relationships/hyperlink" Target="comprovantes/Alimenta&#231;&#227;o/Compartilhar%20comprovante(58).png" TargetMode="External"/><Relationship Id="rId259" Type="http://schemas.openxmlformats.org/officeDocument/2006/relationships/hyperlink" Target="comprovantes/Transporte/Compartilhar%20comprovante(41).png" TargetMode="External"/><Relationship Id="rId424" Type="http://schemas.openxmlformats.org/officeDocument/2006/relationships/hyperlink" Target="comprovantes/Lazer%20e%20conviv&#234;ncia/GCompartilhar%20comprovante(53).png" TargetMode="External"/><Relationship Id="rId466" Type="http://schemas.openxmlformats.org/officeDocument/2006/relationships/hyperlink" Target="comprovantes/Alimenta&#231;&#227;o/Comprovante_20260826T201157067199.png" TargetMode="External"/><Relationship Id="rId631" Type="http://schemas.openxmlformats.org/officeDocument/2006/relationships/hyperlink" Target="comprovantes/Alimenta&#231;&#227;o/GCompartilhar%20comprovante(47).png" TargetMode="External"/><Relationship Id="rId673" Type="http://schemas.openxmlformats.org/officeDocument/2006/relationships/hyperlink" Target="comprovantes/Sa&#250;de/Compartilhar%20comprovante(3).png" TargetMode="External"/><Relationship Id="rId23" Type="http://schemas.openxmlformats.org/officeDocument/2006/relationships/hyperlink" Target="comprovantes/Sa&#250;de/Compartilhar%20comprovante(29).png" TargetMode="External"/><Relationship Id="rId119" Type="http://schemas.openxmlformats.org/officeDocument/2006/relationships/hyperlink" Target="comprovantes/Transporte/Compartilhar%20comprovante(236).png" TargetMode="External"/><Relationship Id="rId270" Type="http://schemas.openxmlformats.org/officeDocument/2006/relationships/hyperlink" Target="comprovantes/Transporte/GCompartilhar%20comprovante(35).png" TargetMode="External"/><Relationship Id="rId326" Type="http://schemas.openxmlformats.org/officeDocument/2006/relationships/hyperlink" Target="comprovantes/Educa&#231;&#227;o/boleto-escola-abril.pdf" TargetMode="External"/><Relationship Id="rId533" Type="http://schemas.openxmlformats.org/officeDocument/2006/relationships/hyperlink" Target="comprovantes/Alimenta&#231;&#227;o/Comprovante_20260826T194244529300.png" TargetMode="External"/><Relationship Id="rId65" Type="http://schemas.openxmlformats.org/officeDocument/2006/relationships/hyperlink" Target="comprovantes/Vestu&#225;rio%20e%20higiene/Compartilhar%20comprovante(5).png" TargetMode="External"/><Relationship Id="rId130" Type="http://schemas.openxmlformats.org/officeDocument/2006/relationships/hyperlink" Target="comprovantes/Transporte/Compartilhar%20comprovante(127).png" TargetMode="External"/><Relationship Id="rId368" Type="http://schemas.openxmlformats.org/officeDocument/2006/relationships/hyperlink" Target="comprovantes/Moradia/Boleto%20internet%20janeiro_.png" TargetMode="External"/><Relationship Id="rId575" Type="http://schemas.openxmlformats.org/officeDocument/2006/relationships/hyperlink" Target="comprovantes/Alimenta&#231;&#227;o/Compartilhar%20comprovante(50).png" TargetMode="External"/><Relationship Id="rId172" Type="http://schemas.openxmlformats.org/officeDocument/2006/relationships/hyperlink" Target="comprovantes/Transporte/GCompartilhar%20comprovante(118).png" TargetMode="External"/><Relationship Id="rId228" Type="http://schemas.openxmlformats.org/officeDocument/2006/relationships/hyperlink" Target="comprovantes/Transporte/Compartilhar%20comprovante(16).png" TargetMode="External"/><Relationship Id="rId435" Type="http://schemas.openxmlformats.org/officeDocument/2006/relationships/hyperlink" Target="comprovantes/Lazer%20e%20conviv&#234;ncia/GCompartilhar%20comprovante(32).png" TargetMode="External"/><Relationship Id="rId477" Type="http://schemas.openxmlformats.org/officeDocument/2006/relationships/hyperlink" Target="comprovantes/Alimenta&#231;&#227;o/Comprovante_20260826T200546962468.png" TargetMode="External"/><Relationship Id="rId600" Type="http://schemas.openxmlformats.org/officeDocument/2006/relationships/hyperlink" Target="comprovantes/Alimenta&#231;&#227;o/GCompartilhar%20comprovante(91).png" TargetMode="External"/><Relationship Id="rId642" Type="http://schemas.openxmlformats.org/officeDocument/2006/relationships/hyperlink" Target="comprovantes/Alimenta&#231;&#227;o/GCompartilhar%20comprovante(13).png" TargetMode="External"/><Relationship Id="rId684" Type="http://schemas.openxmlformats.org/officeDocument/2006/relationships/hyperlink" Target="comprovantes/Mesada/GCompartilhar%20comprovante(186).png" TargetMode="External"/><Relationship Id="rId281" Type="http://schemas.openxmlformats.org/officeDocument/2006/relationships/hyperlink" Target="comprovantes/Transporte/Compartilhar%20comprovante(67).png" TargetMode="External"/><Relationship Id="rId337" Type="http://schemas.openxmlformats.org/officeDocument/2006/relationships/hyperlink" Target="comprovantes/Educa&#231;&#227;o/uniforme%20escola_.png" TargetMode="External"/><Relationship Id="rId502" Type="http://schemas.openxmlformats.org/officeDocument/2006/relationships/hyperlink" Target="comprovantes/Alimenta&#231;&#227;o/GCompartilhar%20comprovante(198).png" TargetMode="External"/><Relationship Id="rId34" Type="http://schemas.openxmlformats.org/officeDocument/2006/relationships/hyperlink" Target="comprovantes/Sa&#250;de/Compartilhar%20comprovante(15).png" TargetMode="External"/><Relationship Id="rId76" Type="http://schemas.openxmlformats.org/officeDocument/2006/relationships/hyperlink" Target="comprovantes/Transporte/GCompartilhar%20comprovante(228).png" TargetMode="External"/><Relationship Id="rId141" Type="http://schemas.openxmlformats.org/officeDocument/2006/relationships/hyperlink" Target="comprovantes/Transporte/Compartilhar%20comprovante(135).png" TargetMode="External"/><Relationship Id="rId379" Type="http://schemas.openxmlformats.org/officeDocument/2006/relationships/hyperlink" Target="comprovantes/Lazer%20e%20conviv&#234;ncia/Compartilhar%20comprovante(42).png" TargetMode="External"/><Relationship Id="rId544" Type="http://schemas.openxmlformats.org/officeDocument/2006/relationships/hyperlink" Target="comprovantes/Alimenta&#231;&#227;o/Comprovante_20260826T193824568202.png" TargetMode="External"/><Relationship Id="rId586" Type="http://schemas.openxmlformats.org/officeDocument/2006/relationships/hyperlink" Target="comprovantes/Alimenta&#231;&#227;o/GCompartilhar%20comprovante(103).png" TargetMode="External"/><Relationship Id="rId7" Type="http://schemas.openxmlformats.org/officeDocument/2006/relationships/hyperlink" Target="comprovantes/Sa&#250;de/GCompartilhar%20comprovante(234).png" TargetMode="External"/><Relationship Id="rId183" Type="http://schemas.openxmlformats.org/officeDocument/2006/relationships/hyperlink" Target="comprovantes/Transporte/GCompartilhar%20comprovante(106).png" TargetMode="External"/><Relationship Id="rId239" Type="http://schemas.openxmlformats.org/officeDocument/2006/relationships/hyperlink" Target="comprovantes/Transporte/Compartilhar%20comprovante(22).png" TargetMode="External"/><Relationship Id="rId390" Type="http://schemas.openxmlformats.org/officeDocument/2006/relationships/hyperlink" Target="comprovantes/Lazer%20e%20conviv&#234;ncia/Compartilhar%20comprovante(49).png" TargetMode="External"/><Relationship Id="rId404" Type="http://schemas.openxmlformats.org/officeDocument/2006/relationships/hyperlink" Target="comprovantes/Lazer%20e%20conviv&#234;ncia/Compartilhar%20comprovante(36).png" TargetMode="External"/><Relationship Id="rId446" Type="http://schemas.openxmlformats.org/officeDocument/2006/relationships/hyperlink" Target="comprovantes/Alimenta&#231;&#227;o/GCompartilhar%20comprovante(270).png" TargetMode="External"/><Relationship Id="rId611" Type="http://schemas.openxmlformats.org/officeDocument/2006/relationships/hyperlink" Target="comprovantes/Alimenta&#231;&#227;o/GCompartilhar%20comprovante(75).png" TargetMode="External"/><Relationship Id="rId653" Type="http://schemas.openxmlformats.org/officeDocument/2006/relationships/hyperlink" Target="comprovantes/Alimenta&#231;&#227;o/Compartilhar%20comprovante(21).png" TargetMode="External"/><Relationship Id="rId250" Type="http://schemas.openxmlformats.org/officeDocument/2006/relationships/hyperlink" Target="comprovantes/Transporte/Compartilhar%20comprovante(31).png" TargetMode="External"/><Relationship Id="rId292" Type="http://schemas.openxmlformats.org/officeDocument/2006/relationships/hyperlink" Target="comprovantes/Transporte/Compartilhar%20comprovante(78).png" TargetMode="External"/><Relationship Id="rId306" Type="http://schemas.openxmlformats.org/officeDocument/2006/relationships/hyperlink" Target="comprovantes/Comunica&#231;&#227;o%20e%20tecnologia/Fatura%20de%20maio.pdf" TargetMode="External"/><Relationship Id="rId488" Type="http://schemas.openxmlformats.org/officeDocument/2006/relationships/hyperlink" Target="comprovantes/Alimenta&#231;&#227;o/Comprovante_20260826T200016499128.png" TargetMode="External"/><Relationship Id="rId695" Type="http://schemas.openxmlformats.org/officeDocument/2006/relationships/hyperlink" Target="comprovantes/Mesada/GCompartilhar%20comprovante(93).png" TargetMode="External"/><Relationship Id="rId709" Type="http://schemas.openxmlformats.org/officeDocument/2006/relationships/printerSettings" Target="../printerSettings/printerSettings2.bin"/><Relationship Id="rId45" Type="http://schemas.openxmlformats.org/officeDocument/2006/relationships/hyperlink" Target="comprovantes/Sa&#250;de/Compartilhar%20comprovante(6).png" TargetMode="External"/><Relationship Id="rId87" Type="http://schemas.openxmlformats.org/officeDocument/2006/relationships/hyperlink" Target="comprovantes/Transporte/Compartilhar%20comprovante(96).png" TargetMode="External"/><Relationship Id="rId110" Type="http://schemas.openxmlformats.org/officeDocument/2006/relationships/hyperlink" Target="comprovantes/Transporte/Compartilhar%20comprovante(224).png" TargetMode="External"/><Relationship Id="rId348" Type="http://schemas.openxmlformats.org/officeDocument/2006/relationships/hyperlink" Target="comprovantes/Moradia/Boleto_internet-jun-14219370.pdf" TargetMode="External"/><Relationship Id="rId513" Type="http://schemas.openxmlformats.org/officeDocument/2006/relationships/hyperlink" Target="comprovantes/Alimenta&#231;&#227;o/GCompartilhar%20comprovante(191).png" TargetMode="External"/><Relationship Id="rId555" Type="http://schemas.openxmlformats.org/officeDocument/2006/relationships/hyperlink" Target="comprovantes/Alimenta&#231;&#227;o/GCompartilhar%20comprovante(131).png" TargetMode="External"/><Relationship Id="rId597" Type="http://schemas.openxmlformats.org/officeDocument/2006/relationships/hyperlink" Target="comprovantes/Alimenta&#231;&#227;o/GCompartilhar%20comprovante(94).png" TargetMode="External"/><Relationship Id="rId152" Type="http://schemas.openxmlformats.org/officeDocument/2006/relationships/hyperlink" Target="comprovantes/Transporte/Compartilhar%20comprovante(138).png" TargetMode="External"/><Relationship Id="rId194" Type="http://schemas.openxmlformats.org/officeDocument/2006/relationships/hyperlink" Target="comprovantes/Transporte/Compartilhar%20comprovante(158).png" TargetMode="External"/><Relationship Id="rId208" Type="http://schemas.openxmlformats.org/officeDocument/2006/relationships/hyperlink" Target="comprovantes/Transporte/Compartilhar%20comprovante(176).png" TargetMode="External"/><Relationship Id="rId415" Type="http://schemas.openxmlformats.org/officeDocument/2006/relationships/hyperlink" Target="comprovantes/Lazer%20e%20conviv&#234;ncia/Compartilhar%20comprovante(30).png" TargetMode="External"/><Relationship Id="rId457" Type="http://schemas.openxmlformats.org/officeDocument/2006/relationships/hyperlink" Target="comprovantes/Alimenta&#231;&#227;o/GCompartilhar%20comprovante(252).png" TargetMode="External"/><Relationship Id="rId622" Type="http://schemas.openxmlformats.org/officeDocument/2006/relationships/hyperlink" Target="comprovantes/Alimenta&#231;&#227;o/GCompartilhar%20comprovante(61).png" TargetMode="External"/><Relationship Id="rId261" Type="http://schemas.openxmlformats.org/officeDocument/2006/relationships/hyperlink" Target="comprovantes/Transporte/Compartilhar%20comprovante(43).png" TargetMode="External"/><Relationship Id="rId499" Type="http://schemas.openxmlformats.org/officeDocument/2006/relationships/hyperlink" Target="comprovantes/Alimenta&#231;&#227;o/GCompartilhar%20comprovante(200).png" TargetMode="External"/><Relationship Id="rId664" Type="http://schemas.openxmlformats.org/officeDocument/2006/relationships/hyperlink" Target="comprovantes/Moradia/condominio-fevereiro.pdf" TargetMode="External"/><Relationship Id="rId14" Type="http://schemas.openxmlformats.org/officeDocument/2006/relationships/hyperlink" Target="comprovantes/Sa&#250;de/dentista-07-07-2026.pdf" TargetMode="External"/><Relationship Id="rId56" Type="http://schemas.openxmlformats.org/officeDocument/2006/relationships/hyperlink" Target="comprovantes/Vestu&#225;rio%20e%20higiene/Compartilhar%20comprovante(4).png" TargetMode="External"/><Relationship Id="rId317" Type="http://schemas.openxmlformats.org/officeDocument/2006/relationships/hyperlink" Target="comprovantes/Educa&#231;&#227;o/livros-educa&#231;&#227;o-musica.pdf" TargetMode="External"/><Relationship Id="rId359" Type="http://schemas.openxmlformats.org/officeDocument/2006/relationships/hyperlink" Target="comprovantes/Moradia/G&#225;s%20abril.png" TargetMode="External"/><Relationship Id="rId524" Type="http://schemas.openxmlformats.org/officeDocument/2006/relationships/hyperlink" Target="comprovantes/Alimenta&#231;&#227;o/Suplemento-DANFe.pdf" TargetMode="External"/><Relationship Id="rId566" Type="http://schemas.openxmlformats.org/officeDocument/2006/relationships/hyperlink" Target="comprovantes/Alimenta&#231;&#227;o/Compartilhar%20comprovante(57).png" TargetMode="External"/><Relationship Id="rId98" Type="http://schemas.openxmlformats.org/officeDocument/2006/relationships/hyperlink" Target="comprovantes/Transporte/Compartilhar%20comprovante(213).png" TargetMode="External"/><Relationship Id="rId121" Type="http://schemas.openxmlformats.org/officeDocument/2006/relationships/hyperlink" Target="comprovantes/Transporte/Compartilhar%20comprovante(234).png" TargetMode="External"/><Relationship Id="rId163" Type="http://schemas.openxmlformats.org/officeDocument/2006/relationships/hyperlink" Target="comprovantes/Transporte/Compartilhar%20comprovante(147).png" TargetMode="External"/><Relationship Id="rId219" Type="http://schemas.openxmlformats.org/officeDocument/2006/relationships/hyperlink" Target="comprovantes/Transporte/Compartilhar%20comprovante(3).png" TargetMode="External"/><Relationship Id="rId370" Type="http://schemas.openxmlformats.org/officeDocument/2006/relationships/hyperlink" Target="comprovantes/Lazer%20e%20conviv&#234;ncia/Compartilhar%20comprovante(10).png" TargetMode="External"/><Relationship Id="rId426" Type="http://schemas.openxmlformats.org/officeDocument/2006/relationships/hyperlink" Target="comprovantes/Lazer%20e%20conviv&#234;ncia/GCompartilhar%20comprovante(39).png" TargetMode="External"/><Relationship Id="rId633" Type="http://schemas.openxmlformats.org/officeDocument/2006/relationships/hyperlink" Target="comprovantes/Alimenta&#231;&#227;o/GCompartilhar%20comprovante(38).png" TargetMode="External"/><Relationship Id="rId230" Type="http://schemas.openxmlformats.org/officeDocument/2006/relationships/hyperlink" Target="comprovantes/Transporte/Compartilhar%20comprovante(14).png" TargetMode="External"/><Relationship Id="rId468" Type="http://schemas.openxmlformats.org/officeDocument/2006/relationships/hyperlink" Target="comprovantes/Alimenta&#231;&#227;o/GCompartilhar%20comprovante(218).png" TargetMode="External"/><Relationship Id="rId675" Type="http://schemas.openxmlformats.org/officeDocument/2006/relationships/hyperlink" Target="comprovantes/Mesada/GCompartilhar%20comprovante(237).png" TargetMode="External"/><Relationship Id="rId25" Type="http://schemas.openxmlformats.org/officeDocument/2006/relationships/hyperlink" Target="comprovantes/Sa&#250;de/Compartilhar%20comprovante(30).png" TargetMode="External"/><Relationship Id="rId67" Type="http://schemas.openxmlformats.org/officeDocument/2006/relationships/hyperlink" Target="comprovantes/Vestu&#225;rio%20e%20higiene/GCompartilhar%20comprovante(21).png" TargetMode="External"/><Relationship Id="rId272" Type="http://schemas.openxmlformats.org/officeDocument/2006/relationships/hyperlink" Target="comprovantes/Transporte/Compartilhar%20comprovante(51).png" TargetMode="External"/><Relationship Id="rId328" Type="http://schemas.openxmlformats.org/officeDocument/2006/relationships/hyperlink" Target="comprovantes/Educa&#231;&#227;o/boleto-escola-mar&#231;o.pdf" TargetMode="External"/><Relationship Id="rId535" Type="http://schemas.openxmlformats.org/officeDocument/2006/relationships/hyperlink" Target="comprovantes/Alimenta&#231;&#227;o/Comprovante_20260826T194214969763.png" TargetMode="External"/><Relationship Id="rId577" Type="http://schemas.openxmlformats.org/officeDocument/2006/relationships/hyperlink" Target="comprovantes/Alimenta&#231;&#227;o/Compartilhar%20comprovante(48).png" TargetMode="External"/><Relationship Id="rId700" Type="http://schemas.openxmlformats.org/officeDocument/2006/relationships/hyperlink" Target="comprovantes/Mesada/GCompartilhar%20comprovante(52).png" TargetMode="External"/><Relationship Id="rId132" Type="http://schemas.openxmlformats.org/officeDocument/2006/relationships/hyperlink" Target="comprovantes/Transporte/GCompartilhar%20comprovante(152).png" TargetMode="External"/><Relationship Id="rId174" Type="http://schemas.openxmlformats.org/officeDocument/2006/relationships/hyperlink" Target="comprovantes/Transporte/Compartilhar%20comprovante(190).png" TargetMode="External"/><Relationship Id="rId381" Type="http://schemas.openxmlformats.org/officeDocument/2006/relationships/hyperlink" Target="comprovantes/Lazer%20e%20conviv&#234;ncia/Compartilhar%20comprovante(46).png" TargetMode="External"/><Relationship Id="rId602" Type="http://schemas.openxmlformats.org/officeDocument/2006/relationships/hyperlink" Target="comprovantes/Alimenta&#231;&#227;o/Compartilhar%20comprovante(35).png" TargetMode="External"/><Relationship Id="rId241" Type="http://schemas.openxmlformats.org/officeDocument/2006/relationships/hyperlink" Target="comprovantes/Transporte/Compartilhar%20comprovante(23).png" TargetMode="External"/><Relationship Id="rId437" Type="http://schemas.openxmlformats.org/officeDocument/2006/relationships/hyperlink" Target="comprovantes/Lazer%20e%20conviv&#234;ncia/Compartilhar%20comprovante(8).png" TargetMode="External"/><Relationship Id="rId479" Type="http://schemas.openxmlformats.org/officeDocument/2006/relationships/hyperlink" Target="comprovantes/Alimenta&#231;&#227;o/GCompartilhar%20comprovante(213).png" TargetMode="External"/><Relationship Id="rId644" Type="http://schemas.openxmlformats.org/officeDocument/2006/relationships/hyperlink" Target="comprovantes/Alimenta&#231;&#227;o/GCompartilhar%20comprovante(10).png" TargetMode="External"/><Relationship Id="rId686" Type="http://schemas.openxmlformats.org/officeDocument/2006/relationships/hyperlink" Target="comprovantes/Mesada/GCompartilhar%20comprovante(172).png" TargetMode="External"/><Relationship Id="rId36" Type="http://schemas.openxmlformats.org/officeDocument/2006/relationships/hyperlink" Target="comprovantes/Sa&#250;de/Compartilhar%20comprovante(13).png" TargetMode="External"/><Relationship Id="rId283" Type="http://schemas.openxmlformats.org/officeDocument/2006/relationships/hyperlink" Target="comprovantes/Transporte/Compartilhar%20comprovante(65).png" TargetMode="External"/><Relationship Id="rId339" Type="http://schemas.openxmlformats.org/officeDocument/2006/relationships/hyperlink" Target="comprovantes/Moradia/Boleto_internet-agosto.pdf" TargetMode="External"/><Relationship Id="rId490" Type="http://schemas.openxmlformats.org/officeDocument/2006/relationships/hyperlink" Target="comprovantes/Alimenta&#231;&#227;o/Comprovante_20260826T195832614537.png" TargetMode="External"/><Relationship Id="rId504" Type="http://schemas.openxmlformats.org/officeDocument/2006/relationships/hyperlink" Target="comprovantes/Alimenta&#231;&#227;o/Comprovante_20260826T195043442736.png" TargetMode="External"/><Relationship Id="rId546" Type="http://schemas.openxmlformats.org/officeDocument/2006/relationships/hyperlink" Target="comprovantes/Alimenta&#231;&#227;o/GCompartilhar%20comprovante(147).png" TargetMode="External"/><Relationship Id="rId78" Type="http://schemas.openxmlformats.org/officeDocument/2006/relationships/hyperlink" Target="comprovantes/Transporte/Compartilhar%20comprovante(87).png" TargetMode="External"/><Relationship Id="rId101" Type="http://schemas.openxmlformats.org/officeDocument/2006/relationships/hyperlink" Target="comprovantes/Transporte/Compartilhar%20comprovante(217).png" TargetMode="External"/><Relationship Id="rId143" Type="http://schemas.openxmlformats.org/officeDocument/2006/relationships/hyperlink" Target="comprovantes/Transporte/GCompartilhar%20comprovante(140).png" TargetMode="External"/><Relationship Id="rId185" Type="http://schemas.openxmlformats.org/officeDocument/2006/relationships/hyperlink" Target="comprovantes/Transporte/Compartilhar%20comprovante(184).png" TargetMode="External"/><Relationship Id="rId350" Type="http://schemas.openxmlformats.org/officeDocument/2006/relationships/hyperlink" Target="comprovantes/Moradia/condom-jun.pdf" TargetMode="External"/><Relationship Id="rId406" Type="http://schemas.openxmlformats.org/officeDocument/2006/relationships/hyperlink" Target="comprovantes/Lazer%20e%20conviv&#234;ncia/GCompartilhar%20comprovante(119).png" TargetMode="External"/><Relationship Id="rId588" Type="http://schemas.openxmlformats.org/officeDocument/2006/relationships/hyperlink" Target="comprovantes/Alimenta&#231;&#227;o/GCompartilhar%20comprovante(101).png" TargetMode="External"/><Relationship Id="rId9" Type="http://schemas.openxmlformats.org/officeDocument/2006/relationships/hyperlink" Target="comprovantes/Sa&#250;de/Compartilhar%20comprovante(22).png" TargetMode="External"/><Relationship Id="rId210" Type="http://schemas.openxmlformats.org/officeDocument/2006/relationships/hyperlink" Target="comprovantes/Transporte/Compartilhar%20comprovante(174).png" TargetMode="External"/><Relationship Id="rId392" Type="http://schemas.openxmlformats.org/officeDocument/2006/relationships/hyperlink" Target="comprovantes/Lazer%20e%20conviv&#234;ncia/Compartilhar%20comprovante(50).png" TargetMode="External"/><Relationship Id="rId448" Type="http://schemas.openxmlformats.org/officeDocument/2006/relationships/hyperlink" Target="comprovantes/Alimenta&#231;&#227;o/Compartilhar%20comprovante(26).png" TargetMode="External"/><Relationship Id="rId613" Type="http://schemas.openxmlformats.org/officeDocument/2006/relationships/hyperlink" Target="comprovantes/Alimenta&#231;&#227;o/Compartilhar%20comprovante.png" TargetMode="External"/><Relationship Id="rId655" Type="http://schemas.openxmlformats.org/officeDocument/2006/relationships/hyperlink" Target="comprovantes/Alimenta&#231;&#227;o/Compartilhar%20comprovante(22).png" TargetMode="External"/><Relationship Id="rId697" Type="http://schemas.openxmlformats.org/officeDocument/2006/relationships/hyperlink" Target="comprovantes/Mesada/GCompartilhar%20comprovante(77).png" TargetMode="External"/><Relationship Id="rId252" Type="http://schemas.openxmlformats.org/officeDocument/2006/relationships/hyperlink" Target="comprovantes/Transporte/Compartilhar%20comprovante(39).png" TargetMode="External"/><Relationship Id="rId294" Type="http://schemas.openxmlformats.org/officeDocument/2006/relationships/hyperlink" Target="comprovantes/Transporte/Compartilhar%20comprovante(75).png" TargetMode="External"/><Relationship Id="rId308" Type="http://schemas.openxmlformats.org/officeDocument/2006/relationships/hyperlink" Target="comprovantes/Comunica&#231;&#227;o%20e%20tecnologia/GCompartilhar%20comprovante(113).png" TargetMode="External"/><Relationship Id="rId515" Type="http://schemas.openxmlformats.org/officeDocument/2006/relationships/hyperlink" Target="comprovantes/Alimenta&#231;&#227;o/GCompartilhar%20comprovante(189).png" TargetMode="External"/><Relationship Id="rId47" Type="http://schemas.openxmlformats.org/officeDocument/2006/relationships/hyperlink" Target="comprovantes/Sa&#250;de/Compartilhar%20comprovante.png" TargetMode="External"/><Relationship Id="rId89" Type="http://schemas.openxmlformats.org/officeDocument/2006/relationships/hyperlink" Target="comprovantes/Transporte/Compartilhar%20comprovante(205).png" TargetMode="External"/><Relationship Id="rId112" Type="http://schemas.openxmlformats.org/officeDocument/2006/relationships/hyperlink" Target="comprovantes/Transporte/Compartilhar%20comprovante(228).png" TargetMode="External"/><Relationship Id="rId154" Type="http://schemas.openxmlformats.org/officeDocument/2006/relationships/hyperlink" Target="comprovantes/Transporte/Compartilhar%20comprovante(193).png" TargetMode="External"/><Relationship Id="rId361" Type="http://schemas.openxmlformats.org/officeDocument/2006/relationships/hyperlink" Target="comprovantes/Moradia/Boleto_internet-mar&#231;o.pdf" TargetMode="External"/><Relationship Id="rId557" Type="http://schemas.openxmlformats.org/officeDocument/2006/relationships/hyperlink" Target="comprovantes/Alimenta&#231;&#227;o/Compartilhar%20comprovante(64).png" TargetMode="External"/><Relationship Id="rId599" Type="http://schemas.openxmlformats.org/officeDocument/2006/relationships/hyperlink" Target="comprovantes/Alimenta&#231;&#227;o/GCompartilhar%20comprovante(96).png" TargetMode="External"/><Relationship Id="rId196" Type="http://schemas.openxmlformats.org/officeDocument/2006/relationships/hyperlink" Target="comprovantes/Transporte/Compartilhar%20comprovante(163).png" TargetMode="External"/><Relationship Id="rId417" Type="http://schemas.openxmlformats.org/officeDocument/2006/relationships/hyperlink" Target="comprovantes/Lazer%20e%20conviv&#234;ncia/Compartilhar%20comprovante(31).png" TargetMode="External"/><Relationship Id="rId459" Type="http://schemas.openxmlformats.org/officeDocument/2006/relationships/hyperlink" Target="comprovantes/Alimenta&#231;&#227;o/GCompartilhar%20comprovante(249).png" TargetMode="External"/><Relationship Id="rId624" Type="http://schemas.openxmlformats.org/officeDocument/2006/relationships/hyperlink" Target="comprovantes/Alimenta&#231;&#227;o/GCompartilhar%20comprovante(58).png" TargetMode="External"/><Relationship Id="rId666" Type="http://schemas.openxmlformats.org/officeDocument/2006/relationships/hyperlink" Target="comprovantes/Educa&#231;&#227;o/teoria-musical-agosto.jpg" TargetMode="External"/><Relationship Id="rId16" Type="http://schemas.openxmlformats.org/officeDocument/2006/relationships/hyperlink" Target="comprovantes/Sa&#250;de/dentista-16-06-2026.pdf" TargetMode="External"/><Relationship Id="rId221" Type="http://schemas.openxmlformats.org/officeDocument/2006/relationships/hyperlink" Target="comprovantes/Transporte/Compartilhar%20comprovante(1).png" TargetMode="External"/><Relationship Id="rId263" Type="http://schemas.openxmlformats.org/officeDocument/2006/relationships/hyperlink" Target="comprovantes/Transporte/Compartilhar%20comprovante(48).png" TargetMode="External"/><Relationship Id="rId319" Type="http://schemas.openxmlformats.org/officeDocument/2006/relationships/hyperlink" Target="comprovantes/Educa&#231;&#227;o/violinho-junho-comprovante.png" TargetMode="External"/><Relationship Id="rId470" Type="http://schemas.openxmlformats.org/officeDocument/2006/relationships/hyperlink" Target="comprovantes/Alimenta&#231;&#227;o/Comprovante_20260826T200934982533.png" TargetMode="External"/><Relationship Id="rId526" Type="http://schemas.openxmlformats.org/officeDocument/2006/relationships/hyperlink" Target="comprovantes/Alimenta&#231;&#227;o/GCompartilhar%20comprovante(166).png" TargetMode="External"/><Relationship Id="rId58" Type="http://schemas.openxmlformats.org/officeDocument/2006/relationships/hyperlink" Target="comprovantes/Vestu&#225;rio%20e%20higiene/GCompartilhar%20comprovante(132).png" TargetMode="External"/><Relationship Id="rId123" Type="http://schemas.openxmlformats.org/officeDocument/2006/relationships/hyperlink" Target="comprovantes/Transporte/Compartilhar%20comprovante(238).png" TargetMode="External"/><Relationship Id="rId330" Type="http://schemas.openxmlformats.org/officeDocument/2006/relationships/hyperlink" Target="comprovantes/Educa&#231;&#227;o/GCompartilhar%20comprovante(51).png" TargetMode="External"/><Relationship Id="rId568" Type="http://schemas.openxmlformats.org/officeDocument/2006/relationships/hyperlink" Target="comprovantes/Alimenta&#231;&#227;o/Compartilhar%20comprovante(56).png" TargetMode="External"/><Relationship Id="rId165" Type="http://schemas.openxmlformats.org/officeDocument/2006/relationships/hyperlink" Target="comprovantes/Transporte/Compartilhar%20comprovante(150).png" TargetMode="External"/><Relationship Id="rId372" Type="http://schemas.openxmlformats.org/officeDocument/2006/relationships/hyperlink" Target="comprovantes/Lazer%20e%20conviv&#234;ncia/GCompartilhar%20comprovante(258).png" TargetMode="External"/><Relationship Id="rId428" Type="http://schemas.openxmlformats.org/officeDocument/2006/relationships/hyperlink" Target="comprovantes/Lazer%20e%20conviv&#234;ncia/Compartilhar%20comprovante(3).png" TargetMode="External"/><Relationship Id="rId635" Type="http://schemas.openxmlformats.org/officeDocument/2006/relationships/hyperlink" Target="comprovantes/Alimenta&#231;&#227;o/GCompartilhar%20comprovante(34).png" TargetMode="External"/><Relationship Id="rId677" Type="http://schemas.openxmlformats.org/officeDocument/2006/relationships/hyperlink" Target="comprovantes/Mesada/GCompartilhar%20comprovante(239).png" TargetMode="External"/><Relationship Id="rId232" Type="http://schemas.openxmlformats.org/officeDocument/2006/relationships/hyperlink" Target="comprovantes/Transporte/Compartilhar%20comprovante(12).png" TargetMode="External"/><Relationship Id="rId274" Type="http://schemas.openxmlformats.org/officeDocument/2006/relationships/hyperlink" Target="comprovantes/Transporte/Compartilhar%20comprovante(54).png" TargetMode="External"/><Relationship Id="rId481" Type="http://schemas.openxmlformats.org/officeDocument/2006/relationships/hyperlink" Target="comprovantes/Alimenta&#231;&#227;o/Comprovante_20260826T200439311001.png" TargetMode="External"/><Relationship Id="rId702" Type="http://schemas.openxmlformats.org/officeDocument/2006/relationships/hyperlink" Target="comprovantes/Mesada/GCompartilhar%20comprovante(33).png" TargetMode="External"/><Relationship Id="rId27" Type="http://schemas.openxmlformats.org/officeDocument/2006/relationships/hyperlink" Target="comprovantes/Sa&#250;de/GCompartilhar%20comprovante(138).png" TargetMode="External"/><Relationship Id="rId69" Type="http://schemas.openxmlformats.org/officeDocument/2006/relationships/hyperlink" Target="comprovantes/Transporte/Compartilhar%20comprovante(83).png" TargetMode="External"/><Relationship Id="rId134" Type="http://schemas.openxmlformats.org/officeDocument/2006/relationships/hyperlink" Target="comprovantes/Transporte/Compartilhar%20comprovante(130).png" TargetMode="External"/><Relationship Id="rId537" Type="http://schemas.openxmlformats.org/officeDocument/2006/relationships/hyperlink" Target="comprovantes/Alimenta&#231;&#227;o/Comprovante_20260826T194053712456.png" TargetMode="External"/><Relationship Id="rId579" Type="http://schemas.openxmlformats.org/officeDocument/2006/relationships/hyperlink" Target="comprovantes/Alimenta&#231;&#227;o/GCompartilhar%20comprovante(114).png" TargetMode="External"/><Relationship Id="rId80" Type="http://schemas.openxmlformats.org/officeDocument/2006/relationships/hyperlink" Target="comprovantes/Transporte/Compartilhar%20comprovante(91).png" TargetMode="External"/><Relationship Id="rId176" Type="http://schemas.openxmlformats.org/officeDocument/2006/relationships/hyperlink" Target="comprovantes/Transporte/Compartilhar%20comprovante(188).png" TargetMode="External"/><Relationship Id="rId341" Type="http://schemas.openxmlformats.org/officeDocument/2006/relationships/hyperlink" Target="comprovantes/Moradia/agosto-Agua.pdf" TargetMode="External"/><Relationship Id="rId383" Type="http://schemas.openxmlformats.org/officeDocument/2006/relationships/hyperlink" Target="comprovantes/Lazer%20e%20conviv&#234;ncia/Compartilhar%20comprovante(43).png" TargetMode="External"/><Relationship Id="rId439" Type="http://schemas.openxmlformats.org/officeDocument/2006/relationships/hyperlink" Target="comprovantes/Lazer%20e%20conviv&#234;ncia/Compartilhar%20comprovante(6).png" TargetMode="External"/><Relationship Id="rId590" Type="http://schemas.openxmlformats.org/officeDocument/2006/relationships/hyperlink" Target="comprovantes/Alimenta&#231;&#227;o/GCompartilhar%20comprovante(100).png" TargetMode="External"/><Relationship Id="rId604" Type="http://schemas.openxmlformats.org/officeDocument/2006/relationships/hyperlink" Target="comprovantes/Alimenta&#231;&#227;o/GCompartilhar%20comprovante(89).png" TargetMode="External"/><Relationship Id="rId646" Type="http://schemas.openxmlformats.org/officeDocument/2006/relationships/hyperlink" Target="comprovantes/Alimenta&#231;&#227;o/GCompartilhar%20comprovante(15).png" TargetMode="External"/><Relationship Id="rId201" Type="http://schemas.openxmlformats.org/officeDocument/2006/relationships/hyperlink" Target="comprovantes/Transporte/Compartilhar%20comprovante(165).png" TargetMode="External"/><Relationship Id="rId243" Type="http://schemas.openxmlformats.org/officeDocument/2006/relationships/hyperlink" Target="comprovantes/Transporte/Compartilhar%20comprovante(25).png" TargetMode="External"/><Relationship Id="rId285" Type="http://schemas.openxmlformats.org/officeDocument/2006/relationships/hyperlink" Target="comprovantes/Transporte/Compartilhar%20comprovante(68).png" TargetMode="External"/><Relationship Id="rId450" Type="http://schemas.openxmlformats.org/officeDocument/2006/relationships/hyperlink" Target="comprovantes/Alimenta&#231;&#227;o/GCompartilhar%20comprovante(263).png" TargetMode="External"/><Relationship Id="rId506" Type="http://schemas.openxmlformats.org/officeDocument/2006/relationships/hyperlink" Target="comprovantes/Alimenta&#231;&#227;o/GCompartilhar%20comprovante(197).png" TargetMode="External"/><Relationship Id="rId688" Type="http://schemas.openxmlformats.org/officeDocument/2006/relationships/hyperlink" Target="comprovantes/Mesada/GCompartilhar%20comprovante(168).png" TargetMode="External"/><Relationship Id="rId38" Type="http://schemas.openxmlformats.org/officeDocument/2006/relationships/hyperlink" Target="comprovantes/Sa&#250;de/Compartilhar%20comprovante(11).png" TargetMode="External"/><Relationship Id="rId103" Type="http://schemas.openxmlformats.org/officeDocument/2006/relationships/hyperlink" Target="comprovantes/Transporte/Compartilhar%20comprovante(215).png" TargetMode="External"/><Relationship Id="rId310" Type="http://schemas.openxmlformats.org/officeDocument/2006/relationships/hyperlink" Target="comprovantes/Comunica&#231;&#227;o%20e%20tecnologia/GCompartilhar%20comprovante(73).png" TargetMode="External"/><Relationship Id="rId492" Type="http://schemas.openxmlformats.org/officeDocument/2006/relationships/hyperlink" Target="comprovantes/Alimenta&#231;&#227;o/Comprovante_20260826T195747769005.png" TargetMode="External"/><Relationship Id="rId548" Type="http://schemas.openxmlformats.org/officeDocument/2006/relationships/hyperlink" Target="comprovantes/Alimenta&#231;&#227;o/Comprovante_20260826T193655248497.png" TargetMode="External"/><Relationship Id="rId91" Type="http://schemas.openxmlformats.org/officeDocument/2006/relationships/hyperlink" Target="comprovantes/Transporte/Compartilhar%20comprovante(99).png" TargetMode="External"/><Relationship Id="rId145" Type="http://schemas.openxmlformats.org/officeDocument/2006/relationships/hyperlink" Target="comprovantes/Transporte/GCompartilhar%20comprovante(137).png" TargetMode="External"/><Relationship Id="rId187" Type="http://schemas.openxmlformats.org/officeDocument/2006/relationships/hyperlink" Target="comprovantes/Transporte/Compartilhar%20comprovante(155).png" TargetMode="External"/><Relationship Id="rId352" Type="http://schemas.openxmlformats.org/officeDocument/2006/relationships/hyperlink" Target="comprovantes/Moradia/GCompartilhar%20comprovante(162).png" TargetMode="External"/><Relationship Id="rId394" Type="http://schemas.openxmlformats.org/officeDocument/2006/relationships/hyperlink" Target="comprovantes/Lazer%20e%20conviv&#234;ncia/Compartilhar%20comprovante(52).png" TargetMode="External"/><Relationship Id="rId408" Type="http://schemas.openxmlformats.org/officeDocument/2006/relationships/hyperlink" Target="comprovantes/Lazer%20e%20conviv&#234;ncia/Compartilhar%20comprovante(35).png" TargetMode="External"/><Relationship Id="rId615" Type="http://schemas.openxmlformats.org/officeDocument/2006/relationships/hyperlink" Target="comprovantes/Alimenta&#231;&#227;o/GCompartilhar%20comprovante(71).png" TargetMode="External"/><Relationship Id="rId212" Type="http://schemas.openxmlformats.org/officeDocument/2006/relationships/hyperlink" Target="comprovantes/Transporte/Compartilhar%20comprovante(172).png" TargetMode="External"/><Relationship Id="rId254" Type="http://schemas.openxmlformats.org/officeDocument/2006/relationships/hyperlink" Target="comprovantes/Transporte/Compartilhar%20comprovante(37).png" TargetMode="External"/><Relationship Id="rId657" Type="http://schemas.openxmlformats.org/officeDocument/2006/relationships/hyperlink" Target="comprovantes/Alimenta&#231;&#227;o/Compartilhar%20comprovante(25).png" TargetMode="External"/><Relationship Id="rId699" Type="http://schemas.openxmlformats.org/officeDocument/2006/relationships/hyperlink" Target="comprovantes/Mesada/GCompartilhar%20comprovante(65).png" TargetMode="External"/><Relationship Id="rId49" Type="http://schemas.openxmlformats.org/officeDocument/2006/relationships/hyperlink" Target="comprovantes/Sa&#250;de/Compartilhar%20comprovante(1).png" TargetMode="External"/><Relationship Id="rId114" Type="http://schemas.openxmlformats.org/officeDocument/2006/relationships/hyperlink" Target="comprovantes/Transporte/Compartilhar%20comprovante(230).png" TargetMode="External"/><Relationship Id="rId296" Type="http://schemas.openxmlformats.org/officeDocument/2006/relationships/hyperlink" Target="comprovantes/Transporte/Compartilhar%20comprovante(80).png" TargetMode="External"/><Relationship Id="rId461" Type="http://schemas.openxmlformats.org/officeDocument/2006/relationships/hyperlink" Target="comprovantes/Alimenta&#231;&#227;o/GCompartilhar%20comprovante(235).png" TargetMode="External"/><Relationship Id="rId517" Type="http://schemas.openxmlformats.org/officeDocument/2006/relationships/hyperlink" Target="comprovantes/Alimenta&#231;&#227;o/GCompartilhar%20comprovante(185).png" TargetMode="External"/><Relationship Id="rId559" Type="http://schemas.openxmlformats.org/officeDocument/2006/relationships/hyperlink" Target="comprovantes/Alimenta&#231;&#227;o/Compartilhar%20comprovante(62).png" TargetMode="External"/><Relationship Id="rId60" Type="http://schemas.openxmlformats.org/officeDocument/2006/relationships/hyperlink" Target="comprovantes/Vestu&#225;rio%20e%20higiene/Compartilhar%20comprovante(1).png" TargetMode="External"/><Relationship Id="rId156" Type="http://schemas.openxmlformats.org/officeDocument/2006/relationships/hyperlink" Target="comprovantes/Transporte/Compartilhar%20comprovante(141).png" TargetMode="External"/><Relationship Id="rId198" Type="http://schemas.openxmlformats.org/officeDocument/2006/relationships/hyperlink" Target="comprovantes/Transporte/Compartilhar%20comprovante(183).png" TargetMode="External"/><Relationship Id="rId321" Type="http://schemas.openxmlformats.org/officeDocument/2006/relationships/hyperlink" Target="comprovantes/Educa&#231;&#227;o/GCompartilhar%20comprovante(173).png" TargetMode="External"/><Relationship Id="rId363" Type="http://schemas.openxmlformats.org/officeDocument/2006/relationships/hyperlink" Target="comprovantes/Moradia/energia-eletrica-mar&#231;o.png" TargetMode="External"/><Relationship Id="rId419" Type="http://schemas.openxmlformats.org/officeDocument/2006/relationships/hyperlink" Target="comprovantes/Lazer%20e%20conviv&#234;ncia/GCompartilhar%20comprovante(85).png" TargetMode="External"/><Relationship Id="rId570" Type="http://schemas.openxmlformats.org/officeDocument/2006/relationships/hyperlink" Target="comprovantes/Alimenta&#231;&#227;o/Compartilhar%20comprovante(54).png" TargetMode="External"/><Relationship Id="rId626" Type="http://schemas.openxmlformats.org/officeDocument/2006/relationships/hyperlink" Target="comprovantes/Alimenta&#231;&#227;o/Compartilhar%20comprovante(6).png" TargetMode="External"/><Relationship Id="rId223" Type="http://schemas.openxmlformats.org/officeDocument/2006/relationships/hyperlink" Target="comprovantes/Transporte/Compartilhar%20comprovante(9).png" TargetMode="External"/><Relationship Id="rId430" Type="http://schemas.openxmlformats.org/officeDocument/2006/relationships/hyperlink" Target="comprovantes/Lazer%20e%20conviv&#234;ncia/Compartilhar%20comprovante(4).png" TargetMode="External"/><Relationship Id="rId668" Type="http://schemas.openxmlformats.org/officeDocument/2006/relationships/hyperlink" Target="comprovantes/Vestu&#225;rio%20e%20higiene/Compartilhar%20comprovante(3).png" TargetMode="External"/><Relationship Id="rId18" Type="http://schemas.openxmlformats.org/officeDocument/2006/relationships/hyperlink" Target="comprovantes/Sa&#250;de/Compartilhar%20comprovante(26).png" TargetMode="External"/><Relationship Id="rId265" Type="http://schemas.openxmlformats.org/officeDocument/2006/relationships/hyperlink" Target="comprovantes/Transporte/Compartilhar%20comprovante(45).png" TargetMode="External"/><Relationship Id="rId472" Type="http://schemas.openxmlformats.org/officeDocument/2006/relationships/hyperlink" Target="comprovantes/Alimenta&#231;&#227;o/Comprovante_20260826T200804190311.png" TargetMode="External"/><Relationship Id="rId528" Type="http://schemas.openxmlformats.org/officeDocument/2006/relationships/hyperlink" Target="comprovantes/Alimenta&#231;&#227;o/Comprovante_20260826T194440144240.png" TargetMode="External"/><Relationship Id="rId125" Type="http://schemas.openxmlformats.org/officeDocument/2006/relationships/hyperlink" Target="comprovantes/Transporte/GCompartilhar%20comprovante(160).png" TargetMode="External"/><Relationship Id="rId167" Type="http://schemas.openxmlformats.org/officeDocument/2006/relationships/hyperlink" Target="comprovantes/Transporte/Compartilhar%20comprovante(148).png" TargetMode="External"/><Relationship Id="rId332" Type="http://schemas.openxmlformats.org/officeDocument/2006/relationships/hyperlink" Target="comprovantes/Educa&#231;&#227;o/Compartilhar%20comprovante.png" TargetMode="External"/><Relationship Id="rId374" Type="http://schemas.openxmlformats.org/officeDocument/2006/relationships/hyperlink" Target="comprovantes/Lazer%20e%20conviv&#234;ncia/GCompartilhar%20comprovante(245).png" TargetMode="External"/><Relationship Id="rId581" Type="http://schemas.openxmlformats.org/officeDocument/2006/relationships/hyperlink" Target="comprovantes/Alimenta&#231;&#227;o/Compartilhar%20comprovante(46).png" TargetMode="External"/><Relationship Id="rId71" Type="http://schemas.openxmlformats.org/officeDocument/2006/relationships/hyperlink" Target="comprovantes/Transporte/GCompartilhar%20comprovante(264).png" TargetMode="External"/><Relationship Id="rId234" Type="http://schemas.openxmlformats.org/officeDocument/2006/relationships/hyperlink" Target="comprovantes/Transporte/Compartilhar%20comprovante(21).png" TargetMode="External"/><Relationship Id="rId637" Type="http://schemas.openxmlformats.org/officeDocument/2006/relationships/hyperlink" Target="comprovantes/Alimenta&#231;&#227;o/Compartilhar%20comprovante(12).png" TargetMode="External"/><Relationship Id="rId679" Type="http://schemas.openxmlformats.org/officeDocument/2006/relationships/hyperlink" Target="comprovantes/Mesada/GCompartilhar%20comprovante(240).png" TargetMode="External"/><Relationship Id="rId2" Type="http://schemas.openxmlformats.org/officeDocument/2006/relationships/hyperlink" Target="comprovantes/Sa&#250;de/GCompartilhar%20comprovante(262).png" TargetMode="External"/><Relationship Id="rId29" Type="http://schemas.openxmlformats.org/officeDocument/2006/relationships/hyperlink" Target="comprovantes/Sa&#250;de/Compartilhar%20comprovante(20).png" TargetMode="External"/><Relationship Id="rId276" Type="http://schemas.openxmlformats.org/officeDocument/2006/relationships/hyperlink" Target="comprovantes/Transporte/Compartilhar%20comprovante(59).png" TargetMode="External"/><Relationship Id="rId441" Type="http://schemas.openxmlformats.org/officeDocument/2006/relationships/hyperlink" Target="comprovantes/Lazer%20e%20conviv&#234;ncia/GCompartilhar%20comprovante.png" TargetMode="External"/><Relationship Id="rId483" Type="http://schemas.openxmlformats.org/officeDocument/2006/relationships/hyperlink" Target="comprovantes/Alimenta&#231;&#227;o/Compartilhar%20comprovante(31).png" TargetMode="External"/><Relationship Id="rId539" Type="http://schemas.openxmlformats.org/officeDocument/2006/relationships/hyperlink" Target="comprovantes/Alimenta&#231;&#227;o/GCompartilhar%20comprovante(154).png" TargetMode="External"/><Relationship Id="rId690" Type="http://schemas.openxmlformats.org/officeDocument/2006/relationships/hyperlink" Target="comprovantes/Mesada/GCompartilhar%20comprovante(144).png" TargetMode="External"/><Relationship Id="rId704" Type="http://schemas.openxmlformats.org/officeDocument/2006/relationships/hyperlink" Target="comprovantes/Mesada/GCompartilhar%20comprovante(14).png" TargetMode="External"/><Relationship Id="rId40" Type="http://schemas.openxmlformats.org/officeDocument/2006/relationships/hyperlink" Target="comprovantes/Sa&#250;de/Compartilhar%20comprovante(8).png" TargetMode="External"/><Relationship Id="rId136" Type="http://schemas.openxmlformats.org/officeDocument/2006/relationships/hyperlink" Target="comprovantes/Transporte/Compartilhar%20comprovante(132).png" TargetMode="External"/><Relationship Id="rId178" Type="http://schemas.openxmlformats.org/officeDocument/2006/relationships/hyperlink" Target="comprovantes/Transporte/GCompartilhar%20comprovante(110).png" TargetMode="External"/><Relationship Id="rId301" Type="http://schemas.openxmlformats.org/officeDocument/2006/relationships/hyperlink" Target="comprovantes/Esporte%20e%20desenvolvimento/academia-agosto.jpg" TargetMode="External"/><Relationship Id="rId343" Type="http://schemas.openxmlformats.org/officeDocument/2006/relationships/hyperlink" Target="comprovantes/Moradia/energia-el&#233;trica-jun.pdf" TargetMode="External"/><Relationship Id="rId550" Type="http://schemas.openxmlformats.org/officeDocument/2006/relationships/hyperlink" Target="comprovantes/Alimenta&#231;&#227;o/GCompartilhar%20comprovante(134).png" TargetMode="External"/><Relationship Id="rId82" Type="http://schemas.openxmlformats.org/officeDocument/2006/relationships/hyperlink" Target="comprovantes/Transporte/Compartilhar%20comprovante(89).png" TargetMode="External"/><Relationship Id="rId203" Type="http://schemas.openxmlformats.org/officeDocument/2006/relationships/hyperlink" Target="comprovantes/Transporte/Compartilhar%20comprovante(181).png" TargetMode="External"/><Relationship Id="rId385" Type="http://schemas.openxmlformats.org/officeDocument/2006/relationships/hyperlink" Target="comprovantes/Lazer%20e%20conviv&#234;ncia/GCompartilhar%20comprovante(177).png" TargetMode="External"/><Relationship Id="rId592" Type="http://schemas.openxmlformats.org/officeDocument/2006/relationships/hyperlink" Target="comprovantes/Alimenta&#231;&#227;o/GCompartilhar%20comprovante(99).png" TargetMode="External"/><Relationship Id="rId606" Type="http://schemas.openxmlformats.org/officeDocument/2006/relationships/hyperlink" Target="comprovantes/Alimenta&#231;&#227;o/GCompartilhar%20comprovante(84).png" TargetMode="External"/><Relationship Id="rId648" Type="http://schemas.openxmlformats.org/officeDocument/2006/relationships/hyperlink" Target="comprovantes/Alimenta&#231;&#227;o/Compartilhar%20comprovante(15).png" TargetMode="External"/><Relationship Id="rId245" Type="http://schemas.openxmlformats.org/officeDocument/2006/relationships/hyperlink" Target="comprovantes/Transporte/Compartilhar%20comprovante(27).png" TargetMode="External"/><Relationship Id="rId287" Type="http://schemas.openxmlformats.org/officeDocument/2006/relationships/hyperlink" Target="comprovantes/Transporte/Compartilhar%20comprovante(73).png" TargetMode="External"/><Relationship Id="rId410" Type="http://schemas.openxmlformats.org/officeDocument/2006/relationships/hyperlink" Target="comprovantes/Lazer%20e%20conviv&#234;ncia/Compartilhar%20comprovante(29).png" TargetMode="External"/><Relationship Id="rId452" Type="http://schemas.openxmlformats.org/officeDocument/2006/relationships/hyperlink" Target="comprovantes/Alimenta&#231;&#227;o/GCompartilhar%20comprovante(259).png" TargetMode="External"/><Relationship Id="rId494" Type="http://schemas.openxmlformats.org/officeDocument/2006/relationships/hyperlink" Target="comprovantes/Alimenta&#231;&#227;o/GCompartilhar%20comprovante(202).png" TargetMode="External"/><Relationship Id="rId508" Type="http://schemas.openxmlformats.org/officeDocument/2006/relationships/hyperlink" Target="comprovantes/Alimenta&#231;&#227;o/Comprovante_20260826T194845576728.png" TargetMode="External"/><Relationship Id="rId30" Type="http://schemas.openxmlformats.org/officeDocument/2006/relationships/hyperlink" Target="comprovantes/Sa&#250;de/Compartilhar%20comprovante(19).png" TargetMode="External"/><Relationship Id="rId105" Type="http://schemas.openxmlformats.org/officeDocument/2006/relationships/hyperlink" Target="comprovantes/Transporte/Compartilhar%20comprovante(220).png" TargetMode="External"/><Relationship Id="rId126" Type="http://schemas.openxmlformats.org/officeDocument/2006/relationships/hyperlink" Target="comprovantes/Transporte/GCompartilhar%20comprovante(159).png" TargetMode="External"/><Relationship Id="rId147" Type="http://schemas.openxmlformats.org/officeDocument/2006/relationships/hyperlink" Target="comprovantes/Transporte/GCompartilhar%20comprovante(130).png" TargetMode="External"/><Relationship Id="rId168" Type="http://schemas.openxmlformats.org/officeDocument/2006/relationships/hyperlink" Target="comprovantes/Transporte/Compartilhar%20comprovante(152).png" TargetMode="External"/><Relationship Id="rId312" Type="http://schemas.openxmlformats.org/officeDocument/2006/relationships/hyperlink" Target="comprovantes/Comunica&#231;&#227;o%20e%20tecnologia/GCompartilhar%20comprovante(40).png" TargetMode="External"/><Relationship Id="rId333" Type="http://schemas.openxmlformats.org/officeDocument/2006/relationships/hyperlink" Target="comprovantes/Educa&#231;&#227;o/Compartilhar%20comprovante(2).png" TargetMode="External"/><Relationship Id="rId354" Type="http://schemas.openxmlformats.org/officeDocument/2006/relationships/hyperlink" Target="comprovantes/Moradia/condom-maio.pdf" TargetMode="External"/><Relationship Id="rId540" Type="http://schemas.openxmlformats.org/officeDocument/2006/relationships/hyperlink" Target="comprovantes/Alimenta&#231;&#227;o/GCompartilhar%20comprovante(151).png" TargetMode="External"/><Relationship Id="rId51" Type="http://schemas.openxmlformats.org/officeDocument/2006/relationships/hyperlink" Target="comprovantes/Sa&#250;de/GCompartilhar%20comprovante(45).png" TargetMode="External"/><Relationship Id="rId72" Type="http://schemas.openxmlformats.org/officeDocument/2006/relationships/hyperlink" Target="comprovantes/Transporte/GCompartilhar%20comprovante(260).png" TargetMode="External"/><Relationship Id="rId93" Type="http://schemas.openxmlformats.org/officeDocument/2006/relationships/hyperlink" Target="comprovantes/Transporte/Compartilhar%20comprovante(97).png" TargetMode="External"/><Relationship Id="rId189" Type="http://schemas.openxmlformats.org/officeDocument/2006/relationships/hyperlink" Target="comprovantes/Transporte/GCompartilhar%20comprovante(105).png" TargetMode="External"/><Relationship Id="rId375" Type="http://schemas.openxmlformats.org/officeDocument/2006/relationships/hyperlink" Target="comprovantes/Lazer%20e%20conviv&#234;ncia/Compartilhar%20comprovante(13).png" TargetMode="External"/><Relationship Id="rId396" Type="http://schemas.openxmlformats.org/officeDocument/2006/relationships/hyperlink" Target="comprovantes/Lazer%20e%20conviv&#234;ncia/Compartilhar%20comprovante(41).png" TargetMode="External"/><Relationship Id="rId561" Type="http://schemas.openxmlformats.org/officeDocument/2006/relationships/hyperlink" Target="comprovantes/Alimenta&#231;&#227;o/GCompartilhar%20comprovante(126).png" TargetMode="External"/><Relationship Id="rId582" Type="http://schemas.openxmlformats.org/officeDocument/2006/relationships/hyperlink" Target="comprovantes/Alimenta&#231;&#227;o/Compartilhar%20comprovante(45).png" TargetMode="External"/><Relationship Id="rId617" Type="http://schemas.openxmlformats.org/officeDocument/2006/relationships/hyperlink" Target="comprovantes/Alimenta&#231;&#227;o/Compartilhar%20comprovante(3).png" TargetMode="External"/><Relationship Id="rId638" Type="http://schemas.openxmlformats.org/officeDocument/2006/relationships/hyperlink" Target="comprovantes/Alimenta&#231;&#227;o/GCompartilhar%20comprovante(4).png" TargetMode="External"/><Relationship Id="rId659" Type="http://schemas.openxmlformats.org/officeDocument/2006/relationships/hyperlink" Target="comprovantes/Alimenta&#231;&#227;o/Compartilhar%20comprovante(9).png" TargetMode="External"/><Relationship Id="rId3" Type="http://schemas.openxmlformats.org/officeDocument/2006/relationships/hyperlink" Target="comprovantes/Sa&#250;de/GCompartilhar%20comprovante(255).png" TargetMode="External"/><Relationship Id="rId214" Type="http://schemas.openxmlformats.org/officeDocument/2006/relationships/hyperlink" Target="comprovantes/Transporte/Compartilhar%20comprovante(170).png" TargetMode="External"/><Relationship Id="rId235" Type="http://schemas.openxmlformats.org/officeDocument/2006/relationships/hyperlink" Target="comprovantes/Transporte/Compartilhar%20comprovante(20).png" TargetMode="External"/><Relationship Id="rId256" Type="http://schemas.openxmlformats.org/officeDocument/2006/relationships/hyperlink" Target="comprovantes/Transporte/Compartilhar%20comprovante(35).png" TargetMode="External"/><Relationship Id="rId277" Type="http://schemas.openxmlformats.org/officeDocument/2006/relationships/hyperlink" Target="comprovantes/Transporte/Compartilhar%20comprovante(58).png" TargetMode="External"/><Relationship Id="rId298" Type="http://schemas.openxmlformats.org/officeDocument/2006/relationships/hyperlink" Target="comprovantes/Transporte/Compartilhar%20comprovante(82).png" TargetMode="External"/><Relationship Id="rId400" Type="http://schemas.openxmlformats.org/officeDocument/2006/relationships/hyperlink" Target="comprovantes/Lazer%20e%20conviv&#234;ncia/GCompartilhar%20comprovante(125).png" TargetMode="External"/><Relationship Id="rId421" Type="http://schemas.openxmlformats.org/officeDocument/2006/relationships/hyperlink" Target="comprovantes/Lazer%20e%20conviv&#234;ncia/GCompartilhar%20comprovante(72).png" TargetMode="External"/><Relationship Id="rId442" Type="http://schemas.openxmlformats.org/officeDocument/2006/relationships/hyperlink" Target="comprovantes/Lazer%20e%20conviv&#234;ncia/GCompartilhar%20comprovante(42).png" TargetMode="External"/><Relationship Id="rId463" Type="http://schemas.openxmlformats.org/officeDocument/2006/relationships/hyperlink" Target="comprovantes/Alimenta&#231;&#227;o/Compartilhar%20comprovante(27).png" TargetMode="External"/><Relationship Id="rId484" Type="http://schemas.openxmlformats.org/officeDocument/2006/relationships/hyperlink" Target="comprovantes/Alimenta&#231;&#227;o/Comprovante_20260826T200252005392.png" TargetMode="External"/><Relationship Id="rId519" Type="http://schemas.openxmlformats.org/officeDocument/2006/relationships/hyperlink" Target="comprovantes/Alimenta&#231;&#227;o/GCompartilhar%20comprovante(183).png" TargetMode="External"/><Relationship Id="rId670" Type="http://schemas.openxmlformats.org/officeDocument/2006/relationships/hyperlink" Target="comprovantes/Transporte/Compartilhar%20comprovante(56).png" TargetMode="External"/><Relationship Id="rId705" Type="http://schemas.openxmlformats.org/officeDocument/2006/relationships/hyperlink" Target="comprovantes/Mesada/GCompartilhar%20comprovante(22).png" TargetMode="External"/><Relationship Id="rId116" Type="http://schemas.openxmlformats.org/officeDocument/2006/relationships/hyperlink" Target="comprovantes/Transporte/Compartilhar%20comprovante(233).png" TargetMode="External"/><Relationship Id="rId137" Type="http://schemas.openxmlformats.org/officeDocument/2006/relationships/hyperlink" Target="comprovantes/Transporte/Compartilhar%20comprovante(131).png" TargetMode="External"/><Relationship Id="rId158" Type="http://schemas.openxmlformats.org/officeDocument/2006/relationships/hyperlink" Target="comprovantes/Transporte/Compartilhar%20comprovante(139).png" TargetMode="External"/><Relationship Id="rId302" Type="http://schemas.openxmlformats.org/officeDocument/2006/relationships/hyperlink" Target="comprovantes/Esporte%20e%20desenvolvimento/GCompartilhar%20comprovante(142).png" TargetMode="External"/><Relationship Id="rId323" Type="http://schemas.openxmlformats.org/officeDocument/2006/relationships/hyperlink" Target="comprovantes/Educa&#231;&#227;o/violino-maio-Comprovante.png" TargetMode="External"/><Relationship Id="rId344" Type="http://schemas.openxmlformats.org/officeDocument/2006/relationships/hyperlink" Target="comprovantes/Moradia/Boleto_internet-jul-14219370.pdf" TargetMode="External"/><Relationship Id="rId530" Type="http://schemas.openxmlformats.org/officeDocument/2006/relationships/hyperlink" Target="comprovantes/Alimenta&#231;&#227;o/GCompartilhar%20comprovante(164).png" TargetMode="External"/><Relationship Id="rId691" Type="http://schemas.openxmlformats.org/officeDocument/2006/relationships/hyperlink" Target="comprovantes/Mesada/GCompartilhar%20comprovante(141).png" TargetMode="External"/><Relationship Id="rId20" Type="http://schemas.openxmlformats.org/officeDocument/2006/relationships/hyperlink" Target="comprovantes/Sa&#250;de/GCompartilhar%20comprovante(184).png" TargetMode="External"/><Relationship Id="rId41" Type="http://schemas.openxmlformats.org/officeDocument/2006/relationships/hyperlink" Target="comprovantes/Sa&#250;de/Compartilhar%20comprovante(10).png" TargetMode="External"/><Relationship Id="rId62" Type="http://schemas.openxmlformats.org/officeDocument/2006/relationships/hyperlink" Target="comprovantes/Vestu&#225;rio%20e%20higiene/Compartilhar%20comprovante.png" TargetMode="External"/><Relationship Id="rId83" Type="http://schemas.openxmlformats.org/officeDocument/2006/relationships/hyperlink" Target="comprovantes/Transporte/Compartilhar%20comprovante(88).png" TargetMode="External"/><Relationship Id="rId179" Type="http://schemas.openxmlformats.org/officeDocument/2006/relationships/hyperlink" Target="comprovantes/Transporte/GCompartilhar%20comprovante(109).png" TargetMode="External"/><Relationship Id="rId365" Type="http://schemas.openxmlformats.org/officeDocument/2006/relationships/hyperlink" Target="comprovantes/Moradia/faxina-mar&#231;o.png" TargetMode="External"/><Relationship Id="rId386" Type="http://schemas.openxmlformats.org/officeDocument/2006/relationships/hyperlink" Target="comprovantes/Lazer%20e%20conviv&#234;ncia/GCompartilhar%20comprovante(176).png" TargetMode="External"/><Relationship Id="rId551" Type="http://schemas.openxmlformats.org/officeDocument/2006/relationships/hyperlink" Target="comprovantes/Alimenta&#231;&#227;o/Compartilhar%20comprovante(68).png" TargetMode="External"/><Relationship Id="rId572" Type="http://schemas.openxmlformats.org/officeDocument/2006/relationships/hyperlink" Target="comprovantes/Alimenta&#231;&#227;o/Compartilhar%20comprovante(53).png" TargetMode="External"/><Relationship Id="rId593" Type="http://schemas.openxmlformats.org/officeDocument/2006/relationships/hyperlink" Target="comprovantes/Alimenta&#231;&#227;o/Compartilhar%20comprovante(40).png" TargetMode="External"/><Relationship Id="rId607" Type="http://schemas.openxmlformats.org/officeDocument/2006/relationships/hyperlink" Target="comprovantes/Alimenta&#231;&#227;o/GCompartilhar%20comprovante(83).png" TargetMode="External"/><Relationship Id="rId628" Type="http://schemas.openxmlformats.org/officeDocument/2006/relationships/hyperlink" Target="comprovantes/Alimenta&#231;&#227;o/GCompartilhar%20comprovante(49).png" TargetMode="External"/><Relationship Id="rId649" Type="http://schemas.openxmlformats.org/officeDocument/2006/relationships/hyperlink" Target="comprovantes/Alimenta&#231;&#227;o/GCompartilhar%20comprovante(19).png" TargetMode="External"/><Relationship Id="rId190" Type="http://schemas.openxmlformats.org/officeDocument/2006/relationships/hyperlink" Target="comprovantes/Transporte/Compartilhar%20comprovante(157).png" TargetMode="External"/><Relationship Id="rId204" Type="http://schemas.openxmlformats.org/officeDocument/2006/relationships/hyperlink" Target="comprovantes/Transporte/Compartilhar%20comprovante(180).png" TargetMode="External"/><Relationship Id="rId225" Type="http://schemas.openxmlformats.org/officeDocument/2006/relationships/hyperlink" Target="comprovantes/Transporte/Compartilhar%20comprovante(7).png" TargetMode="External"/><Relationship Id="rId246" Type="http://schemas.openxmlformats.org/officeDocument/2006/relationships/hyperlink" Target="comprovantes/Transporte/Compartilhar%20comprovante(29).png" TargetMode="External"/><Relationship Id="rId267" Type="http://schemas.openxmlformats.org/officeDocument/2006/relationships/hyperlink" Target="comprovantes/Transporte/GCompartilhar%20comprovante(43).png" TargetMode="External"/><Relationship Id="rId288" Type="http://schemas.openxmlformats.org/officeDocument/2006/relationships/hyperlink" Target="comprovantes/Transporte/Compartilhar%20comprovante(72).png" TargetMode="External"/><Relationship Id="rId411" Type="http://schemas.openxmlformats.org/officeDocument/2006/relationships/hyperlink" Target="comprovantes/Lazer%20e%20conviv&#234;ncia/Compartilhar%20comprovante(28).png" TargetMode="External"/><Relationship Id="rId432" Type="http://schemas.openxmlformats.org/officeDocument/2006/relationships/hyperlink" Target="comprovantes/Lazer%20e%20conviv&#234;ncia/GCompartilhar%20comprovante(25).png" TargetMode="External"/><Relationship Id="rId453" Type="http://schemas.openxmlformats.org/officeDocument/2006/relationships/hyperlink" Target="comprovantes/Alimenta&#231;&#227;o/GCompartilhar%20comprovante(257).png" TargetMode="External"/><Relationship Id="rId474" Type="http://schemas.openxmlformats.org/officeDocument/2006/relationships/hyperlink" Target="comprovantes/Alimenta&#231;&#227;o/Compartilhar%20comprovante(28).png" TargetMode="External"/><Relationship Id="rId509" Type="http://schemas.openxmlformats.org/officeDocument/2006/relationships/hyperlink" Target="comprovantes/Alimenta&#231;&#227;o/GCompartilhar%20comprovante(196).png" TargetMode="External"/><Relationship Id="rId660" Type="http://schemas.openxmlformats.org/officeDocument/2006/relationships/hyperlink" Target="comprovantes/Alimenta&#231;&#227;o/Compartilhar%20comprovante(23).png" TargetMode="External"/><Relationship Id="rId106" Type="http://schemas.openxmlformats.org/officeDocument/2006/relationships/hyperlink" Target="comprovantes/Transporte/Compartilhar%20comprovante(223).png" TargetMode="External"/><Relationship Id="rId127" Type="http://schemas.openxmlformats.org/officeDocument/2006/relationships/hyperlink" Target="comprovantes/Transporte/GCompartilhar%20comprovante(158).png" TargetMode="External"/><Relationship Id="rId313" Type="http://schemas.openxmlformats.org/officeDocument/2006/relationships/hyperlink" Target="comprovantes/Comunica&#231;&#227;o%20e%20tecnologia/GCompartilhar%20comprovante(17).png" TargetMode="External"/><Relationship Id="rId495" Type="http://schemas.openxmlformats.org/officeDocument/2006/relationships/hyperlink" Target="comprovantes/Alimenta&#231;&#227;o/GCompartilhar%20comprovante(201).png" TargetMode="External"/><Relationship Id="rId681" Type="http://schemas.openxmlformats.org/officeDocument/2006/relationships/hyperlink" Target="comprovantes/Mesada/GCompartilhar%20comprovante(244).png" TargetMode="External"/><Relationship Id="rId10" Type="http://schemas.openxmlformats.org/officeDocument/2006/relationships/hyperlink" Target="comprovantes/Sa&#250;de/Compartilhar%20comprovante(23).png" TargetMode="External"/><Relationship Id="rId31" Type="http://schemas.openxmlformats.org/officeDocument/2006/relationships/hyperlink" Target="comprovantes/Sa&#250;de/Compartilhar%20comprovante(18).png" TargetMode="External"/><Relationship Id="rId52" Type="http://schemas.openxmlformats.org/officeDocument/2006/relationships/hyperlink" Target="comprovantes/Sa&#250;de/Compartilhar%20comprovante(2).png" TargetMode="External"/><Relationship Id="rId73" Type="http://schemas.openxmlformats.org/officeDocument/2006/relationships/hyperlink" Target="comprovantes/Transporte/GCompartilhar%20comprovante(246).png" TargetMode="External"/><Relationship Id="rId94" Type="http://schemas.openxmlformats.org/officeDocument/2006/relationships/hyperlink" Target="comprovantes/Transporte/Compartilhar%20comprovante(212).png" TargetMode="External"/><Relationship Id="rId148" Type="http://schemas.openxmlformats.org/officeDocument/2006/relationships/hyperlink" Target="comprovantes/Transporte/GCompartilhar%20comprovante(129).png" TargetMode="External"/><Relationship Id="rId169" Type="http://schemas.openxmlformats.org/officeDocument/2006/relationships/hyperlink" Target="comprovantes/Transporte/Compartilhar%20comprovante(151).png" TargetMode="External"/><Relationship Id="rId334" Type="http://schemas.openxmlformats.org/officeDocument/2006/relationships/hyperlink" Target="comprovantes/Educa&#231;&#227;o/Compartilhar%20comprovante(1).png" TargetMode="External"/><Relationship Id="rId355" Type="http://schemas.openxmlformats.org/officeDocument/2006/relationships/hyperlink" Target="comprovantes/Moradia/Boleto_internet-abril.pdf" TargetMode="External"/><Relationship Id="rId376" Type="http://schemas.openxmlformats.org/officeDocument/2006/relationships/hyperlink" Target="comprovantes/Lazer%20e%20conviv&#234;ncia/GCompartilhar%20comprovante(222).png" TargetMode="External"/><Relationship Id="rId397" Type="http://schemas.openxmlformats.org/officeDocument/2006/relationships/hyperlink" Target="comprovantes/Lazer%20e%20conviv&#234;ncia/Compartilhar%20comprovante(40).png" TargetMode="External"/><Relationship Id="rId520" Type="http://schemas.openxmlformats.org/officeDocument/2006/relationships/hyperlink" Target="comprovantes/Alimenta&#231;&#227;o/GCompartilhar%20comprovante(182).png" TargetMode="External"/><Relationship Id="rId541" Type="http://schemas.openxmlformats.org/officeDocument/2006/relationships/hyperlink" Target="comprovantes/Alimenta&#231;&#227;o/GCompartilhar%20comprovante(150).png" TargetMode="External"/><Relationship Id="rId562" Type="http://schemas.openxmlformats.org/officeDocument/2006/relationships/hyperlink" Target="comprovantes/Alimenta&#231;&#227;o/Compartilhar%20comprovante(60).png" TargetMode="External"/><Relationship Id="rId583" Type="http://schemas.openxmlformats.org/officeDocument/2006/relationships/hyperlink" Target="comprovantes/Alimenta&#231;&#227;o/GCompartilhar%20comprovante(107).png" TargetMode="External"/><Relationship Id="rId618" Type="http://schemas.openxmlformats.org/officeDocument/2006/relationships/hyperlink" Target="comprovantes/Alimenta&#231;&#227;o/Compartilhar%20comprovante(2).png" TargetMode="External"/><Relationship Id="rId639" Type="http://schemas.openxmlformats.org/officeDocument/2006/relationships/hyperlink" Target="comprovantes/Alimenta&#231;&#227;o/Compartilhar%20comprovante(14).png" TargetMode="External"/><Relationship Id="rId4" Type="http://schemas.openxmlformats.org/officeDocument/2006/relationships/hyperlink" Target="comprovantes/Sa&#250;de/GCompartilhar%20comprovante(251).png" TargetMode="External"/><Relationship Id="rId180" Type="http://schemas.openxmlformats.org/officeDocument/2006/relationships/hyperlink" Target="comprovantes/Transporte/Compartilhar%20comprovante(187).png" TargetMode="External"/><Relationship Id="rId215" Type="http://schemas.openxmlformats.org/officeDocument/2006/relationships/hyperlink" Target="comprovantes/Transporte/Compartilhar%20comprovante(169).png" TargetMode="External"/><Relationship Id="rId236" Type="http://schemas.openxmlformats.org/officeDocument/2006/relationships/hyperlink" Target="comprovantes/Transporte/Compartilhar%20comprovante(19).png" TargetMode="External"/><Relationship Id="rId257" Type="http://schemas.openxmlformats.org/officeDocument/2006/relationships/hyperlink" Target="comprovantes/Transporte/GCompartilhar%20comprovante(50).png" TargetMode="External"/><Relationship Id="rId278" Type="http://schemas.openxmlformats.org/officeDocument/2006/relationships/hyperlink" Target="comprovantes/Transporte/Compartilhar%20comprovante(61).png" TargetMode="External"/><Relationship Id="rId401" Type="http://schemas.openxmlformats.org/officeDocument/2006/relationships/hyperlink" Target="comprovantes/Lazer%20e%20conviv&#234;ncia/Compartilhar%20comprovante(25).png" TargetMode="External"/><Relationship Id="rId422" Type="http://schemas.openxmlformats.org/officeDocument/2006/relationships/hyperlink" Target="comprovantes/Lazer%20e%20conviv&#234;ncia/GCompartilhar%20comprovante(67).png" TargetMode="External"/><Relationship Id="rId443" Type="http://schemas.openxmlformats.org/officeDocument/2006/relationships/hyperlink" Target="comprovantes/Lazer%20e%20conviv&#234;ncia/Compartilhar%20comprovante(1).png" TargetMode="External"/><Relationship Id="rId464" Type="http://schemas.openxmlformats.org/officeDocument/2006/relationships/hyperlink" Target="comprovantes/Alimenta&#231;&#227;o/GCompartilhar%20comprovante(221).png" TargetMode="External"/><Relationship Id="rId650" Type="http://schemas.openxmlformats.org/officeDocument/2006/relationships/hyperlink" Target="comprovantes/Alimenta&#231;&#227;o/GCompartilhar%20comprovante(20).png" TargetMode="External"/><Relationship Id="rId303" Type="http://schemas.openxmlformats.org/officeDocument/2006/relationships/hyperlink" Target="comprovantes/Comunica&#231;&#227;o%20e%20tecnologia/Fatura%20de%20julho.pdf" TargetMode="External"/><Relationship Id="rId485" Type="http://schemas.openxmlformats.org/officeDocument/2006/relationships/hyperlink" Target="comprovantes/Alimenta&#231;&#227;o/GCompartilhar%20comprovante(205).png" TargetMode="External"/><Relationship Id="rId692" Type="http://schemas.openxmlformats.org/officeDocument/2006/relationships/hyperlink" Target="comprovantes/Mesada/GCompartilhar%20comprovante(120).png" TargetMode="External"/><Relationship Id="rId706" Type="http://schemas.openxmlformats.org/officeDocument/2006/relationships/hyperlink" Target="comprovantes/Mesada/GCompartilhar%20comprovante(28).png" TargetMode="External"/><Relationship Id="rId42" Type="http://schemas.openxmlformats.org/officeDocument/2006/relationships/hyperlink" Target="comprovantes/Sa&#250;de/psic&#243;logo-mar&#231;o-comprovante.png" TargetMode="External"/><Relationship Id="rId84" Type="http://schemas.openxmlformats.org/officeDocument/2006/relationships/hyperlink" Target="comprovantes/Transporte/Compartilhar%20comprovante(94).png" TargetMode="External"/><Relationship Id="rId138" Type="http://schemas.openxmlformats.org/officeDocument/2006/relationships/hyperlink" Target="comprovantes/Transporte/Compartilhar%20comprovante(133).png" TargetMode="External"/><Relationship Id="rId345" Type="http://schemas.openxmlformats.org/officeDocument/2006/relationships/hyperlink" Target="comprovantes/Moradia/condom-jul.pdf" TargetMode="External"/><Relationship Id="rId387" Type="http://schemas.openxmlformats.org/officeDocument/2006/relationships/hyperlink" Target="comprovantes/Lazer%20e%20conviv&#234;ncia/Compartilhar%20comprovante(47).png" TargetMode="External"/><Relationship Id="rId510" Type="http://schemas.openxmlformats.org/officeDocument/2006/relationships/hyperlink" Target="comprovantes/Alimenta&#231;&#227;o/Comprovante_20260826T194809321914.png" TargetMode="External"/><Relationship Id="rId552" Type="http://schemas.openxmlformats.org/officeDocument/2006/relationships/hyperlink" Target="comprovantes/Alimenta&#231;&#227;o/Compartilhar%20comprovante(67).png" TargetMode="External"/><Relationship Id="rId594" Type="http://schemas.openxmlformats.org/officeDocument/2006/relationships/hyperlink" Target="comprovantes/Alimenta&#231;&#227;o/Compartilhar%20comprovante(39).png" TargetMode="External"/><Relationship Id="rId608" Type="http://schemas.openxmlformats.org/officeDocument/2006/relationships/hyperlink" Target="comprovantes/Alimenta&#231;&#227;o/GCompartilhar%20comprovante(80).png" TargetMode="External"/><Relationship Id="rId191" Type="http://schemas.openxmlformats.org/officeDocument/2006/relationships/hyperlink" Target="comprovantes/Transporte/Compartilhar%20comprovante(161).png" TargetMode="External"/><Relationship Id="rId205" Type="http://schemas.openxmlformats.org/officeDocument/2006/relationships/hyperlink" Target="comprovantes/Transporte/Compartilhar%20comprovante(179).png" TargetMode="External"/><Relationship Id="rId247" Type="http://schemas.openxmlformats.org/officeDocument/2006/relationships/hyperlink" Target="comprovantes/Transporte/Compartilhar%20comprovante(34).png" TargetMode="External"/><Relationship Id="rId412" Type="http://schemas.openxmlformats.org/officeDocument/2006/relationships/hyperlink" Target="comprovantes/Lazer%20e%20conviv&#234;ncia/Compartilhar%20comprovante(34).png" TargetMode="External"/><Relationship Id="rId107" Type="http://schemas.openxmlformats.org/officeDocument/2006/relationships/hyperlink" Target="comprovantes/Transporte/Compartilhar%20comprovante(222).png" TargetMode="External"/><Relationship Id="rId289" Type="http://schemas.openxmlformats.org/officeDocument/2006/relationships/hyperlink" Target="comprovantes/Transporte/Compartilhar%20comprovante(71).png" TargetMode="External"/><Relationship Id="rId454" Type="http://schemas.openxmlformats.org/officeDocument/2006/relationships/hyperlink" Target="comprovantes/Alimenta&#231;&#227;o/GCompartilhar%20comprovante(256).png" TargetMode="External"/><Relationship Id="rId496" Type="http://schemas.openxmlformats.org/officeDocument/2006/relationships/hyperlink" Target="comprovantes/Alimenta&#231;&#227;o/Comprovante_20260826T195641242081.png" TargetMode="External"/><Relationship Id="rId661" Type="http://schemas.openxmlformats.org/officeDocument/2006/relationships/hyperlink" Target="comprovantes/Alimenta&#231;&#227;o/Compartilhar%20comprovante(13).png" TargetMode="External"/><Relationship Id="rId11" Type="http://schemas.openxmlformats.org/officeDocument/2006/relationships/hyperlink" Target="comprovantes/Sa&#250;de/GCompartilhar%20comprovante(212).png" TargetMode="External"/><Relationship Id="rId53" Type="http://schemas.openxmlformats.org/officeDocument/2006/relationships/hyperlink" Target="comprovantes/Sa&#250;de/Compartilhar%20comprovante(4).png" TargetMode="External"/><Relationship Id="rId149" Type="http://schemas.openxmlformats.org/officeDocument/2006/relationships/hyperlink" Target="comprovantes/Transporte/GCompartilhar%20comprovante(128).png" TargetMode="External"/><Relationship Id="rId314" Type="http://schemas.openxmlformats.org/officeDocument/2006/relationships/hyperlink" Target="comprovantes/Educa&#231;&#227;o/violino-agosto-comprovante.png" TargetMode="External"/><Relationship Id="rId356" Type="http://schemas.openxmlformats.org/officeDocument/2006/relationships/hyperlink" Target="comprovantes/Moradia/energia-eletrica-abril.pdf" TargetMode="External"/><Relationship Id="rId398" Type="http://schemas.openxmlformats.org/officeDocument/2006/relationships/hyperlink" Target="comprovantes/Lazer%20e%20conviv&#234;ncia/Compartilhar%20comprovante(24).png" TargetMode="External"/><Relationship Id="rId521" Type="http://schemas.openxmlformats.org/officeDocument/2006/relationships/hyperlink" Target="comprovantes/Alimenta&#231;&#227;o/GCompartilhar%20comprovante(181).png" TargetMode="External"/><Relationship Id="rId563" Type="http://schemas.openxmlformats.org/officeDocument/2006/relationships/hyperlink" Target="comprovantes/Alimenta&#231;&#227;o/Compartilhar%20comprovante(59).png" TargetMode="External"/><Relationship Id="rId619" Type="http://schemas.openxmlformats.org/officeDocument/2006/relationships/hyperlink" Target="comprovantes/Alimenta&#231;&#227;o/Compartilhar%20comprovante(4).png" TargetMode="External"/><Relationship Id="rId95" Type="http://schemas.openxmlformats.org/officeDocument/2006/relationships/hyperlink" Target="comprovantes/Transporte/Compartilhar%20comprovante(211).png" TargetMode="External"/><Relationship Id="rId160" Type="http://schemas.openxmlformats.org/officeDocument/2006/relationships/hyperlink" Target="comprovantes/Transporte/Compartilhar%20comprovante(144).png" TargetMode="External"/><Relationship Id="rId216" Type="http://schemas.openxmlformats.org/officeDocument/2006/relationships/hyperlink" Target="comprovantes/Transporte/Compartilhar%20comprovante(168).png" TargetMode="External"/><Relationship Id="rId423" Type="http://schemas.openxmlformats.org/officeDocument/2006/relationships/hyperlink" Target="comprovantes/Lazer%20e%20conviv&#234;ncia/GCompartilhar%20comprovante(63).png" TargetMode="External"/><Relationship Id="rId258" Type="http://schemas.openxmlformats.org/officeDocument/2006/relationships/hyperlink" Target="comprovantes/Transporte/Compartilhar%20comprovante(42).png" TargetMode="External"/><Relationship Id="rId465" Type="http://schemas.openxmlformats.org/officeDocument/2006/relationships/hyperlink" Target="comprovantes/Alimenta&#231;&#227;o/GCompartilhar%20comprovante(220).png" TargetMode="External"/><Relationship Id="rId630" Type="http://schemas.openxmlformats.org/officeDocument/2006/relationships/hyperlink" Target="comprovantes/Alimenta&#231;&#227;o/Compartilhar%20comprovante(10).png" TargetMode="External"/><Relationship Id="rId672" Type="http://schemas.openxmlformats.org/officeDocument/2006/relationships/hyperlink" Target="comprovantes/Sa&#250;de/Compartilhar%20comprovante(5).png" TargetMode="External"/><Relationship Id="rId22" Type="http://schemas.openxmlformats.org/officeDocument/2006/relationships/hyperlink" Target="comprovantes/Sa&#250;de/Compartilhar%20comprovante(34).png" TargetMode="External"/><Relationship Id="rId64" Type="http://schemas.openxmlformats.org/officeDocument/2006/relationships/hyperlink" Target="comprovantes/Vestu&#225;rio%20e%20higiene/Compartilhar%20comprovante(6).png" TargetMode="External"/><Relationship Id="rId118" Type="http://schemas.openxmlformats.org/officeDocument/2006/relationships/hyperlink" Target="comprovantes/Transporte/GCompartilhar%20comprovante(193).png" TargetMode="External"/><Relationship Id="rId325" Type="http://schemas.openxmlformats.org/officeDocument/2006/relationships/hyperlink" Target="comprovantes/Educa&#231;&#227;o/violino-abril-comprovante.png" TargetMode="External"/><Relationship Id="rId367" Type="http://schemas.openxmlformats.org/officeDocument/2006/relationships/hyperlink" Target="comprovantes/Moradia/energia%20el&#233;trica%20janeiro_.png" TargetMode="External"/><Relationship Id="rId532" Type="http://schemas.openxmlformats.org/officeDocument/2006/relationships/hyperlink" Target="comprovantes/Alimenta&#231;&#227;o/GCompartilhar%20comprovante(161).png" TargetMode="External"/><Relationship Id="rId574" Type="http://schemas.openxmlformats.org/officeDocument/2006/relationships/hyperlink" Target="comprovantes/Alimenta&#231;&#227;o/Compartilhar%20comprovante(51).png" TargetMode="External"/><Relationship Id="rId171" Type="http://schemas.openxmlformats.org/officeDocument/2006/relationships/hyperlink" Target="comprovantes/Transporte/Compartilhar%20comprovante(153).png" TargetMode="External"/><Relationship Id="rId227" Type="http://schemas.openxmlformats.org/officeDocument/2006/relationships/hyperlink" Target="comprovantes/Transporte/Compartilhar%20comprovante(5).png" TargetMode="External"/><Relationship Id="rId269" Type="http://schemas.openxmlformats.org/officeDocument/2006/relationships/hyperlink" Target="comprovantes/Transporte/Compartilhar%20comprovante(50).png" TargetMode="External"/><Relationship Id="rId434" Type="http://schemas.openxmlformats.org/officeDocument/2006/relationships/hyperlink" Target="comprovantes/Lazer%20e%20conviv&#234;ncia/GCompartilhar%20comprovante(23).png" TargetMode="External"/><Relationship Id="rId476" Type="http://schemas.openxmlformats.org/officeDocument/2006/relationships/hyperlink" Target="comprovantes/Alimenta&#231;&#227;o/GCompartilhar%20comprovante(214).png" TargetMode="External"/><Relationship Id="rId641" Type="http://schemas.openxmlformats.org/officeDocument/2006/relationships/hyperlink" Target="comprovantes/Alimenta&#231;&#227;o/GCompartilhar%20comprovante(8).png" TargetMode="External"/><Relationship Id="rId683" Type="http://schemas.openxmlformats.org/officeDocument/2006/relationships/hyperlink" Target="comprovantes/Mesada/GCompartilhar%20comprovante(187).png" TargetMode="External"/><Relationship Id="rId33" Type="http://schemas.openxmlformats.org/officeDocument/2006/relationships/hyperlink" Target="comprovantes/Sa&#250;de/Compartilhar%20comprovante(16).png" TargetMode="External"/><Relationship Id="rId129" Type="http://schemas.openxmlformats.org/officeDocument/2006/relationships/hyperlink" Target="comprovantes/Transporte/Compartilhar%20comprovante(125).png" TargetMode="External"/><Relationship Id="rId280" Type="http://schemas.openxmlformats.org/officeDocument/2006/relationships/hyperlink" Target="comprovantes/Transporte/Compartilhar%20comprovante(62).png" TargetMode="External"/><Relationship Id="rId336" Type="http://schemas.openxmlformats.org/officeDocument/2006/relationships/hyperlink" Target="comprovantes/Educa&#231;&#227;o/NF-Violino.jpg" TargetMode="External"/><Relationship Id="rId501" Type="http://schemas.openxmlformats.org/officeDocument/2006/relationships/hyperlink" Target="comprovantes/Alimenta&#231;&#227;o/Comprovante_20260826T195145380654.png" TargetMode="External"/><Relationship Id="rId543" Type="http://schemas.openxmlformats.org/officeDocument/2006/relationships/hyperlink" Target="comprovantes/Alimenta&#231;&#227;o/Comprovante_20260826T193917166552.png" TargetMode="External"/><Relationship Id="rId75" Type="http://schemas.openxmlformats.org/officeDocument/2006/relationships/hyperlink" Target="comprovantes/Transporte/Compartilhar%20comprovante(85).png" TargetMode="External"/><Relationship Id="rId140" Type="http://schemas.openxmlformats.org/officeDocument/2006/relationships/hyperlink" Target="comprovantes/Transporte/Compartilhar%20comprovante(136).png" TargetMode="External"/><Relationship Id="rId182" Type="http://schemas.openxmlformats.org/officeDocument/2006/relationships/hyperlink" Target="comprovantes/Transporte/Compartilhar%20comprovante(154).png" TargetMode="External"/><Relationship Id="rId378" Type="http://schemas.openxmlformats.org/officeDocument/2006/relationships/hyperlink" Target="comprovantes/Lazer%20e%20conviv&#234;ncia/GCompartilhar%20comprovante(210).png" TargetMode="External"/><Relationship Id="rId403" Type="http://schemas.openxmlformats.org/officeDocument/2006/relationships/hyperlink" Target="comprovantes/Lazer%20e%20conviv&#234;ncia/Compartilhar%20comprovante(39).png" TargetMode="External"/><Relationship Id="rId585" Type="http://schemas.openxmlformats.org/officeDocument/2006/relationships/hyperlink" Target="comprovantes/Alimenta&#231;&#227;o/Compartilhar%20comprovante(43).png" TargetMode="External"/><Relationship Id="rId6" Type="http://schemas.openxmlformats.org/officeDocument/2006/relationships/hyperlink" Target="comprovantes/Sa&#250;de/dentista-06-08-2026.pdf" TargetMode="External"/><Relationship Id="rId238" Type="http://schemas.openxmlformats.org/officeDocument/2006/relationships/hyperlink" Target="comprovantes/Transporte/Compartilhar%20comprovante(17).png" TargetMode="External"/><Relationship Id="rId445" Type="http://schemas.openxmlformats.org/officeDocument/2006/relationships/hyperlink" Target="comprovantes/Alimenta&#231;&#227;o/GCompartilhar%20comprovante(271).png" TargetMode="External"/><Relationship Id="rId487" Type="http://schemas.openxmlformats.org/officeDocument/2006/relationships/hyperlink" Target="comprovantes/Alimenta&#231;&#227;o/GCompartilhar%20comprovante(203).png" TargetMode="External"/><Relationship Id="rId610" Type="http://schemas.openxmlformats.org/officeDocument/2006/relationships/hyperlink" Target="comprovantes/Alimenta&#231;&#227;o/GCompartilhar%20comprovante(78).png" TargetMode="External"/><Relationship Id="rId652" Type="http://schemas.openxmlformats.org/officeDocument/2006/relationships/hyperlink" Target="comprovantes/Alimenta&#231;&#227;o/Compartilhar%20comprovante(18).png" TargetMode="External"/><Relationship Id="rId694" Type="http://schemas.openxmlformats.org/officeDocument/2006/relationships/hyperlink" Target="comprovantes/Mesada/GCompartilhar%20comprovante(104).png" TargetMode="External"/><Relationship Id="rId708" Type="http://schemas.openxmlformats.org/officeDocument/2006/relationships/hyperlink" Target="comprovantes/Mesada/GCompartilhar%20comprovante(30).png" TargetMode="External"/><Relationship Id="rId291" Type="http://schemas.openxmlformats.org/officeDocument/2006/relationships/hyperlink" Target="comprovantes/Transporte/Compartilhar%20comprovante(69).png" TargetMode="External"/><Relationship Id="rId305" Type="http://schemas.openxmlformats.org/officeDocument/2006/relationships/hyperlink" Target="comprovantes/Comunica&#231;&#227;o%20e%20tecnologia/GCompartilhar%20comprovante(165).png" TargetMode="External"/><Relationship Id="rId347" Type="http://schemas.openxmlformats.org/officeDocument/2006/relationships/hyperlink" Target="comprovantes/Moradia/g&#225;s-jul.png" TargetMode="External"/><Relationship Id="rId512" Type="http://schemas.openxmlformats.org/officeDocument/2006/relationships/hyperlink" Target="comprovantes/Alimenta&#231;&#227;o/GCompartilhar%20comprovante(192).png" TargetMode="External"/><Relationship Id="rId44" Type="http://schemas.openxmlformats.org/officeDocument/2006/relationships/hyperlink" Target="comprovantes/Sa&#250;de/Compartilhar%20comprovante(7).png" TargetMode="External"/><Relationship Id="rId86" Type="http://schemas.openxmlformats.org/officeDocument/2006/relationships/hyperlink" Target="comprovantes/Transporte/Compartilhar%20comprovante(92).png" TargetMode="External"/><Relationship Id="rId151" Type="http://schemas.openxmlformats.org/officeDocument/2006/relationships/hyperlink" Target="comprovantes/Transporte/Compartilhar%20comprovante(194).png" TargetMode="External"/><Relationship Id="rId389" Type="http://schemas.openxmlformats.org/officeDocument/2006/relationships/hyperlink" Target="comprovantes/Lazer%20e%20conviv&#234;ncia/Compartilhar%20comprovante(48).png" TargetMode="External"/><Relationship Id="rId554" Type="http://schemas.openxmlformats.org/officeDocument/2006/relationships/hyperlink" Target="comprovantes/Alimenta&#231;&#227;o/Compartilhar%20comprovante(66).png" TargetMode="External"/><Relationship Id="rId596" Type="http://schemas.openxmlformats.org/officeDocument/2006/relationships/hyperlink" Target="comprovantes/Alimenta&#231;&#227;o/Compartilhar%20comprovante(37).png" TargetMode="External"/><Relationship Id="rId193" Type="http://schemas.openxmlformats.org/officeDocument/2006/relationships/hyperlink" Target="comprovantes/Transporte/Compartilhar%20comprovante(159).png" TargetMode="External"/><Relationship Id="rId207" Type="http://schemas.openxmlformats.org/officeDocument/2006/relationships/hyperlink" Target="comprovantes/Transporte/Compartilhar%20comprovante(177).png" TargetMode="External"/><Relationship Id="rId249" Type="http://schemas.openxmlformats.org/officeDocument/2006/relationships/hyperlink" Target="comprovantes/Transporte/Compartilhar%20comprovante(32).png" TargetMode="External"/><Relationship Id="rId414" Type="http://schemas.openxmlformats.org/officeDocument/2006/relationships/hyperlink" Target="comprovantes/Lazer%20e%20conviv&#234;ncia/Compartilhar%20comprovante(33).png" TargetMode="External"/><Relationship Id="rId456" Type="http://schemas.openxmlformats.org/officeDocument/2006/relationships/hyperlink" Target="comprovantes/Alimenta&#231;&#227;o/GCompartilhar%20comprovante(253).png" TargetMode="External"/><Relationship Id="rId498" Type="http://schemas.openxmlformats.org/officeDocument/2006/relationships/hyperlink" Target="comprovantes/Alimenta&#231;&#227;o/Comprovante_20260826T195513714083.png" TargetMode="External"/><Relationship Id="rId621" Type="http://schemas.openxmlformats.org/officeDocument/2006/relationships/hyperlink" Target="comprovantes/Alimenta&#231;&#227;o/Compartilhar%20comprovante(5).png" TargetMode="External"/><Relationship Id="rId663" Type="http://schemas.openxmlformats.org/officeDocument/2006/relationships/hyperlink" Target="comprovantes/Moradia/condom-janeiro.pdf" TargetMode="External"/><Relationship Id="rId13" Type="http://schemas.openxmlformats.org/officeDocument/2006/relationships/hyperlink" Target="comprovantes/Sa&#250;de/Compartilhar%20comprovante(31).png" TargetMode="External"/><Relationship Id="rId109" Type="http://schemas.openxmlformats.org/officeDocument/2006/relationships/hyperlink" Target="comprovantes/Transporte/Compartilhar%20comprovante(225).png" TargetMode="External"/><Relationship Id="rId260" Type="http://schemas.openxmlformats.org/officeDocument/2006/relationships/hyperlink" Target="comprovantes/Transporte/Compartilhar%20comprovante(40).png" TargetMode="External"/><Relationship Id="rId316" Type="http://schemas.openxmlformats.org/officeDocument/2006/relationships/hyperlink" Target="comprovantes/Educa&#231;&#227;o/violino-julho-%20comprovante.png" TargetMode="External"/><Relationship Id="rId523" Type="http://schemas.openxmlformats.org/officeDocument/2006/relationships/hyperlink" Target="comprovantes/Alimenta&#231;&#227;o/Compartilhar%20comprovante(32).png" TargetMode="External"/><Relationship Id="rId55" Type="http://schemas.openxmlformats.org/officeDocument/2006/relationships/hyperlink" Target="comprovantes/Vestu&#225;rio%20e%20higiene/GCompartilhar%20comprovante(219).png" TargetMode="External"/><Relationship Id="rId97" Type="http://schemas.openxmlformats.org/officeDocument/2006/relationships/hyperlink" Target="comprovantes/Transporte/Compartilhar%20comprovante(214).png" TargetMode="External"/><Relationship Id="rId120" Type="http://schemas.openxmlformats.org/officeDocument/2006/relationships/hyperlink" Target="comprovantes/Transporte/Compartilhar%20comprovante(235).png" TargetMode="External"/><Relationship Id="rId358" Type="http://schemas.openxmlformats.org/officeDocument/2006/relationships/hyperlink" Target="comprovantes/Moradia/g&#225;s-mai.png" TargetMode="External"/><Relationship Id="rId565" Type="http://schemas.openxmlformats.org/officeDocument/2006/relationships/hyperlink" Target="comprovantes/Alimenta&#231;&#227;o/GCompartilhar%20comprovante(124).png" TargetMode="External"/><Relationship Id="rId162" Type="http://schemas.openxmlformats.org/officeDocument/2006/relationships/hyperlink" Target="comprovantes/Transporte/Compartilhar%20comprovante(142).png" TargetMode="External"/><Relationship Id="rId218" Type="http://schemas.openxmlformats.org/officeDocument/2006/relationships/hyperlink" Target="comprovantes/Transporte/Compartilhar%20comprovante.png" TargetMode="External"/><Relationship Id="rId425" Type="http://schemas.openxmlformats.org/officeDocument/2006/relationships/hyperlink" Target="comprovantes/Lazer%20e%20conviv&#234;ncia/Compartilhar%20comprovante.png" TargetMode="External"/><Relationship Id="rId467" Type="http://schemas.openxmlformats.org/officeDocument/2006/relationships/hyperlink" Target="comprovantes/Alimenta&#231;&#227;o/Comprovante_20260826T201132377486.png" TargetMode="External"/><Relationship Id="rId632" Type="http://schemas.openxmlformats.org/officeDocument/2006/relationships/hyperlink" Target="comprovantes/Alimenta&#231;&#227;o/GCompartilhar%20comprovante(46).png" TargetMode="External"/><Relationship Id="rId271" Type="http://schemas.openxmlformats.org/officeDocument/2006/relationships/hyperlink" Target="comprovantes/Transporte/Compartilhar%20comprovante(52).png" TargetMode="External"/><Relationship Id="rId674" Type="http://schemas.openxmlformats.org/officeDocument/2006/relationships/hyperlink" Target="comprovantes/Mesada/GCompartilhar%20comprovante(236).png" TargetMode="External"/><Relationship Id="rId24" Type="http://schemas.openxmlformats.org/officeDocument/2006/relationships/hyperlink" Target="comprovantes/Sa&#250;de/Compartilhar%20comprovante(28).png" TargetMode="External"/><Relationship Id="rId66" Type="http://schemas.openxmlformats.org/officeDocument/2006/relationships/hyperlink" Target="comprovantes/Vestu&#225;rio%20e%20higiene/GCompartilhar%20comprovante(6-2).png" TargetMode="External"/><Relationship Id="rId131" Type="http://schemas.openxmlformats.org/officeDocument/2006/relationships/hyperlink" Target="comprovantes/Transporte/Compartilhar%20comprovante(126).png" TargetMode="External"/><Relationship Id="rId327" Type="http://schemas.openxmlformats.org/officeDocument/2006/relationships/hyperlink" Target="comprovantes/Educa&#231;&#227;o/violino-mar&#231;o-comprovante.png" TargetMode="External"/><Relationship Id="rId369" Type="http://schemas.openxmlformats.org/officeDocument/2006/relationships/hyperlink" Target="comprovantes/Moradia/boleto%20internet%20janeiro-comprovante.png" TargetMode="External"/><Relationship Id="rId534" Type="http://schemas.openxmlformats.org/officeDocument/2006/relationships/hyperlink" Target="comprovantes/Alimenta&#231;&#227;o/GCompartilhar%20comprovante(156).png" TargetMode="External"/><Relationship Id="rId576" Type="http://schemas.openxmlformats.org/officeDocument/2006/relationships/hyperlink" Target="comprovantes/Alimenta&#231;&#227;o/Compartilhar%20comprovante(49).png" TargetMode="External"/><Relationship Id="rId173" Type="http://schemas.openxmlformats.org/officeDocument/2006/relationships/hyperlink" Target="comprovantes/Transporte/Compartilhar%20comprovante(191).png" TargetMode="External"/><Relationship Id="rId229" Type="http://schemas.openxmlformats.org/officeDocument/2006/relationships/hyperlink" Target="comprovantes/Transporte/Compartilhar%20comprovante(15).png" TargetMode="External"/><Relationship Id="rId380" Type="http://schemas.openxmlformats.org/officeDocument/2006/relationships/hyperlink" Target="comprovantes/Lazer%20e%20conviv&#234;ncia/Compartilhar%20comprovante(45).png" TargetMode="External"/><Relationship Id="rId436" Type="http://schemas.openxmlformats.org/officeDocument/2006/relationships/hyperlink" Target="comprovantes/Lazer%20e%20conviv&#234;ncia/Compartilhar%20comprovante(9).png" TargetMode="External"/><Relationship Id="rId601" Type="http://schemas.openxmlformats.org/officeDocument/2006/relationships/hyperlink" Target="comprovantes/Alimenta&#231;&#227;o/GCompartilhar%20comprovante(90).png" TargetMode="External"/><Relationship Id="rId643" Type="http://schemas.openxmlformats.org/officeDocument/2006/relationships/hyperlink" Target="comprovantes/Alimenta&#231;&#227;o/GCompartilhar%20comprovante(12).png" TargetMode="External"/><Relationship Id="rId240" Type="http://schemas.openxmlformats.org/officeDocument/2006/relationships/hyperlink" Target="comprovantes/Transporte/Compartilhar%20comprovante(24).png" TargetMode="External"/><Relationship Id="rId478" Type="http://schemas.openxmlformats.org/officeDocument/2006/relationships/hyperlink" Target="comprovantes/Alimenta&#231;&#227;o/Compartilhar%20comprovante(29).png" TargetMode="External"/><Relationship Id="rId685" Type="http://schemas.openxmlformats.org/officeDocument/2006/relationships/hyperlink" Target="comprovantes/Mesada/GCompartilhar%20comprovante(174).png" TargetMode="External"/><Relationship Id="rId35" Type="http://schemas.openxmlformats.org/officeDocument/2006/relationships/hyperlink" Target="comprovantes/Sa&#250;de/Compartilhar%20comprovante(14).png" TargetMode="External"/><Relationship Id="rId77" Type="http://schemas.openxmlformats.org/officeDocument/2006/relationships/hyperlink" Target="comprovantes/Transporte/GCompartilhar%20comprovante(223).png" TargetMode="External"/><Relationship Id="rId100" Type="http://schemas.openxmlformats.org/officeDocument/2006/relationships/hyperlink" Target="comprovantes/Transporte/Compartilhar%20comprovante(218).png" TargetMode="External"/><Relationship Id="rId282" Type="http://schemas.openxmlformats.org/officeDocument/2006/relationships/hyperlink" Target="comprovantes/Transporte/Compartilhar%20comprovante(66).png" TargetMode="External"/><Relationship Id="rId338" Type="http://schemas.openxmlformats.org/officeDocument/2006/relationships/hyperlink" Target="comprovantes/Educa&#231;&#227;o/Compartilhar%20comprovante(4).png" TargetMode="External"/><Relationship Id="rId503" Type="http://schemas.openxmlformats.org/officeDocument/2006/relationships/hyperlink" Target="comprovantes/Alimenta&#231;&#227;o/Comprovante_20260826T195110725864.png" TargetMode="External"/><Relationship Id="rId545" Type="http://schemas.openxmlformats.org/officeDocument/2006/relationships/hyperlink" Target="comprovantes/Alimenta&#231;&#227;o/GCompartilhar%20comprovante(149).png" TargetMode="External"/><Relationship Id="rId587" Type="http://schemas.openxmlformats.org/officeDocument/2006/relationships/hyperlink" Target="comprovantes/Alimenta&#231;&#227;o/Compartilhar%20comprovante(30).png" TargetMode="External"/><Relationship Id="rId710" Type="http://schemas.openxmlformats.org/officeDocument/2006/relationships/drawing" Target="../drawings/drawing1.xml"/><Relationship Id="rId8" Type="http://schemas.openxmlformats.org/officeDocument/2006/relationships/hyperlink" Target="comprovantes/Sa&#250;de/Compartilhar%20comprovante(35).png" TargetMode="External"/><Relationship Id="rId142" Type="http://schemas.openxmlformats.org/officeDocument/2006/relationships/hyperlink" Target="comprovantes/Transporte/Compartilhar%20comprovante(134).png" TargetMode="External"/><Relationship Id="rId184" Type="http://schemas.openxmlformats.org/officeDocument/2006/relationships/hyperlink" Target="comprovantes/Transporte/Compartilhar%20comprovante(185).png" TargetMode="External"/><Relationship Id="rId391" Type="http://schemas.openxmlformats.org/officeDocument/2006/relationships/hyperlink" Target="comprovantes/Lazer%20e%20conviv&#234;ncia/Compartilhar%20comprovante(20).png" TargetMode="External"/><Relationship Id="rId405" Type="http://schemas.openxmlformats.org/officeDocument/2006/relationships/hyperlink" Target="comprovantes/Lazer%20e%20conviv&#234;ncia/Compartilhar%20comprovante(26).png" TargetMode="External"/><Relationship Id="rId447" Type="http://schemas.openxmlformats.org/officeDocument/2006/relationships/hyperlink" Target="comprovantes/Alimenta&#231;&#227;o/GCompartilhar%20comprovante(269).png" TargetMode="External"/><Relationship Id="rId612" Type="http://schemas.openxmlformats.org/officeDocument/2006/relationships/hyperlink" Target="comprovantes/Alimenta&#231;&#227;o/GCompartilhar%20comprovante(74).png" TargetMode="External"/><Relationship Id="rId251" Type="http://schemas.openxmlformats.org/officeDocument/2006/relationships/hyperlink" Target="comprovantes/Transporte/Compartilhar%20comprovante(30).png" TargetMode="External"/><Relationship Id="rId489" Type="http://schemas.openxmlformats.org/officeDocument/2006/relationships/hyperlink" Target="comprovantes/Alimenta&#231;&#227;o/Comprovante_20260826T195939820470.png" TargetMode="External"/><Relationship Id="rId654" Type="http://schemas.openxmlformats.org/officeDocument/2006/relationships/hyperlink" Target="comprovantes/Alimenta&#231;&#227;o/Compartilhar%20comprovante(19).png" TargetMode="External"/><Relationship Id="rId696" Type="http://schemas.openxmlformats.org/officeDocument/2006/relationships/hyperlink" Target="comprovantes/Mesada/GCompartilhar%20comprovante(92).png" TargetMode="External"/><Relationship Id="rId46" Type="http://schemas.openxmlformats.org/officeDocument/2006/relationships/hyperlink" Target="comprovantes/Sa&#250;de/GCompartilhar%20comprovante(86).png" TargetMode="External"/><Relationship Id="rId293" Type="http://schemas.openxmlformats.org/officeDocument/2006/relationships/hyperlink" Target="comprovantes/Transporte/Compartilhar%20comprovante(76).png" TargetMode="External"/><Relationship Id="rId307" Type="http://schemas.openxmlformats.org/officeDocument/2006/relationships/hyperlink" Target="comprovantes/Comunica&#231;&#227;o%20e%20tecnologia/Fatura%20de%20abril.pdf" TargetMode="External"/><Relationship Id="rId349" Type="http://schemas.openxmlformats.org/officeDocument/2006/relationships/hyperlink" Target="comprovantes/Moradia/energia-el&#233;trica-maio.pdf" TargetMode="External"/><Relationship Id="rId514" Type="http://schemas.openxmlformats.org/officeDocument/2006/relationships/hyperlink" Target="comprovantes/Alimenta&#231;&#227;o/GCompartilhar%20comprovante(190).png" TargetMode="External"/><Relationship Id="rId556" Type="http://schemas.openxmlformats.org/officeDocument/2006/relationships/hyperlink" Target="comprovantes/Alimenta&#231;&#227;o/Compartilhar%20comprovante(65).png" TargetMode="External"/><Relationship Id="rId88" Type="http://schemas.openxmlformats.org/officeDocument/2006/relationships/hyperlink" Target="comprovantes/Transporte/Compartilhar%20comprovante(95).png" TargetMode="External"/><Relationship Id="rId111" Type="http://schemas.openxmlformats.org/officeDocument/2006/relationships/hyperlink" Target="comprovantes/Transporte/Compartilhar%20comprovante(229).png" TargetMode="External"/><Relationship Id="rId153" Type="http://schemas.openxmlformats.org/officeDocument/2006/relationships/hyperlink" Target="comprovantes/Transporte/Compartilhar%20comprovante(137).png" TargetMode="External"/><Relationship Id="rId195" Type="http://schemas.openxmlformats.org/officeDocument/2006/relationships/hyperlink" Target="comprovantes/Transporte/Compartilhar%20comprovante(164).png" TargetMode="External"/><Relationship Id="rId209" Type="http://schemas.openxmlformats.org/officeDocument/2006/relationships/hyperlink" Target="comprovantes/Transporte/Compartilhar%20comprovante(175).png" TargetMode="External"/><Relationship Id="rId360" Type="http://schemas.openxmlformats.org/officeDocument/2006/relationships/hyperlink" Target="comprovantes/Moradia/maio-Agua.pdf" TargetMode="External"/><Relationship Id="rId416" Type="http://schemas.openxmlformats.org/officeDocument/2006/relationships/hyperlink" Target="comprovantes/Lazer%20e%20conviv&#234;ncia/GCompartilhar%20comprovante(97).png" TargetMode="External"/><Relationship Id="rId598" Type="http://schemas.openxmlformats.org/officeDocument/2006/relationships/hyperlink" Target="comprovantes/Alimenta&#231;&#227;o/Compartilhar%20comprovante(36).png" TargetMode="External"/><Relationship Id="rId220" Type="http://schemas.openxmlformats.org/officeDocument/2006/relationships/hyperlink" Target="comprovantes/Transporte/Compartilhar%20comprovante(2).png" TargetMode="External"/><Relationship Id="rId458" Type="http://schemas.openxmlformats.org/officeDocument/2006/relationships/hyperlink" Target="comprovantes/Alimenta&#231;&#227;o/GCompartilhar%20comprovante(250).png" TargetMode="External"/><Relationship Id="rId623" Type="http://schemas.openxmlformats.org/officeDocument/2006/relationships/hyperlink" Target="comprovantes/Alimenta&#231;&#227;o/GCompartilhar%20comprovante(60).png" TargetMode="External"/><Relationship Id="rId665" Type="http://schemas.openxmlformats.org/officeDocument/2006/relationships/hyperlink" Target="comprovantes/Moradia/condominio-fevereiro.pdf" TargetMode="External"/><Relationship Id="rId15" Type="http://schemas.openxmlformats.org/officeDocument/2006/relationships/hyperlink" Target="comprovantes/Sa&#250;de/Compartilhar%20comprovante(36).png" TargetMode="External"/><Relationship Id="rId57" Type="http://schemas.openxmlformats.org/officeDocument/2006/relationships/hyperlink" Target="comprovantes/Vestu&#225;rio%20e%20higiene/GCompartilhar%20comprovante(148).png" TargetMode="External"/><Relationship Id="rId262" Type="http://schemas.openxmlformats.org/officeDocument/2006/relationships/hyperlink" Target="comprovantes/Transporte/Compartilhar%20comprovante(49).png" TargetMode="External"/><Relationship Id="rId318" Type="http://schemas.openxmlformats.org/officeDocument/2006/relationships/hyperlink" Target="comprovantes/Educa&#231;&#227;o/boleto-escola-julho.pdf" TargetMode="External"/><Relationship Id="rId525" Type="http://schemas.openxmlformats.org/officeDocument/2006/relationships/hyperlink" Target="comprovantes/Alimenta&#231;&#227;o/GCompartilhar%20comprovante(167).png" TargetMode="External"/><Relationship Id="rId567" Type="http://schemas.openxmlformats.org/officeDocument/2006/relationships/hyperlink" Target="comprovantes/Alimenta&#231;&#227;o/GCompartilhar%20comprovante(122).png" TargetMode="External"/><Relationship Id="rId99" Type="http://schemas.openxmlformats.org/officeDocument/2006/relationships/hyperlink" Target="comprovantes/Transporte/Compartilhar%20comprovante(219).png" TargetMode="External"/><Relationship Id="rId122" Type="http://schemas.openxmlformats.org/officeDocument/2006/relationships/hyperlink" Target="comprovantes/Transporte/Compartilhar%20comprovante(237).png" TargetMode="External"/><Relationship Id="rId164" Type="http://schemas.openxmlformats.org/officeDocument/2006/relationships/hyperlink" Target="comprovantes/Transporte/Compartilhar%20comprovante(146).png" TargetMode="External"/><Relationship Id="rId371" Type="http://schemas.openxmlformats.org/officeDocument/2006/relationships/hyperlink" Target="comprovantes/Lazer%20e%20conviv&#234;ncia/GCompartilhar%20comprovante(267).png" TargetMode="External"/><Relationship Id="rId427" Type="http://schemas.openxmlformats.org/officeDocument/2006/relationships/hyperlink" Target="comprovantes/Lazer%20e%20conviv&#234;ncia/GCompartilhar%20comprovante(7).png" TargetMode="External"/><Relationship Id="rId469" Type="http://schemas.openxmlformats.org/officeDocument/2006/relationships/hyperlink" Target="comprovantes/Alimenta&#231;&#227;o/Comprovante_20260826T200956598141.png" TargetMode="External"/><Relationship Id="rId634" Type="http://schemas.openxmlformats.org/officeDocument/2006/relationships/hyperlink" Target="comprovantes/Alimenta&#231;&#227;o/Compartilhar%20comprovante(11).png" TargetMode="External"/><Relationship Id="rId676" Type="http://schemas.openxmlformats.org/officeDocument/2006/relationships/hyperlink" Target="comprovantes/Mesada/GCompartilhar%20comprovante(238).png" TargetMode="External"/><Relationship Id="rId26" Type="http://schemas.openxmlformats.org/officeDocument/2006/relationships/hyperlink" Target="comprovantes/Sa&#250;de/GCompartilhar%20comprovante(145).png" TargetMode="External"/><Relationship Id="rId231" Type="http://schemas.openxmlformats.org/officeDocument/2006/relationships/hyperlink" Target="comprovantes/Transporte/Compartilhar%20comprovante(13).png" TargetMode="External"/><Relationship Id="rId273" Type="http://schemas.openxmlformats.org/officeDocument/2006/relationships/hyperlink" Target="comprovantes/Transporte/Compartilhar%20comprovante(53).png" TargetMode="External"/><Relationship Id="rId329" Type="http://schemas.openxmlformats.org/officeDocument/2006/relationships/hyperlink" Target="comprovantes/Educa&#231;&#227;o/violino%20fevereiro%20comprovante.png" TargetMode="External"/><Relationship Id="rId480" Type="http://schemas.openxmlformats.org/officeDocument/2006/relationships/hyperlink" Target="comprovantes/Alimenta&#231;&#227;o/GCompartilhar%20comprovante(211).png" TargetMode="External"/><Relationship Id="rId536" Type="http://schemas.openxmlformats.org/officeDocument/2006/relationships/hyperlink" Target="comprovantes/Alimenta&#231;&#227;o/Comprovante_20260826T194129900746.png" TargetMode="External"/><Relationship Id="rId701" Type="http://schemas.openxmlformats.org/officeDocument/2006/relationships/hyperlink" Target="comprovantes/Mesada/GCompartilhar%20comprovante(48).png" TargetMode="External"/><Relationship Id="rId68" Type="http://schemas.openxmlformats.org/officeDocument/2006/relationships/hyperlink" Target="comprovantes/Transporte/Compartilhar%20comprovante(84).png" TargetMode="External"/><Relationship Id="rId133" Type="http://schemas.openxmlformats.org/officeDocument/2006/relationships/hyperlink" Target="comprovantes/Transporte/Compartilhar%20comprovante(128).png" TargetMode="External"/><Relationship Id="rId175" Type="http://schemas.openxmlformats.org/officeDocument/2006/relationships/hyperlink" Target="comprovantes/Transporte/Compartilhar%20comprovante(189).png" TargetMode="External"/><Relationship Id="rId340" Type="http://schemas.openxmlformats.org/officeDocument/2006/relationships/hyperlink" Target="comprovantes/Moradia/condom-agos.pdf" TargetMode="External"/><Relationship Id="rId578" Type="http://schemas.openxmlformats.org/officeDocument/2006/relationships/hyperlink" Target="comprovantes/Alimenta&#231;&#227;o/GCompartilhar%20comprovante(115).png" TargetMode="External"/><Relationship Id="rId200" Type="http://schemas.openxmlformats.org/officeDocument/2006/relationships/hyperlink" Target="comprovantes/Transporte/Compartilhar%20comprovante(166).png" TargetMode="External"/><Relationship Id="rId382" Type="http://schemas.openxmlformats.org/officeDocument/2006/relationships/hyperlink" Target="comprovantes/Lazer%20e%20conviv&#234;ncia/GCompartilhar%20comprovante(199).png" TargetMode="External"/><Relationship Id="rId438" Type="http://schemas.openxmlformats.org/officeDocument/2006/relationships/hyperlink" Target="comprovantes/Lazer%20e%20conviv&#234;ncia/Compartilhar%20comprovante(7).png" TargetMode="External"/><Relationship Id="rId603" Type="http://schemas.openxmlformats.org/officeDocument/2006/relationships/hyperlink" Target="comprovantes/Alimenta&#231;&#227;o/Compartilhar%20comprovante(34).png" TargetMode="External"/><Relationship Id="rId645" Type="http://schemas.openxmlformats.org/officeDocument/2006/relationships/hyperlink" Target="comprovantes/Alimenta&#231;&#227;o/GCompartilhar%20comprovante(16).png" TargetMode="External"/><Relationship Id="rId687" Type="http://schemas.openxmlformats.org/officeDocument/2006/relationships/hyperlink" Target="comprovantes/Mesada/GCompartilhar%20comprovante(170).png" TargetMode="External"/><Relationship Id="rId242" Type="http://schemas.openxmlformats.org/officeDocument/2006/relationships/hyperlink" Target="comprovantes/Transporte/Compartilhar%20comprovante(26).png" TargetMode="External"/><Relationship Id="rId284" Type="http://schemas.openxmlformats.org/officeDocument/2006/relationships/hyperlink" Target="comprovantes/Transporte/Compartilhar%20comprovante(64).png" TargetMode="External"/><Relationship Id="rId491" Type="http://schemas.openxmlformats.org/officeDocument/2006/relationships/hyperlink" Target="comprovantes/Alimenta&#231;&#227;o/Comprovante_20260826T195814500332.png" TargetMode="External"/><Relationship Id="rId505" Type="http://schemas.openxmlformats.org/officeDocument/2006/relationships/hyperlink" Target="comprovantes/Alimenta&#231;&#227;o/Comprovante_20260826T195000481746.png" TargetMode="External"/><Relationship Id="rId37" Type="http://schemas.openxmlformats.org/officeDocument/2006/relationships/hyperlink" Target="comprovantes/Sa&#250;de/Compartilhar%20comprovante(12).png" TargetMode="External"/><Relationship Id="rId79" Type="http://schemas.openxmlformats.org/officeDocument/2006/relationships/hyperlink" Target="comprovantes/Transporte/Compartilhar%20comprovante(86).png" TargetMode="External"/><Relationship Id="rId102" Type="http://schemas.openxmlformats.org/officeDocument/2006/relationships/hyperlink" Target="comprovantes/Transporte/Compartilhar%20comprovante(216).png" TargetMode="External"/><Relationship Id="rId144" Type="http://schemas.openxmlformats.org/officeDocument/2006/relationships/hyperlink" Target="comprovantes/Transporte/GCompartilhar%20comprovante(139).png" TargetMode="External"/><Relationship Id="rId547" Type="http://schemas.openxmlformats.org/officeDocument/2006/relationships/hyperlink" Target="comprovantes/Alimenta&#231;&#227;o/Comprovante_20260826T193714916894.png" TargetMode="External"/><Relationship Id="rId589" Type="http://schemas.openxmlformats.org/officeDocument/2006/relationships/hyperlink" Target="comprovantes/Alimenta&#231;&#227;o/Compartilhar%20comprovante(42).png" TargetMode="External"/><Relationship Id="rId90" Type="http://schemas.openxmlformats.org/officeDocument/2006/relationships/hyperlink" Target="comprovantes/Transporte/GCompartilhar%20comprovante(217).png" TargetMode="External"/><Relationship Id="rId186" Type="http://schemas.openxmlformats.org/officeDocument/2006/relationships/hyperlink" Target="comprovantes/Transporte/Compartilhar%20comprovante(156).png" TargetMode="External"/><Relationship Id="rId351" Type="http://schemas.openxmlformats.org/officeDocument/2006/relationships/hyperlink" Target="comprovantes/Moradia/GCompartilhar%20comprovante(169).png" TargetMode="External"/><Relationship Id="rId393" Type="http://schemas.openxmlformats.org/officeDocument/2006/relationships/hyperlink" Target="comprovantes/Lazer%20e%20conviv&#234;ncia/Compartilhar%20comprovante(51).png" TargetMode="External"/><Relationship Id="rId407" Type="http://schemas.openxmlformats.org/officeDocument/2006/relationships/hyperlink" Target="comprovantes/Lazer%20e%20conviv&#234;ncia/Compartilhar%20comprovante(27).png" TargetMode="External"/><Relationship Id="rId449" Type="http://schemas.openxmlformats.org/officeDocument/2006/relationships/hyperlink" Target="comprovantes/Alimenta&#231;&#227;o/GCompartilhar%20comprovante(266).png" TargetMode="External"/><Relationship Id="rId614" Type="http://schemas.openxmlformats.org/officeDocument/2006/relationships/hyperlink" Target="comprovantes/Alimenta&#231;&#227;o/Compartilhar%20comprovante(1).png" TargetMode="External"/><Relationship Id="rId656" Type="http://schemas.openxmlformats.org/officeDocument/2006/relationships/hyperlink" Target="comprovantes/Alimenta&#231;&#227;o/Compartilhar%20comprovante(24).png" TargetMode="External"/><Relationship Id="rId211" Type="http://schemas.openxmlformats.org/officeDocument/2006/relationships/hyperlink" Target="comprovantes/Transporte/Compartilhar%20comprovante(173).png" TargetMode="External"/><Relationship Id="rId253" Type="http://schemas.openxmlformats.org/officeDocument/2006/relationships/hyperlink" Target="comprovantes/Transporte/Compartilhar%20comprovante(38).png" TargetMode="External"/><Relationship Id="rId295" Type="http://schemas.openxmlformats.org/officeDocument/2006/relationships/hyperlink" Target="comprovantes/Transporte/Compartilhar%20comprovante(81).png" TargetMode="External"/><Relationship Id="rId309" Type="http://schemas.openxmlformats.org/officeDocument/2006/relationships/hyperlink" Target="comprovantes/Comunica&#231;&#227;o%20e%20tecnologia/celular-Gabriel-mar&#231;o.png" TargetMode="External"/><Relationship Id="rId460" Type="http://schemas.openxmlformats.org/officeDocument/2006/relationships/hyperlink" Target="comprovantes/Alimenta&#231;&#227;o/GCompartilhar%20comprovante(248).png" TargetMode="External"/><Relationship Id="rId516" Type="http://schemas.openxmlformats.org/officeDocument/2006/relationships/hyperlink" Target="comprovantes/Alimenta&#231;&#227;o/GCompartilhar%20comprovante(188).png" TargetMode="External"/><Relationship Id="rId698" Type="http://schemas.openxmlformats.org/officeDocument/2006/relationships/hyperlink" Target="comprovantes/Mesada/GCompartilhar%20comprovante(76).png" TargetMode="External"/><Relationship Id="rId48" Type="http://schemas.openxmlformats.org/officeDocument/2006/relationships/hyperlink" Target="comprovantes/Sa&#250;de/GCompartilhar%20comprovante(70).png" TargetMode="External"/><Relationship Id="rId113" Type="http://schemas.openxmlformats.org/officeDocument/2006/relationships/hyperlink" Target="comprovantes/Transporte/Compartilhar%20comprovante(227).png" TargetMode="External"/><Relationship Id="rId320" Type="http://schemas.openxmlformats.org/officeDocument/2006/relationships/hyperlink" Target="comprovantes/Educa&#231;&#227;o/BoletoENEM.pdf" TargetMode="External"/><Relationship Id="rId558" Type="http://schemas.openxmlformats.org/officeDocument/2006/relationships/hyperlink" Target="comprovantes/Alimenta&#231;&#227;o/Compartilhar%20comprovante(63).png" TargetMode="External"/><Relationship Id="rId155" Type="http://schemas.openxmlformats.org/officeDocument/2006/relationships/hyperlink" Target="comprovantes/Transporte/GCompartilhar%20comprovante(123).png" TargetMode="External"/><Relationship Id="rId197" Type="http://schemas.openxmlformats.org/officeDocument/2006/relationships/hyperlink" Target="comprovantes/Transporte/Compartilhar%20comprovante(162).png" TargetMode="External"/><Relationship Id="rId362" Type="http://schemas.openxmlformats.org/officeDocument/2006/relationships/hyperlink" Target="comprovantes/Moradia/condom-mar&#231;o.pdf" TargetMode="External"/><Relationship Id="rId418" Type="http://schemas.openxmlformats.org/officeDocument/2006/relationships/hyperlink" Target="comprovantes/Lazer%20e%20conviv&#234;ncia/Compartilhar%20comprovante(32).png" TargetMode="External"/><Relationship Id="rId625" Type="http://schemas.openxmlformats.org/officeDocument/2006/relationships/hyperlink" Target="comprovantes/Alimenta&#231;&#227;o/GCompartilhar%20comprovante(56).png" TargetMode="External"/><Relationship Id="rId222" Type="http://schemas.openxmlformats.org/officeDocument/2006/relationships/hyperlink" Target="comprovantes/Transporte/Compartilhar%20comprovante(4).png" TargetMode="External"/><Relationship Id="rId264" Type="http://schemas.openxmlformats.org/officeDocument/2006/relationships/hyperlink" Target="comprovantes/Transporte/Compartilhar%20comprovante(46).png" TargetMode="External"/><Relationship Id="rId471" Type="http://schemas.openxmlformats.org/officeDocument/2006/relationships/hyperlink" Target="comprovantes/Alimenta&#231;&#227;o/Comprovante_20260826T200853499992.png" TargetMode="External"/><Relationship Id="rId667" Type="http://schemas.openxmlformats.org/officeDocument/2006/relationships/hyperlink" Target="comprovantes/Educa&#231;&#227;o/teoria-musical-junho.jpg" TargetMode="External"/><Relationship Id="rId17" Type="http://schemas.openxmlformats.org/officeDocument/2006/relationships/hyperlink" Target="comprovantes/Sa&#250;de/Compartilhar%20comprovante(24).png" TargetMode="External"/><Relationship Id="rId59" Type="http://schemas.openxmlformats.org/officeDocument/2006/relationships/hyperlink" Target="comprovantes/Vestu&#225;rio%20e%20higiene/Compartilhar%20comprovante(2).png" TargetMode="External"/><Relationship Id="rId124" Type="http://schemas.openxmlformats.org/officeDocument/2006/relationships/hyperlink" Target="comprovantes/Transporte/GCompartilhar%20comprovante(171).png" TargetMode="External"/><Relationship Id="rId527" Type="http://schemas.openxmlformats.org/officeDocument/2006/relationships/hyperlink" Target="comprovantes/Alimenta&#231;&#227;o/Comprovante_20260826T194507310346.png" TargetMode="External"/><Relationship Id="rId569" Type="http://schemas.openxmlformats.org/officeDocument/2006/relationships/hyperlink" Target="comprovantes/Alimenta&#231;&#227;o/Compartilhar%20comprovante(55).png" TargetMode="External"/><Relationship Id="rId70" Type="http://schemas.openxmlformats.org/officeDocument/2006/relationships/hyperlink" Target="comprovantes/Transporte/GCompartilhar%20comprovante(265).png" TargetMode="External"/><Relationship Id="rId166" Type="http://schemas.openxmlformats.org/officeDocument/2006/relationships/hyperlink" Target="comprovantes/Transporte/Compartilhar%20comprovante(149).png" TargetMode="External"/><Relationship Id="rId331" Type="http://schemas.openxmlformats.org/officeDocument/2006/relationships/hyperlink" Target="comprovantes/Educa&#231;&#227;o/escola%20janeiro_.png" TargetMode="External"/><Relationship Id="rId373" Type="http://schemas.openxmlformats.org/officeDocument/2006/relationships/hyperlink" Target="comprovantes/Lazer%20e%20conviv&#234;ncia/Compartilhar%20comprovante(11).png" TargetMode="External"/><Relationship Id="rId429" Type="http://schemas.openxmlformats.org/officeDocument/2006/relationships/hyperlink" Target="comprovantes/Lazer%20e%20conviv&#234;ncia/Compartilhar%20comprovante(2).png" TargetMode="External"/><Relationship Id="rId580" Type="http://schemas.openxmlformats.org/officeDocument/2006/relationships/hyperlink" Target="comprovantes/Alimenta&#231;&#227;o/Compartilhar%20comprovante(47).png" TargetMode="External"/><Relationship Id="rId636" Type="http://schemas.openxmlformats.org/officeDocument/2006/relationships/hyperlink" Target="comprovantes/Alimenta&#231;&#227;o/GCompartilhar%20comprovante(1).png" TargetMode="External"/><Relationship Id="rId1" Type="http://schemas.openxmlformats.org/officeDocument/2006/relationships/hyperlink" Target="comprovantes/Sa&#250;de/pscicologo-setembro-comprovante.jpg" TargetMode="External"/><Relationship Id="rId233" Type="http://schemas.openxmlformats.org/officeDocument/2006/relationships/hyperlink" Target="comprovantes/Transporte/Compartilhar%20comprovante(10).png" TargetMode="External"/><Relationship Id="rId440" Type="http://schemas.openxmlformats.org/officeDocument/2006/relationships/hyperlink" Target="comprovantes/Lazer%20e%20conviv&#234;ncia/Compartilhar%20comprovante(5).png" TargetMode="External"/><Relationship Id="rId678" Type="http://schemas.openxmlformats.org/officeDocument/2006/relationships/hyperlink" Target="comprovantes/Mesada/GCompartilhar%20comprovante(241).png" TargetMode="External"/><Relationship Id="rId28" Type="http://schemas.openxmlformats.org/officeDocument/2006/relationships/hyperlink" Target="comprovantes/Sa&#250;de/Compartilhar%20comprovante(32).png" TargetMode="External"/><Relationship Id="rId275" Type="http://schemas.openxmlformats.org/officeDocument/2006/relationships/hyperlink" Target="comprovantes/Transporte/Compartilhar%20comprovante(60).png" TargetMode="External"/><Relationship Id="rId300" Type="http://schemas.openxmlformats.org/officeDocument/2006/relationships/hyperlink" Target="comprovantes/Esporte%20e%20desenvolvimento/GCompartilhar%20comprovante(272).png" TargetMode="External"/><Relationship Id="rId482" Type="http://schemas.openxmlformats.org/officeDocument/2006/relationships/hyperlink" Target="comprovantes/Alimenta&#231;&#227;o/SuplementoComprovante_20260826T220907562521.png" TargetMode="External"/><Relationship Id="rId538" Type="http://schemas.openxmlformats.org/officeDocument/2006/relationships/hyperlink" Target="comprovantes/Alimenta&#231;&#227;o/GCompartilhar%20comprovante(155).png" TargetMode="External"/><Relationship Id="rId703" Type="http://schemas.openxmlformats.org/officeDocument/2006/relationships/hyperlink" Target="comprovantes/Mesada/GCompartilhar%20comprovante(5).png" TargetMode="External"/><Relationship Id="rId81" Type="http://schemas.openxmlformats.org/officeDocument/2006/relationships/hyperlink" Target="comprovantes/Transporte/Compartilhar%20comprovante(90).png" TargetMode="External"/><Relationship Id="rId135" Type="http://schemas.openxmlformats.org/officeDocument/2006/relationships/hyperlink" Target="comprovantes/Transporte/Compartilhar%20comprovante(129).png" TargetMode="External"/><Relationship Id="rId177" Type="http://schemas.openxmlformats.org/officeDocument/2006/relationships/hyperlink" Target="comprovantes/Transporte/GCompartilhar%20comprovante(111).png" TargetMode="External"/><Relationship Id="rId342" Type="http://schemas.openxmlformats.org/officeDocument/2006/relationships/hyperlink" Target="comprovantes/Moradia/faxina-julho.png" TargetMode="External"/><Relationship Id="rId384" Type="http://schemas.openxmlformats.org/officeDocument/2006/relationships/hyperlink" Target="comprovantes/Lazer%20e%20conviv&#234;ncia/Compartilhar%20comprovante(16).png" TargetMode="External"/><Relationship Id="rId591" Type="http://schemas.openxmlformats.org/officeDocument/2006/relationships/hyperlink" Target="comprovantes/Alimenta&#231;&#227;o/Compartilhar%20comprovante(41).png" TargetMode="External"/><Relationship Id="rId605" Type="http://schemas.openxmlformats.org/officeDocument/2006/relationships/hyperlink" Target="comprovantes/Alimenta&#231;&#227;o/Compartilhar%20comprovante(33).png" TargetMode="External"/><Relationship Id="rId202" Type="http://schemas.openxmlformats.org/officeDocument/2006/relationships/hyperlink" Target="comprovantes/Transporte/Compartilhar%20comprovante(182).png" TargetMode="External"/><Relationship Id="rId244" Type="http://schemas.openxmlformats.org/officeDocument/2006/relationships/hyperlink" Target="comprovantes/Transporte/Compartilhar%20comprovante(28).png" TargetMode="External"/><Relationship Id="rId647" Type="http://schemas.openxmlformats.org/officeDocument/2006/relationships/hyperlink" Target="comprovantes/Alimenta&#231;&#227;o/Compartilhar%20comprovante(16).png" TargetMode="External"/><Relationship Id="rId689" Type="http://schemas.openxmlformats.org/officeDocument/2006/relationships/hyperlink" Target="comprovantes/Mesada/GCompartilhar%20comprovante(153).png" TargetMode="External"/><Relationship Id="rId39" Type="http://schemas.openxmlformats.org/officeDocument/2006/relationships/hyperlink" Target="comprovantes/Sa&#250;de/Compartilhar%20comprovante(9).png" TargetMode="External"/><Relationship Id="rId286" Type="http://schemas.openxmlformats.org/officeDocument/2006/relationships/hyperlink" Target="comprovantes/Transporte/Compartilhar%20comprovante(74).png" TargetMode="External"/><Relationship Id="rId451" Type="http://schemas.openxmlformats.org/officeDocument/2006/relationships/hyperlink" Target="comprovantes/Alimenta&#231;&#227;o/GCompartilhar%20comprovante(261).png" TargetMode="External"/><Relationship Id="rId493" Type="http://schemas.openxmlformats.org/officeDocument/2006/relationships/hyperlink" Target="comprovantes/Alimenta&#231;&#227;o/Comprovante_20260826T195711998580.png" TargetMode="External"/><Relationship Id="rId507" Type="http://schemas.openxmlformats.org/officeDocument/2006/relationships/hyperlink" Target="comprovantes/Alimenta&#231;&#227;o/Comprovante_20260826T194925668730.png" TargetMode="External"/><Relationship Id="rId549" Type="http://schemas.openxmlformats.org/officeDocument/2006/relationships/hyperlink" Target="comprovantes/Alimenta&#231;&#227;o/Compartilhar%20comprovante(69).png" TargetMode="External"/><Relationship Id="rId50" Type="http://schemas.openxmlformats.org/officeDocument/2006/relationships/hyperlink" Target="comprovantes/Sa&#250;de/GCompartilhar%20comprovante(55).png" TargetMode="External"/><Relationship Id="rId104" Type="http://schemas.openxmlformats.org/officeDocument/2006/relationships/hyperlink" Target="comprovantes/Transporte/Compartilhar%20comprovante(221).png" TargetMode="External"/><Relationship Id="rId146" Type="http://schemas.openxmlformats.org/officeDocument/2006/relationships/hyperlink" Target="comprovantes/Transporte/GCompartilhar%20comprovante(136).png" TargetMode="External"/><Relationship Id="rId188" Type="http://schemas.openxmlformats.org/officeDocument/2006/relationships/hyperlink" Target="comprovantes/Transporte/GCompartilhar%20comprovante(116).png" TargetMode="External"/><Relationship Id="rId311" Type="http://schemas.openxmlformats.org/officeDocument/2006/relationships/hyperlink" Target="comprovantes/Comunica&#231;&#227;o%20e%20tecnologia/fatura%20celular%20Gabriel%20janeiro_.png" TargetMode="External"/><Relationship Id="rId353" Type="http://schemas.openxmlformats.org/officeDocument/2006/relationships/hyperlink" Target="comprovantes/Moradia/Boleto_internet-maio14219370.pdf" TargetMode="External"/><Relationship Id="rId395" Type="http://schemas.openxmlformats.org/officeDocument/2006/relationships/hyperlink" Target="comprovantes/Lazer%20e%20conviv&#234;ncia/GCompartilhar%20comprovante(135).png" TargetMode="External"/><Relationship Id="rId409" Type="http://schemas.openxmlformats.org/officeDocument/2006/relationships/hyperlink" Target="comprovantes/Lazer%20e%20conviv&#234;ncia/GCompartilhar%20comprovante(102).png" TargetMode="External"/><Relationship Id="rId560" Type="http://schemas.openxmlformats.org/officeDocument/2006/relationships/hyperlink" Target="comprovantes/Alimenta&#231;&#227;o/Compartilhar%20comprovante(61).png" TargetMode="External"/><Relationship Id="rId92" Type="http://schemas.openxmlformats.org/officeDocument/2006/relationships/hyperlink" Target="comprovantes/Transporte/Compartilhar%20comprovante(98).png" TargetMode="External"/><Relationship Id="rId213" Type="http://schemas.openxmlformats.org/officeDocument/2006/relationships/hyperlink" Target="comprovantes/Transporte/Compartilhar%20comprovante(171).png" TargetMode="External"/><Relationship Id="rId420" Type="http://schemas.openxmlformats.org/officeDocument/2006/relationships/hyperlink" Target="comprovantes/Lazer%20e%20conviv&#234;ncia/GCompartilhar%20comprovante(82).png" TargetMode="External"/><Relationship Id="rId616" Type="http://schemas.openxmlformats.org/officeDocument/2006/relationships/hyperlink" Target="comprovantes/Alimenta&#231;&#227;o/GCompartilhar%20comprovante(68).png" TargetMode="External"/><Relationship Id="rId658" Type="http://schemas.openxmlformats.org/officeDocument/2006/relationships/hyperlink" Target="comprovantes/Alimenta&#231;&#227;o/Compartilhar%20comprovante(17).png" TargetMode="External"/><Relationship Id="rId255" Type="http://schemas.openxmlformats.org/officeDocument/2006/relationships/hyperlink" Target="comprovantes/Transporte/Compartilhar%20comprovante(36).png" TargetMode="External"/><Relationship Id="rId297" Type="http://schemas.openxmlformats.org/officeDocument/2006/relationships/hyperlink" Target="comprovantes/Transporte/Compartilhar%20comprovante(79).png" TargetMode="External"/><Relationship Id="rId462" Type="http://schemas.openxmlformats.org/officeDocument/2006/relationships/hyperlink" Target="comprovantes/Alimenta&#231;&#227;o/GCompartilhar%20comprovante(230).png" TargetMode="External"/><Relationship Id="rId518" Type="http://schemas.openxmlformats.org/officeDocument/2006/relationships/hyperlink" Target="comprovantes/Alimenta&#231;&#227;o/Comprovante_20260826T194635222102.png" TargetMode="External"/><Relationship Id="rId115" Type="http://schemas.openxmlformats.org/officeDocument/2006/relationships/hyperlink" Target="comprovantes/Transporte/Compartilhar%20comprovante(231).png" TargetMode="External"/><Relationship Id="rId157" Type="http://schemas.openxmlformats.org/officeDocument/2006/relationships/hyperlink" Target="comprovantes/Transporte/Compartilhar%20comprovante(140).png" TargetMode="External"/><Relationship Id="rId322" Type="http://schemas.openxmlformats.org/officeDocument/2006/relationships/hyperlink" Target="comprovantes/Educa&#231;&#227;o/boleto-escola-jun.pdf" TargetMode="External"/><Relationship Id="rId364" Type="http://schemas.openxmlformats.org/officeDocument/2006/relationships/hyperlink" Target="comprovantes/Moradia/IPTU.png" TargetMode="External"/><Relationship Id="rId61" Type="http://schemas.openxmlformats.org/officeDocument/2006/relationships/hyperlink" Target="comprovantes/Vestu&#225;rio%20e%20higiene/GCompartilhar%20comprovante(112).png" TargetMode="External"/><Relationship Id="rId199" Type="http://schemas.openxmlformats.org/officeDocument/2006/relationships/hyperlink" Target="comprovantes/Transporte/Compartilhar%20comprovante(167).png" TargetMode="External"/><Relationship Id="rId571" Type="http://schemas.openxmlformats.org/officeDocument/2006/relationships/hyperlink" Target="comprovantes/Alimenta&#231;&#227;o/GCompartilhar%20comprovante(121).png" TargetMode="External"/><Relationship Id="rId627" Type="http://schemas.openxmlformats.org/officeDocument/2006/relationships/hyperlink" Target="comprovantes/Alimenta&#231;&#227;o/Compartilhar%20comprovante(7).png" TargetMode="External"/><Relationship Id="rId669" Type="http://schemas.openxmlformats.org/officeDocument/2006/relationships/hyperlink" Target="comprovantes/Vestu&#225;rio%20e%20higiene/GCompartilhar%20comprovante(226).png" TargetMode="External"/><Relationship Id="rId19" Type="http://schemas.openxmlformats.org/officeDocument/2006/relationships/hyperlink" Target="comprovantes/Sa&#250;de/Compartilhar%20comprovante(33).png" TargetMode="External"/><Relationship Id="rId224" Type="http://schemas.openxmlformats.org/officeDocument/2006/relationships/hyperlink" Target="comprovantes/Transporte/Compartilhar%20comprovante(8).png" TargetMode="External"/><Relationship Id="rId266" Type="http://schemas.openxmlformats.org/officeDocument/2006/relationships/hyperlink" Target="comprovantes/Transporte/Compartilhar%20comprovante(44).png" TargetMode="External"/><Relationship Id="rId431" Type="http://schemas.openxmlformats.org/officeDocument/2006/relationships/hyperlink" Target="comprovantes/Lazer%20e%20conviv&#234;ncia/GCompartilhar%20comprovante(18).png" TargetMode="External"/><Relationship Id="rId473" Type="http://schemas.openxmlformats.org/officeDocument/2006/relationships/hyperlink" Target="comprovantes/Alimenta&#231;&#227;o/Comprovante_20260826T200740608352.png" TargetMode="External"/><Relationship Id="rId529" Type="http://schemas.openxmlformats.org/officeDocument/2006/relationships/hyperlink" Target="comprovantes/Alimenta&#231;&#227;o/Comprovante_20260826T194357797366.png" TargetMode="External"/><Relationship Id="rId680" Type="http://schemas.openxmlformats.org/officeDocument/2006/relationships/hyperlink" Target="comprovantes/Mesada/GCompartilhar%20comprovante(242).png"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rgb="FF60A5FA"/>
  </sheetPr>
  <dimension ref="A1:BA220"/>
  <sheetViews>
    <sheetView showGridLines="0" showRowColHeaders="0" zoomScaleNormal="100" workbookViewId="0">
      <pane xSplit="2" ySplit="4" topLeftCell="S5" activePane="bottomRight" state="frozenSplit"/>
      <selection pane="topRight" activeCell="C1" sqref="C1"/>
      <selection pane="bottomLeft" activeCell="A5" sqref="A5"/>
      <selection pane="bottomRight" activeCell="V16" sqref="V16"/>
    </sheetView>
  </sheetViews>
  <sheetFormatPr defaultColWidth="0" defaultRowHeight="14.25" x14ac:dyDescent="0.25"/>
  <cols>
    <col min="1" max="1" width="50.42578125" style="43" bestFit="1" customWidth="1"/>
    <col min="2" max="2" width="48.85546875" style="43" bestFit="1" customWidth="1"/>
    <col min="3" max="14" width="12.7109375" style="44" customWidth="1"/>
    <col min="15" max="15" width="11.5703125" style="44" bestFit="1" customWidth="1"/>
    <col min="16" max="16" width="10.85546875" style="44" bestFit="1" customWidth="1"/>
    <col min="17" max="17" width="11.85546875" style="44" bestFit="1" customWidth="1"/>
    <col min="18" max="18" width="11" style="44" bestFit="1" customWidth="1"/>
    <col min="19" max="19" width="20.85546875" style="44" bestFit="1" customWidth="1"/>
    <col min="20" max="20" width="19.5703125" style="44" bestFit="1" customWidth="1"/>
    <col min="21" max="21" width="12.85546875" style="44" hidden="1" customWidth="1"/>
    <col min="22" max="22" width="58.7109375" style="44" customWidth="1"/>
    <col min="23" max="23" width="28.7109375" style="44" hidden="1" customWidth="1"/>
    <col min="24" max="24" width="9.140625" style="44" hidden="1" customWidth="1"/>
    <col min="25" max="28" width="9.7109375" style="44" customWidth="1"/>
    <col min="29" max="52" width="9.140625" style="44" hidden="1" customWidth="1"/>
    <col min="53" max="53" width="13" style="44" hidden="1" customWidth="1"/>
    <col min="54" max="16384" width="0" style="44" hidden="1"/>
  </cols>
  <sheetData>
    <row r="1" spans="1:52" x14ac:dyDescent="0.25">
      <c r="A1" s="45" t="s">
        <v>0</v>
      </c>
      <c r="B1" s="45"/>
      <c r="C1" s="46"/>
      <c r="D1" s="46"/>
      <c r="E1" s="46"/>
      <c r="F1" s="46"/>
      <c r="G1" s="46"/>
      <c r="H1" s="46"/>
      <c r="I1" s="46"/>
      <c r="J1" s="46"/>
      <c r="K1" s="46"/>
      <c r="L1" s="46"/>
      <c r="M1" s="46"/>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c r="AO1" s="46"/>
      <c r="AP1" s="46"/>
      <c r="AQ1" s="46"/>
      <c r="AR1" s="46"/>
      <c r="AS1" s="46"/>
      <c r="AT1" s="46"/>
      <c r="AU1" s="46"/>
      <c r="AV1" s="46"/>
      <c r="AW1" s="46"/>
      <c r="AX1" s="46"/>
      <c r="AY1" s="46"/>
      <c r="AZ1" s="46"/>
    </row>
    <row r="2" spans="1:52" x14ac:dyDescent="0.25">
      <c r="A2" s="45" t="s">
        <v>2225</v>
      </c>
      <c r="B2" s="45"/>
      <c r="C2" s="46"/>
      <c r="D2" s="46"/>
      <c r="E2" s="46"/>
      <c r="F2" s="46"/>
      <c r="G2" s="46"/>
      <c r="H2" s="46"/>
      <c r="I2" s="46"/>
      <c r="J2" s="46"/>
      <c r="K2" s="46"/>
      <c r="L2" s="46"/>
      <c r="M2" s="46"/>
      <c r="N2" s="46"/>
      <c r="O2" s="46"/>
      <c r="P2" s="46"/>
      <c r="Q2" s="46"/>
      <c r="R2" s="46"/>
      <c r="S2" s="46"/>
      <c r="T2" s="46"/>
      <c r="U2" s="46"/>
      <c r="V2" s="46"/>
      <c r="W2" s="46"/>
      <c r="X2" s="46"/>
      <c r="Y2" s="46"/>
      <c r="Z2" s="46"/>
      <c r="AA2" s="46"/>
      <c r="AB2" s="46"/>
      <c r="AC2" s="46"/>
      <c r="AD2" s="46"/>
      <c r="AE2" s="46"/>
      <c r="AF2" s="46"/>
      <c r="AG2" s="46"/>
      <c r="AH2" s="46"/>
      <c r="AI2" s="46"/>
      <c r="AJ2" s="46"/>
      <c r="AK2" s="46"/>
      <c r="AL2" s="46"/>
      <c r="AM2" s="46"/>
      <c r="AN2" s="46"/>
      <c r="AO2" s="46"/>
      <c r="AP2" s="46"/>
      <c r="AQ2" s="46"/>
      <c r="AR2" s="46"/>
      <c r="AS2" s="46"/>
      <c r="AT2" s="46"/>
      <c r="AU2" s="46"/>
      <c r="AV2" s="46"/>
      <c r="AW2" s="46"/>
      <c r="AX2" s="46"/>
      <c r="AY2" s="46"/>
      <c r="AZ2" s="46"/>
    </row>
    <row r="3" spans="1:52" x14ac:dyDescent="0.25">
      <c r="A3" s="45"/>
      <c r="B3" s="45"/>
      <c r="C3" s="46"/>
      <c r="D3" s="46"/>
      <c r="E3" s="46"/>
      <c r="F3" s="46"/>
      <c r="G3" s="46"/>
      <c r="H3" s="46"/>
      <c r="I3" s="46"/>
      <c r="J3" s="46"/>
      <c r="K3" s="46"/>
      <c r="L3" s="46"/>
      <c r="M3" s="46"/>
      <c r="N3" s="46"/>
      <c r="O3" s="46"/>
      <c r="P3" s="46"/>
      <c r="Q3" s="46"/>
      <c r="R3" s="46"/>
      <c r="S3" s="46"/>
      <c r="T3" s="46"/>
      <c r="U3" s="46"/>
      <c r="V3" s="46"/>
      <c r="W3" s="46"/>
      <c r="X3" s="46"/>
      <c r="Y3" s="46"/>
      <c r="Z3" s="46"/>
      <c r="AA3" s="46"/>
      <c r="AB3" s="46"/>
      <c r="AC3" s="46"/>
      <c r="AD3" s="46"/>
      <c r="AE3" s="46"/>
      <c r="AF3" s="46"/>
      <c r="AG3" s="46"/>
      <c r="AH3" s="46"/>
      <c r="AI3" s="46"/>
      <c r="AJ3" s="46"/>
      <c r="AK3" s="46"/>
      <c r="AL3" s="46"/>
      <c r="AM3" s="46"/>
      <c r="AN3" s="46"/>
      <c r="AO3" s="46"/>
      <c r="AP3" s="46"/>
      <c r="AQ3" s="46"/>
      <c r="AR3" s="46"/>
      <c r="AS3" s="46"/>
      <c r="AT3" s="46"/>
      <c r="AU3" s="46"/>
      <c r="AV3" s="46"/>
      <c r="AW3" s="46"/>
      <c r="AX3" s="46"/>
      <c r="AY3" s="46"/>
      <c r="AZ3" s="46"/>
    </row>
    <row r="4" spans="1:52" ht="45" customHeight="1" x14ac:dyDescent="0.25">
      <c r="A4" s="16" t="s">
        <v>1</v>
      </c>
      <c r="B4" s="18" t="s">
        <v>2</v>
      </c>
      <c r="C4" s="148">
        <v>45931</v>
      </c>
      <c r="D4" s="148">
        <v>45962</v>
      </c>
      <c r="E4" s="148">
        <v>45992</v>
      </c>
      <c r="F4" s="148">
        <v>46023</v>
      </c>
      <c r="G4" s="148">
        <v>46054</v>
      </c>
      <c r="H4" s="148">
        <v>46082</v>
      </c>
      <c r="I4" s="148">
        <v>46113</v>
      </c>
      <c r="J4" s="148">
        <v>46143</v>
      </c>
      <c r="K4" s="148">
        <v>46174</v>
      </c>
      <c r="L4" s="148">
        <v>46204</v>
      </c>
      <c r="M4" s="148">
        <v>46235</v>
      </c>
      <c r="N4" s="148">
        <v>46266</v>
      </c>
      <c r="O4" s="16" t="s">
        <v>2218</v>
      </c>
      <c r="P4" s="16" t="s">
        <v>2219</v>
      </c>
      <c r="Q4" s="16" t="s">
        <v>2220</v>
      </c>
      <c r="R4" s="149" t="s">
        <v>3</v>
      </c>
      <c r="S4" s="149" t="s">
        <v>2221</v>
      </c>
      <c r="T4" s="149" t="s">
        <v>2222</v>
      </c>
      <c r="U4" s="17" t="s">
        <v>4</v>
      </c>
      <c r="V4" s="17" t="s">
        <v>5</v>
      </c>
      <c r="W4" s="17" t="s">
        <v>2179</v>
      </c>
      <c r="X4" s="46" t="s">
        <v>2180</v>
      </c>
      <c r="Y4" s="46"/>
      <c r="Z4" s="46"/>
      <c r="AA4" s="46"/>
      <c r="AB4" s="46"/>
      <c r="AC4" s="46"/>
      <c r="AD4" s="46"/>
      <c r="AE4" s="46"/>
      <c r="AF4" s="46"/>
      <c r="AG4" s="46"/>
      <c r="AH4" s="46"/>
      <c r="AI4" s="46"/>
      <c r="AJ4" s="46"/>
      <c r="AK4" s="46"/>
      <c r="AL4" s="46"/>
      <c r="AM4" s="46"/>
      <c r="AN4" s="46"/>
      <c r="AO4" s="46"/>
      <c r="AP4" s="46"/>
      <c r="AQ4" s="46"/>
      <c r="AR4" s="46"/>
      <c r="AS4" s="46"/>
      <c r="AT4" s="46"/>
      <c r="AU4" s="46"/>
      <c r="AV4" s="46"/>
      <c r="AW4" s="46"/>
      <c r="AX4" s="46"/>
      <c r="AY4" s="46"/>
      <c r="AZ4" s="46"/>
    </row>
    <row r="5" spans="1:52" ht="15.75" customHeight="1" x14ac:dyDescent="0.25">
      <c r="A5" s="4" t="s">
        <v>6</v>
      </c>
      <c r="B5" s="4" t="s">
        <v>7</v>
      </c>
      <c r="C5" s="155"/>
      <c r="D5" s="155"/>
      <c r="E5" s="155"/>
      <c r="F5" s="155">
        <v>275.97000000000003</v>
      </c>
      <c r="G5" s="155"/>
      <c r="H5" s="155">
        <v>242.75</v>
      </c>
      <c r="I5" s="155">
        <v>109.99</v>
      </c>
      <c r="J5" s="155">
        <v>51</v>
      </c>
      <c r="K5" s="155">
        <v>69.900000000000006</v>
      </c>
      <c r="L5" s="155"/>
      <c r="M5" s="155"/>
      <c r="N5" s="155"/>
      <c r="O5" s="155"/>
      <c r="P5" s="155">
        <f>IF(OR(A5&lt;&gt;"",B5&lt;&gt;""),(SUM(C5:N5)+O5)/12,"")</f>
        <v>62.467500000000001</v>
      </c>
      <c r="Q5" s="155">
        <f>IF(OR(A5&lt;&gt;"",B5&lt;&gt;""),SUM(C5:N5)+O5,"")</f>
        <v>749.61</v>
      </c>
      <c r="R5" s="112" t="s">
        <v>8</v>
      </c>
      <c r="S5" s="155">
        <f>IF(OR(A5&lt;&gt;"",B5&lt;&gt;""),IF(R5="Sim",Q5/Config!$B$6,Q5),"")</f>
        <v>374.80500000000001</v>
      </c>
      <c r="T5" s="155">
        <f>IF(OR(A5&lt;&gt;"",B5&lt;&gt;""),IF(R5="Sim",P5/Config!$B$6,P5),"")</f>
        <v>31.233750000000001</v>
      </c>
      <c r="U5" t="s">
        <v>269</v>
      </c>
      <c r="V5" s="42" t="s">
        <v>2187</v>
      </c>
      <c r="W5" s="4" t="s">
        <v>1200</v>
      </c>
      <c r="X5" s="46" t="s">
        <v>2122</v>
      </c>
      <c r="Y5" s="46"/>
      <c r="Z5" s="46"/>
      <c r="AA5" s="46"/>
      <c r="AB5" s="46"/>
      <c r="AC5" s="46"/>
      <c r="AD5" s="46"/>
      <c r="AE5" s="46"/>
      <c r="AF5" s="46"/>
      <c r="AG5" s="46"/>
      <c r="AH5" s="46"/>
      <c r="AI5" s="46"/>
      <c r="AJ5" s="46"/>
      <c r="AK5" s="46"/>
      <c r="AL5" s="46"/>
      <c r="AM5" s="46"/>
      <c r="AN5" s="46"/>
      <c r="AO5" s="46"/>
      <c r="AP5" s="46"/>
      <c r="AQ5" s="46"/>
      <c r="AR5" s="46"/>
      <c r="AS5" s="46"/>
      <c r="AT5" s="46"/>
      <c r="AU5" s="46"/>
      <c r="AV5" s="46"/>
      <c r="AW5" s="46"/>
      <c r="AX5" s="46"/>
      <c r="AY5" s="46"/>
      <c r="AZ5" s="46"/>
    </row>
    <row r="6" spans="1:52" ht="15.75" customHeight="1" x14ac:dyDescent="0.25">
      <c r="A6" s="5" t="s">
        <v>6</v>
      </c>
      <c r="B6" s="5" t="s">
        <v>9</v>
      </c>
      <c r="C6" s="156"/>
      <c r="D6" s="156"/>
      <c r="E6" s="156"/>
      <c r="F6" s="156">
        <v>773.64</v>
      </c>
      <c r="G6" s="156">
        <v>792.23</v>
      </c>
      <c r="H6" s="156">
        <v>596.04</v>
      </c>
      <c r="I6" s="156">
        <v>596.04</v>
      </c>
      <c r="J6" s="156">
        <v>596.04</v>
      </c>
      <c r="K6" s="156">
        <v>596.04</v>
      </c>
      <c r="L6" s="156">
        <v>660</v>
      </c>
      <c r="M6" s="156">
        <v>660</v>
      </c>
      <c r="N6" s="156"/>
      <c r="O6" s="156"/>
      <c r="P6" s="156">
        <f>IF(OR(A6&lt;&gt;"",B6&lt;&gt;""),(SUM(C6:N6)+O6)/12,"")</f>
        <v>439.16916666666663</v>
      </c>
      <c r="Q6" s="157">
        <f>IF(OR(A6&lt;&gt;"",B6&lt;&gt;""),SUM(C6:N6)+O6,"")</f>
        <v>5270.03</v>
      </c>
      <c r="R6" s="113" t="s">
        <v>8</v>
      </c>
      <c r="S6" s="156">
        <f>IF(OR(A6&lt;&gt;"",B6&lt;&gt;""),IF(R6="Sim",Q6/Config!$B$6,Q6),"")</f>
        <v>2635.0149999999999</v>
      </c>
      <c r="T6" s="156">
        <f>IF(OR(A6&lt;&gt;"",B6&lt;&gt;""),IF(R6="Sim",P6/Config!$B$6,P6),"")</f>
        <v>219.58458333333331</v>
      </c>
      <c r="U6" t="s">
        <v>2189</v>
      </c>
      <c r="V6" s="42" t="s">
        <v>2188</v>
      </c>
      <c r="W6" s="5" t="s">
        <v>2118</v>
      </c>
      <c r="X6" s="46" t="s">
        <v>2123</v>
      </c>
      <c r="Y6" s="46"/>
      <c r="Z6" s="46"/>
      <c r="AA6" s="46"/>
      <c r="AB6" s="46"/>
      <c r="AC6" s="46"/>
      <c r="AD6" s="46"/>
      <c r="AE6" s="46"/>
      <c r="AF6" s="46"/>
      <c r="AG6" s="46"/>
      <c r="AH6" s="46"/>
      <c r="AI6" s="46"/>
      <c r="AJ6" s="46"/>
      <c r="AK6" s="46"/>
      <c r="AL6" s="46"/>
      <c r="AM6" s="46"/>
      <c r="AN6" s="46"/>
      <c r="AO6" s="46"/>
      <c r="AP6" s="46"/>
      <c r="AQ6" s="46"/>
      <c r="AR6" s="46"/>
      <c r="AS6" s="46"/>
      <c r="AT6" s="46"/>
      <c r="AU6" s="46"/>
      <c r="AV6" s="46"/>
      <c r="AW6" s="46"/>
      <c r="AX6" s="46"/>
      <c r="AY6" s="46"/>
      <c r="AZ6" s="46"/>
    </row>
    <row r="7" spans="1:52" ht="15.75" customHeight="1" x14ac:dyDescent="0.25">
      <c r="A7" s="5" t="s">
        <v>6</v>
      </c>
      <c r="B7" s="5" t="s">
        <v>10</v>
      </c>
      <c r="C7" s="156"/>
      <c r="D7" s="156"/>
      <c r="E7" s="156"/>
      <c r="F7" s="156"/>
      <c r="G7" s="156"/>
      <c r="H7" s="156"/>
      <c r="I7" s="156"/>
      <c r="J7" s="156"/>
      <c r="K7" s="156"/>
      <c r="L7" s="156"/>
      <c r="M7" s="156"/>
      <c r="N7" s="156"/>
      <c r="O7" s="156">
        <v>760.15</v>
      </c>
      <c r="P7" s="156">
        <f>IF(OR(A7&lt;&gt;"",B7&lt;&gt;""),(SUM(C7:N7)+O7)/12,"")</f>
        <v>63.345833333333331</v>
      </c>
      <c r="Q7" s="157">
        <f>IF(OR(A7&lt;&gt;"",B7&lt;&gt;""),SUM(C7:N7)+O7,"")</f>
        <v>760.15</v>
      </c>
      <c r="R7" s="113" t="s">
        <v>8</v>
      </c>
      <c r="S7" s="156">
        <f>IF(OR(A7&lt;&gt;"",B7&lt;&gt;""),IF(R7="Sim",Q7/Config!$B$6,Q7),"")</f>
        <v>380.07499999999999</v>
      </c>
      <c r="T7" s="156">
        <f>IF(OR(A7&lt;&gt;"",B7&lt;&gt;""),IF(R7="Sim",P7/Config!$B$6,P7),"")</f>
        <v>31.672916666666666</v>
      </c>
      <c r="U7" t="s">
        <v>269</v>
      </c>
      <c r="V7" s="42" t="s">
        <v>2190</v>
      </c>
      <c r="W7" s="5" t="s">
        <v>1196</v>
      </c>
      <c r="X7" s="46" t="s">
        <v>2124</v>
      </c>
      <c r="Y7" s="46"/>
      <c r="Z7" s="46"/>
      <c r="AA7" s="46"/>
      <c r="AB7" s="46"/>
      <c r="AC7" s="46"/>
      <c r="AD7" s="46"/>
      <c r="AE7" s="46"/>
      <c r="AF7" s="46"/>
      <c r="AG7" s="46"/>
      <c r="AH7" s="46"/>
      <c r="AI7" s="46"/>
      <c r="AJ7" s="46"/>
      <c r="AK7" s="46"/>
      <c r="AL7" s="46"/>
      <c r="AM7" s="46"/>
      <c r="AN7" s="46"/>
      <c r="AO7" s="46"/>
      <c r="AP7" s="46"/>
      <c r="AQ7" s="46"/>
      <c r="AR7" s="46"/>
      <c r="AS7" s="46"/>
      <c r="AT7" s="46"/>
      <c r="AU7" s="46"/>
      <c r="AV7" s="46"/>
      <c r="AW7" s="46"/>
      <c r="AX7" s="46"/>
      <c r="AY7" s="46"/>
      <c r="AZ7" s="46"/>
    </row>
    <row r="8" spans="1:52" ht="15.75" customHeight="1" x14ac:dyDescent="0.25">
      <c r="A8" s="5" t="s">
        <v>6</v>
      </c>
      <c r="B8" s="5" t="s">
        <v>11</v>
      </c>
      <c r="C8" s="156"/>
      <c r="D8" s="156"/>
      <c r="E8" s="156"/>
      <c r="F8" s="156"/>
      <c r="G8" s="156"/>
      <c r="H8" s="156"/>
      <c r="I8" s="156">
        <v>257.20999999999998</v>
      </c>
      <c r="J8" s="156"/>
      <c r="K8" s="156">
        <v>283.67</v>
      </c>
      <c r="L8" s="156">
        <v>327.98</v>
      </c>
      <c r="M8" s="156"/>
      <c r="N8" s="156"/>
      <c r="O8" s="156"/>
      <c r="P8" s="156">
        <f>IF(OR(A8&lt;&gt;"",B8&lt;&gt;""),(SUM(C8:N8)+O8)/12,"")</f>
        <v>72.405000000000001</v>
      </c>
      <c r="Q8" s="157">
        <f>IF(OR(A8&lt;&gt;"",B8&lt;&gt;""),SUM(C8:N8)+O8,"")</f>
        <v>868.86</v>
      </c>
      <c r="R8" s="113" t="s">
        <v>8</v>
      </c>
      <c r="S8" s="156">
        <f>IF(OR(A8&lt;&gt;"",B8&lt;&gt;""),IF(R8="Sim",Q8/Config!$B$6,Q8),"")</f>
        <v>434.43</v>
      </c>
      <c r="T8" s="156">
        <f>IF(OR(A8&lt;&gt;"",B8&lt;&gt;""),IF(R8="Sim",P8/Config!$B$6,P8),"")</f>
        <v>36.202500000000001</v>
      </c>
      <c r="U8" t="s">
        <v>269</v>
      </c>
      <c r="V8" s="42" t="s">
        <v>2191</v>
      </c>
      <c r="W8" s="5" t="s">
        <v>1186</v>
      </c>
      <c r="X8" s="46" t="s">
        <v>2125</v>
      </c>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row>
    <row r="9" spans="1:52" ht="15.75" customHeight="1" x14ac:dyDescent="0.25">
      <c r="A9" s="5" t="s">
        <v>6</v>
      </c>
      <c r="B9" s="5" t="s">
        <v>12</v>
      </c>
      <c r="C9" s="156"/>
      <c r="D9" s="156"/>
      <c r="E9" s="156"/>
      <c r="F9" s="156"/>
      <c r="G9" s="156">
        <v>136.49</v>
      </c>
      <c r="H9" s="156">
        <v>144.11000000000001</v>
      </c>
      <c r="I9" s="156">
        <v>150.81</v>
      </c>
      <c r="J9" s="156"/>
      <c r="K9" s="156"/>
      <c r="L9" s="156">
        <v>121.7</v>
      </c>
      <c r="M9" s="156">
        <v>132.51</v>
      </c>
      <c r="N9" s="156"/>
      <c r="O9" s="156"/>
      <c r="P9" s="156">
        <f>IF(OR(A9&lt;&gt;"",B9&lt;&gt;""),(SUM(C9:N9)+O9)/12,"")</f>
        <v>57.134999999999998</v>
      </c>
      <c r="Q9" s="157">
        <f>IF(OR(A9&lt;&gt;"",B9&lt;&gt;""),SUM(C9:N9)+O9,"")</f>
        <v>685.62</v>
      </c>
      <c r="R9" s="113" t="s">
        <v>8</v>
      </c>
      <c r="S9" s="156">
        <f>IF(OR(A9&lt;&gt;"",B9&lt;&gt;""),IF(R9="Sim",Q9/Config!$B$6,Q9),"")</f>
        <v>342.81</v>
      </c>
      <c r="T9" s="156">
        <f>IF(OR(A9&lt;&gt;"",B9&lt;&gt;""),IF(R9="Sim",P9/Config!$B$6,P9),"")</f>
        <v>28.567499999999999</v>
      </c>
      <c r="U9" t="s">
        <v>2189</v>
      </c>
      <c r="V9" s="42" t="s">
        <v>2192</v>
      </c>
      <c r="W9" s="5" t="s">
        <v>2121</v>
      </c>
      <c r="X9" s="46" t="s">
        <v>2126</v>
      </c>
      <c r="Y9" s="46"/>
      <c r="Z9" s="46"/>
      <c r="AA9" s="46"/>
      <c r="AB9" s="46"/>
      <c r="AC9" s="46"/>
      <c r="AD9" s="46"/>
      <c r="AE9" s="46"/>
      <c r="AF9" s="46"/>
      <c r="AG9" s="46"/>
      <c r="AH9" s="46"/>
      <c r="AI9" s="46"/>
      <c r="AJ9" s="46"/>
      <c r="AK9" s="46"/>
      <c r="AL9" s="46"/>
      <c r="AM9" s="46"/>
      <c r="AN9" s="46"/>
      <c r="AO9" s="46"/>
      <c r="AP9" s="46"/>
      <c r="AQ9" s="46"/>
      <c r="AR9" s="46"/>
      <c r="AS9" s="46"/>
      <c r="AT9" s="46"/>
      <c r="AU9" s="46"/>
      <c r="AV9" s="46"/>
      <c r="AW9" s="46"/>
      <c r="AX9" s="46"/>
      <c r="AY9" s="46"/>
      <c r="AZ9" s="46"/>
    </row>
    <row r="10" spans="1:52" ht="15.75" customHeight="1" x14ac:dyDescent="0.25">
      <c r="A10" s="5" t="s">
        <v>6</v>
      </c>
      <c r="B10" s="5" t="s">
        <v>13</v>
      </c>
      <c r="C10" s="156"/>
      <c r="D10" s="156"/>
      <c r="E10" s="156"/>
      <c r="F10" s="156"/>
      <c r="G10" s="156"/>
      <c r="H10" s="156"/>
      <c r="I10" s="156">
        <v>109.99</v>
      </c>
      <c r="J10" s="156"/>
      <c r="K10" s="156"/>
      <c r="L10" s="156">
        <v>107</v>
      </c>
      <c r="M10" s="156"/>
      <c r="N10" s="156"/>
      <c r="O10" s="156"/>
      <c r="P10" s="156">
        <f>IF(OR(A10&lt;&gt;"",B10&lt;&gt;""),(SUM(C10:N10)+O10)/12,"")</f>
        <v>18.0825</v>
      </c>
      <c r="Q10" s="157">
        <f>IF(OR(A10&lt;&gt;"",B10&lt;&gt;""),SUM(C10:N10)+O10,"")</f>
        <v>216.99</v>
      </c>
      <c r="R10" s="113" t="s">
        <v>8</v>
      </c>
      <c r="S10" s="156">
        <f>IF(OR(A10&lt;&gt;"",B10&lt;&gt;""),IF(R10="Sim",Q10/Config!$B$6,Q10),"")</f>
        <v>108.495</v>
      </c>
      <c r="T10" s="156">
        <f>IF(OR(A10&lt;&gt;"",B10&lt;&gt;""),IF(R10="Sim",P10/Config!$B$6,P10),"")</f>
        <v>9.0412499999999998</v>
      </c>
      <c r="U10" t="s">
        <v>269</v>
      </c>
      <c r="V10" s="42" t="s">
        <v>2193</v>
      </c>
      <c r="W10" s="5" t="s">
        <v>1189</v>
      </c>
      <c r="X10" s="46" t="s">
        <v>2127</v>
      </c>
      <c r="Y10" s="46"/>
      <c r="Z10" s="46"/>
      <c r="AA10" s="46"/>
      <c r="AB10" s="46"/>
      <c r="AC10" s="46"/>
      <c r="AD10" s="46"/>
      <c r="AE10" s="46"/>
      <c r="AF10" s="46"/>
      <c r="AG10" s="46"/>
      <c r="AH10" s="46"/>
      <c r="AI10" s="46"/>
      <c r="AJ10" s="46"/>
      <c r="AK10" s="46"/>
      <c r="AL10" s="46"/>
      <c r="AM10" s="46"/>
      <c r="AN10" s="46"/>
      <c r="AO10" s="46"/>
      <c r="AP10" s="46"/>
      <c r="AQ10" s="46"/>
      <c r="AR10" s="46"/>
      <c r="AS10" s="46"/>
      <c r="AT10" s="46"/>
      <c r="AU10" s="46"/>
      <c r="AV10" s="46"/>
      <c r="AW10" s="46"/>
      <c r="AX10" s="46"/>
      <c r="AY10" s="46"/>
      <c r="AZ10" s="46"/>
    </row>
    <row r="11" spans="1:52" ht="15.75" customHeight="1" x14ac:dyDescent="0.25">
      <c r="A11" s="5" t="s">
        <v>6</v>
      </c>
      <c r="B11" s="5" t="s">
        <v>14</v>
      </c>
      <c r="C11" s="156"/>
      <c r="D11" s="156"/>
      <c r="E11" s="156"/>
      <c r="F11" s="156">
        <v>169.7</v>
      </c>
      <c r="G11" s="156"/>
      <c r="H11" s="156">
        <v>99</v>
      </c>
      <c r="I11" s="156">
        <v>99</v>
      </c>
      <c r="J11" s="156">
        <v>99</v>
      </c>
      <c r="K11" s="156">
        <v>99</v>
      </c>
      <c r="L11" s="156">
        <v>99</v>
      </c>
      <c r="M11" s="156">
        <v>99</v>
      </c>
      <c r="N11" s="156"/>
      <c r="O11" s="156"/>
      <c r="P11" s="156">
        <f>IF(OR(A11&lt;&gt;"",B11&lt;&gt;""),(SUM(C11:N11)+O11)/12,"")</f>
        <v>63.641666666666673</v>
      </c>
      <c r="Q11" s="157">
        <f>IF(OR(A11&lt;&gt;"",B11&lt;&gt;""),SUM(C11:N11)+O11,"")</f>
        <v>763.7</v>
      </c>
      <c r="R11" s="113" t="s">
        <v>8</v>
      </c>
      <c r="S11" s="156">
        <f>IF(OR(A11&lt;&gt;"",B11&lt;&gt;""),IF(R11="Sim",Q11/Config!$B$6,Q11),"")</f>
        <v>381.85</v>
      </c>
      <c r="T11" s="156">
        <f>IF(OR(A11&lt;&gt;"",B11&lt;&gt;""),IF(R11="Sim",P11/Config!$B$6,P11),"")</f>
        <v>31.820833333333336</v>
      </c>
      <c r="U11" t="s">
        <v>269</v>
      </c>
      <c r="V11" s="42" t="s">
        <v>2194</v>
      </c>
      <c r="W11" s="5" t="s">
        <v>1202</v>
      </c>
      <c r="X11" s="46" t="s">
        <v>2128</v>
      </c>
      <c r="Y11" s="46"/>
      <c r="Z11" s="46"/>
      <c r="AA11" s="46"/>
      <c r="AB11" s="46"/>
      <c r="AC11" s="46"/>
      <c r="AD11" s="46"/>
      <c r="AE11" s="46"/>
      <c r="AF11" s="46"/>
      <c r="AG11" s="46"/>
      <c r="AH11" s="46"/>
      <c r="AI11" s="46"/>
      <c r="AJ11" s="46"/>
      <c r="AK11" s="46"/>
      <c r="AL11" s="46"/>
      <c r="AM11" s="46"/>
      <c r="AN11" s="46"/>
      <c r="AO11" s="46"/>
      <c r="AP11" s="46"/>
      <c r="AQ11" s="46"/>
      <c r="AR11" s="46"/>
      <c r="AS11" s="46"/>
      <c r="AT11" s="46"/>
      <c r="AU11" s="46"/>
      <c r="AV11" s="46"/>
      <c r="AW11" s="46"/>
      <c r="AX11" s="46"/>
      <c r="AY11" s="46"/>
      <c r="AZ11" s="46"/>
    </row>
    <row r="12" spans="1:52" ht="15.75" customHeight="1" x14ac:dyDescent="0.25">
      <c r="A12" s="6" t="s">
        <v>15</v>
      </c>
      <c r="B12" s="6" t="s">
        <v>16</v>
      </c>
      <c r="C12" s="158"/>
      <c r="D12" s="158"/>
      <c r="E12" s="158"/>
      <c r="F12" s="158">
        <v>1726.08</v>
      </c>
      <c r="G12" s="158">
        <v>1005.98</v>
      </c>
      <c r="H12" s="158">
        <v>1661.01</v>
      </c>
      <c r="I12" s="158">
        <v>1559.25</v>
      </c>
      <c r="J12" s="158">
        <v>1775.2699999999998</v>
      </c>
      <c r="K12" s="158">
        <v>732.55</v>
      </c>
      <c r="L12" s="158">
        <v>1882.6100000000001</v>
      </c>
      <c r="M12" s="158">
        <v>415.08</v>
      </c>
      <c r="N12" s="158">
        <v>105.75</v>
      </c>
      <c r="O12" s="158"/>
      <c r="P12" s="158">
        <f>IF(OR(A12&lt;&gt;"",B12&lt;&gt;""),(SUM(C12:N12)+O12)/12,"")</f>
        <v>905.29833333333329</v>
      </c>
      <c r="Q12" s="159">
        <f>IF(OR(A12&lt;&gt;"",B12&lt;&gt;""),SUM(C12:N12)+O12,"")</f>
        <v>10863.58</v>
      </c>
      <c r="R12" s="114" t="s">
        <v>17</v>
      </c>
      <c r="S12" s="158">
        <f>IF(OR(A12&lt;&gt;"",B12&lt;&gt;""),IF(R12="Sim",Q12/Config!$B$6,Q12),"")</f>
        <v>5431.79</v>
      </c>
      <c r="T12" s="158">
        <f>IF(OR(A12&lt;&gt;"",B12&lt;&gt;""),IF(R12="Sim",P12/Config!$B$6,P12),"")</f>
        <v>452.64916666666664</v>
      </c>
      <c r="U12" t="s">
        <v>269</v>
      </c>
      <c r="V12" s="42" t="s">
        <v>2195</v>
      </c>
      <c r="W12" s="6" t="s">
        <v>2119</v>
      </c>
      <c r="X12" s="46" t="s">
        <v>2129</v>
      </c>
      <c r="Y12" s="46"/>
      <c r="Z12" s="46"/>
      <c r="AA12" s="46"/>
      <c r="AB12" s="46"/>
      <c r="AC12" s="46"/>
      <c r="AD12" s="46"/>
      <c r="AE12" s="46"/>
      <c r="AF12" s="46"/>
      <c r="AG12" s="46"/>
      <c r="AH12" s="46"/>
      <c r="AI12" s="46"/>
      <c r="AJ12" s="46"/>
      <c r="AK12" s="46"/>
      <c r="AL12" s="46"/>
      <c r="AM12" s="46"/>
      <c r="AN12" s="46"/>
      <c r="AO12" s="46"/>
      <c r="AP12" s="46"/>
      <c r="AQ12" s="46"/>
      <c r="AR12" s="46"/>
      <c r="AS12" s="46"/>
      <c r="AT12" s="46"/>
      <c r="AU12" s="46"/>
      <c r="AV12" s="46"/>
      <c r="AW12" s="46"/>
      <c r="AX12" s="46"/>
      <c r="AY12" s="46"/>
      <c r="AZ12" s="46"/>
    </row>
    <row r="13" spans="1:52" hidden="1" x14ac:dyDescent="0.25">
      <c r="A13" s="6" t="s">
        <v>15</v>
      </c>
      <c r="B13" s="6" t="s">
        <v>18</v>
      </c>
      <c r="C13" s="158"/>
      <c r="D13" s="158"/>
      <c r="E13" s="158"/>
      <c r="F13" s="158"/>
      <c r="G13" s="158"/>
      <c r="H13" s="158"/>
      <c r="I13" s="158"/>
      <c r="J13" s="158"/>
      <c r="K13" s="158"/>
      <c r="L13" s="158"/>
      <c r="M13" s="158"/>
      <c r="N13" s="158"/>
      <c r="O13" s="158"/>
      <c r="P13" s="158">
        <f>IF(OR(A13&lt;&gt;"",B13&lt;&gt;""),(SUM(C13:N13)+O13)/12,"")</f>
        <v>0</v>
      </c>
      <c r="Q13" s="158">
        <f>IF(OR(A13&lt;&gt;"",B13&lt;&gt;""),SUM(C13:N13)+O13,"")</f>
        <v>0</v>
      </c>
      <c r="R13" s="114" t="s">
        <v>17</v>
      </c>
      <c r="S13" s="158">
        <f>IF(OR(A13&lt;&gt;"",B13&lt;&gt;""),IF(R13="Sim",Q13/Config!$B$6,Q13),"")</f>
        <v>0</v>
      </c>
      <c r="T13" s="158">
        <f>IF(OR(A13&lt;&gt;"",B13&lt;&gt;""),IF(R13="Sim",P13/Config!$B$6,P13),"")</f>
        <v>0</v>
      </c>
      <c r="U13" s="21" t="s">
        <v>2189</v>
      </c>
      <c r="V13" s="6"/>
      <c r="W13" s="6"/>
      <c r="X13" s="46" t="s">
        <v>2130</v>
      </c>
      <c r="Y13" s="46"/>
      <c r="Z13" s="46"/>
      <c r="AA13" s="46"/>
      <c r="AB13" s="46"/>
      <c r="AC13" s="46"/>
      <c r="AD13" s="46"/>
      <c r="AE13" s="46"/>
      <c r="AF13" s="46"/>
      <c r="AG13" s="46"/>
      <c r="AH13" s="46"/>
      <c r="AI13" s="46"/>
      <c r="AJ13" s="46"/>
      <c r="AK13" s="46"/>
      <c r="AL13" s="46"/>
      <c r="AM13" s="46"/>
      <c r="AN13" s="46"/>
      <c r="AO13" s="46"/>
      <c r="AP13" s="46"/>
      <c r="AQ13" s="46"/>
      <c r="AR13" s="46"/>
      <c r="AS13" s="46"/>
      <c r="AT13" s="46"/>
      <c r="AU13" s="46"/>
      <c r="AV13" s="46"/>
      <c r="AW13" s="46"/>
      <c r="AX13" s="46"/>
      <c r="AY13" s="46"/>
      <c r="AZ13" s="46"/>
    </row>
    <row r="14" spans="1:52" ht="15.75" customHeight="1" x14ac:dyDescent="0.25">
      <c r="A14" s="6" t="s">
        <v>15</v>
      </c>
      <c r="B14" s="6" t="s">
        <v>19</v>
      </c>
      <c r="C14" s="158"/>
      <c r="D14" s="158"/>
      <c r="E14" s="158"/>
      <c r="F14" s="158"/>
      <c r="G14" s="158"/>
      <c r="H14" s="158"/>
      <c r="I14" s="158">
        <v>29</v>
      </c>
      <c r="J14" s="158"/>
      <c r="K14" s="158">
        <v>36.119999999999997</v>
      </c>
      <c r="L14" s="158">
        <v>182.15</v>
      </c>
      <c r="M14" s="158"/>
      <c r="N14" s="158"/>
      <c r="O14" s="158"/>
      <c r="P14" s="158">
        <f>IF(OR(A14&lt;&gt;"",B14&lt;&gt;""),(SUM(C14:N14)+O14)/12,"")</f>
        <v>20.605833333333333</v>
      </c>
      <c r="Q14" s="159">
        <f>IF(OR(A14&lt;&gt;"",B14&lt;&gt;""),SUM(C14:N14)+O14,"")</f>
        <v>247.27</v>
      </c>
      <c r="R14" s="114"/>
      <c r="S14" s="158">
        <f>IF(OR(A14&lt;&gt;"",B14&lt;&gt;""),IF(R14="Sim",Q14/Config!$B$6,Q14),"")</f>
        <v>247.27</v>
      </c>
      <c r="T14" s="158">
        <f>IF(OR(A14&lt;&gt;"",B14&lt;&gt;""),IF(R14="Sim",P14/Config!$B$6,P14),"")</f>
        <v>20.605833333333333</v>
      </c>
      <c r="U14" t="s">
        <v>269</v>
      </c>
      <c r="V14" s="42" t="s">
        <v>2196</v>
      </c>
      <c r="W14" s="6" t="s">
        <v>2046</v>
      </c>
      <c r="X14" s="46" t="s">
        <v>2131</v>
      </c>
      <c r="Y14" s="46"/>
      <c r="Z14" s="46"/>
      <c r="AA14" s="46"/>
      <c r="AB14" s="46"/>
      <c r="AC14" s="46"/>
      <c r="AD14" s="46"/>
      <c r="AE14" s="46"/>
      <c r="AF14" s="46"/>
      <c r="AG14" s="46"/>
      <c r="AH14" s="46"/>
      <c r="AI14" s="46"/>
      <c r="AJ14" s="46"/>
      <c r="AK14" s="46"/>
      <c r="AL14" s="46"/>
      <c r="AM14" s="46"/>
      <c r="AN14" s="46"/>
      <c r="AO14" s="46"/>
      <c r="AP14" s="46"/>
      <c r="AQ14" s="46"/>
      <c r="AR14" s="46"/>
      <c r="AS14" s="46"/>
      <c r="AT14" s="46"/>
      <c r="AU14" s="46"/>
      <c r="AV14" s="46"/>
      <c r="AW14" s="46"/>
      <c r="AX14" s="46"/>
      <c r="AY14" s="46"/>
      <c r="AZ14" s="46"/>
    </row>
    <row r="15" spans="1:52" ht="15.75" customHeight="1" x14ac:dyDescent="0.25">
      <c r="A15" s="7" t="s">
        <v>20</v>
      </c>
      <c r="B15" s="7" t="s">
        <v>21</v>
      </c>
      <c r="C15" s="160"/>
      <c r="D15" s="160"/>
      <c r="E15" s="160"/>
      <c r="F15" s="160">
        <v>8963.2000000000007</v>
      </c>
      <c r="G15" s="160"/>
      <c r="H15" s="160">
        <v>1797.2</v>
      </c>
      <c r="I15" s="160">
        <v>994</v>
      </c>
      <c r="J15" s="160">
        <v>994</v>
      </c>
      <c r="K15" s="160">
        <v>994</v>
      </c>
      <c r="L15" s="160">
        <v>832.29</v>
      </c>
      <c r="M15" s="160"/>
      <c r="N15" s="160"/>
      <c r="O15" s="160"/>
      <c r="P15" s="160">
        <f>IF(OR(A15&lt;&gt;"",B15&lt;&gt;""),(SUM(C15:N15)+O15)/12,"")</f>
        <v>1214.5575000000001</v>
      </c>
      <c r="Q15" s="161">
        <f>IF(OR(A15&lt;&gt;"",B15&lt;&gt;""),SUM(C15:N15)+O15,"")</f>
        <v>14574.690000000002</v>
      </c>
      <c r="R15" s="115" t="s">
        <v>1088</v>
      </c>
      <c r="S15" s="160">
        <f>IF(OR(A15&lt;&gt;"",B15&lt;&gt;""),IF(R15="Sim",Q15/Config!$B$6,Q15),"")</f>
        <v>14574.690000000002</v>
      </c>
      <c r="T15" s="160">
        <f>IF(OR(A15&lt;&gt;"",B15&lt;&gt;""),IF(R15="Sim",P15/Config!$B$6,P15),"")</f>
        <v>1214.5575000000001</v>
      </c>
      <c r="U15" t="s">
        <v>2189</v>
      </c>
      <c r="V15" s="42" t="s">
        <v>2197</v>
      </c>
      <c r="W15" s="7" t="s">
        <v>1086</v>
      </c>
      <c r="X15" s="46" t="s">
        <v>2132</v>
      </c>
      <c r="Y15" s="46"/>
      <c r="Z15" s="46"/>
      <c r="AA15" s="46"/>
      <c r="AB15" s="46"/>
      <c r="AC15" s="46"/>
      <c r="AD15" s="46"/>
      <c r="AE15" s="46"/>
      <c r="AF15" s="46"/>
      <c r="AG15" s="46"/>
      <c r="AH15" s="46"/>
      <c r="AI15" s="46"/>
      <c r="AJ15" s="46"/>
      <c r="AK15" s="46"/>
      <c r="AL15" s="46"/>
      <c r="AM15" s="46"/>
      <c r="AN15" s="46"/>
      <c r="AO15" s="46"/>
      <c r="AP15" s="46"/>
      <c r="AQ15" s="46"/>
      <c r="AR15" s="46"/>
      <c r="AS15" s="46"/>
      <c r="AT15" s="46"/>
      <c r="AU15" s="46"/>
      <c r="AV15" s="46"/>
      <c r="AW15" s="46"/>
      <c r="AX15" s="46"/>
      <c r="AY15" s="46"/>
      <c r="AZ15" s="46"/>
    </row>
    <row r="16" spans="1:52" ht="15.75" x14ac:dyDescent="0.25">
      <c r="A16" s="7" t="s">
        <v>20</v>
      </c>
      <c r="B16" s="7" t="s">
        <v>22</v>
      </c>
      <c r="C16" s="160"/>
      <c r="D16" s="160"/>
      <c r="E16" s="160"/>
      <c r="F16" s="160"/>
      <c r="G16" s="160"/>
      <c r="H16" s="160"/>
      <c r="I16" s="160"/>
      <c r="J16" s="160"/>
      <c r="K16" s="160"/>
      <c r="L16" s="160"/>
      <c r="M16" s="160"/>
      <c r="N16" s="160"/>
      <c r="O16" s="160">
        <v>2051.5</v>
      </c>
      <c r="P16" s="160">
        <f>IF(OR(A16&lt;&gt;"",B16&lt;&gt;""),(SUM(C16:N16)+O16)/12,"")</f>
        <v>170.95833333333334</v>
      </c>
      <c r="Q16" s="160">
        <f>IF(OR(A16&lt;&gt;"",B16&lt;&gt;""),SUM(C16:N16)+O16,"")</f>
        <v>2051.5</v>
      </c>
      <c r="R16" s="115"/>
      <c r="S16" s="160">
        <f>IF(OR(A16&lt;&gt;"",B16&lt;&gt;""),IF(R16="Sim",Q16/Config!$B$6,Q16),"")</f>
        <v>2051.5</v>
      </c>
      <c r="T16" s="160">
        <f>IF(OR(A16&lt;&gt;"",B16&lt;&gt;""),IF(R16="Sim",P16/Config!$B$6,P16),"")</f>
        <v>170.95833333333334</v>
      </c>
      <c r="U16" t="s">
        <v>2189</v>
      </c>
      <c r="V16" s="42" t="s">
        <v>2216</v>
      </c>
      <c r="W16" s="7" t="s">
        <v>1092</v>
      </c>
      <c r="X16" s="46" t="s">
        <v>2133</v>
      </c>
      <c r="Y16" s="46"/>
      <c r="Z16" s="46"/>
      <c r="AA16" s="46"/>
      <c r="AB16" s="46"/>
      <c r="AC16" s="46"/>
      <c r="AD16" s="46"/>
      <c r="AE16" s="46"/>
      <c r="AF16" s="46"/>
      <c r="AG16" s="46"/>
      <c r="AH16" s="46"/>
      <c r="AI16" s="46"/>
      <c r="AJ16" s="46"/>
      <c r="AK16" s="46"/>
      <c r="AL16" s="46"/>
      <c r="AM16" s="46"/>
      <c r="AN16" s="46"/>
      <c r="AO16" s="46"/>
      <c r="AP16" s="46"/>
      <c r="AQ16" s="46"/>
      <c r="AR16" s="46"/>
      <c r="AS16" s="46"/>
      <c r="AT16" s="46"/>
      <c r="AU16" s="46"/>
      <c r="AV16" s="46"/>
      <c r="AW16" s="46"/>
      <c r="AX16" s="46"/>
      <c r="AY16" s="46"/>
      <c r="AZ16" s="46"/>
    </row>
    <row r="17" spans="1:52" hidden="1" x14ac:dyDescent="0.25">
      <c r="A17" s="7" t="s">
        <v>20</v>
      </c>
      <c r="B17" s="7" t="s">
        <v>23</v>
      </c>
      <c r="C17" s="160"/>
      <c r="D17" s="160"/>
      <c r="E17" s="160"/>
      <c r="F17" s="160"/>
      <c r="G17" s="160"/>
      <c r="H17" s="160"/>
      <c r="I17" s="160"/>
      <c r="J17" s="160"/>
      <c r="K17" s="160"/>
      <c r="L17" s="160"/>
      <c r="M17" s="160"/>
      <c r="N17" s="160"/>
      <c r="O17" s="160"/>
      <c r="P17" s="160">
        <f>IF(OR(A17&lt;&gt;"",B17&lt;&gt;""),(SUM(C17:N17)+O17)/12,"")</f>
        <v>0</v>
      </c>
      <c r="Q17" s="160">
        <f>IF(OR(A17&lt;&gt;"",B17&lt;&gt;""),SUM(C17:N17)+O17,"")</f>
        <v>0</v>
      </c>
      <c r="R17" s="115"/>
      <c r="S17" s="160">
        <f>IF(OR(A17&lt;&gt;"",B17&lt;&gt;""),IF(R17="Sim",Q17/Config!$B$6,Q17),"")</f>
        <v>0</v>
      </c>
      <c r="T17" s="160">
        <f>IF(OR(A17&lt;&gt;"",B17&lt;&gt;""),IF(R17="Sim",P17/Config!$B$6,P17),"")</f>
        <v>0</v>
      </c>
      <c r="U17" s="22" t="s">
        <v>2189</v>
      </c>
      <c r="V17" s="7"/>
      <c r="W17" s="7"/>
      <c r="X17" s="46" t="s">
        <v>2134</v>
      </c>
      <c r="Y17" s="46"/>
      <c r="Z17" s="46"/>
      <c r="AA17" s="46"/>
      <c r="AB17" s="46"/>
      <c r="AC17" s="46"/>
      <c r="AD17" s="46"/>
      <c r="AE17" s="46"/>
      <c r="AF17" s="46"/>
      <c r="AG17" s="46"/>
      <c r="AH17" s="46"/>
      <c r="AI17" s="46"/>
      <c r="AJ17" s="46"/>
      <c r="AK17" s="46"/>
      <c r="AL17" s="46"/>
      <c r="AM17" s="46"/>
      <c r="AN17" s="46"/>
      <c r="AO17" s="46"/>
      <c r="AP17" s="46"/>
      <c r="AQ17" s="46"/>
      <c r="AR17" s="46"/>
      <c r="AS17" s="46"/>
      <c r="AT17" s="46"/>
      <c r="AU17" s="46"/>
      <c r="AV17" s="46"/>
      <c r="AW17" s="46"/>
      <c r="AX17" s="46"/>
      <c r="AY17" s="46"/>
      <c r="AZ17" s="46"/>
    </row>
    <row r="18" spans="1:52" ht="15.75" x14ac:dyDescent="0.25">
      <c r="A18" s="7" t="s">
        <v>20</v>
      </c>
      <c r="B18" s="7" t="s">
        <v>24</v>
      </c>
      <c r="C18" s="160"/>
      <c r="D18" s="160"/>
      <c r="E18" s="160"/>
      <c r="F18" s="160"/>
      <c r="G18" s="160"/>
      <c r="H18" s="160"/>
      <c r="I18" s="160"/>
      <c r="J18" s="160"/>
      <c r="K18" s="160"/>
      <c r="L18" s="160"/>
      <c r="M18" s="160"/>
      <c r="N18" s="160"/>
      <c r="O18" s="160">
        <v>159.80000000000001</v>
      </c>
      <c r="P18" s="160">
        <f>IF(OR(A18&lt;&gt;"",B18&lt;&gt;""),(SUM(C18:N18)+O18)/12,"")</f>
        <v>13.316666666666668</v>
      </c>
      <c r="Q18" s="160">
        <f>IF(OR(A18&lt;&gt;"",B18&lt;&gt;""),SUM(C18:N18)+O18,"")</f>
        <v>159.80000000000001</v>
      </c>
      <c r="R18" s="115"/>
      <c r="S18" s="160">
        <f>IF(OR(A18&lt;&gt;"",B18&lt;&gt;""),IF(R18="Sim",Q18/Config!$B$6,Q18),"")</f>
        <v>159.80000000000001</v>
      </c>
      <c r="T18" s="160">
        <f>IF(OR(A18&lt;&gt;"",B18&lt;&gt;""),IF(R18="Sim",P18/Config!$B$6,P18),"")</f>
        <v>13.316666666666668</v>
      </c>
      <c r="U18" t="s">
        <v>2189</v>
      </c>
      <c r="V18" s="42" t="s">
        <v>2217</v>
      </c>
      <c r="W18" s="7" t="s">
        <v>1091</v>
      </c>
      <c r="X18" s="46" t="s">
        <v>2135</v>
      </c>
      <c r="Y18" s="46"/>
      <c r="Z18" s="46"/>
      <c r="AA18" s="46"/>
      <c r="AB18" s="46"/>
      <c r="AC18" s="46"/>
      <c r="AD18" s="46"/>
      <c r="AE18" s="46"/>
      <c r="AF18" s="46"/>
      <c r="AG18" s="46"/>
      <c r="AH18" s="46"/>
      <c r="AI18" s="46"/>
      <c r="AJ18" s="46"/>
      <c r="AK18" s="46"/>
      <c r="AL18" s="46"/>
      <c r="AM18" s="46"/>
      <c r="AN18" s="46"/>
      <c r="AO18" s="46"/>
      <c r="AP18" s="46"/>
      <c r="AQ18" s="46"/>
      <c r="AR18" s="46"/>
      <c r="AS18" s="46"/>
      <c r="AT18" s="46"/>
      <c r="AU18" s="46"/>
      <c r="AV18" s="46"/>
      <c r="AW18" s="46"/>
      <c r="AX18" s="46"/>
      <c r="AY18" s="46"/>
      <c r="AZ18" s="46"/>
    </row>
    <row r="19" spans="1:52" ht="15.75" customHeight="1" x14ac:dyDescent="0.25">
      <c r="A19" s="7" t="s">
        <v>20</v>
      </c>
      <c r="B19" s="7" t="s">
        <v>25</v>
      </c>
      <c r="C19" s="160"/>
      <c r="D19" s="160"/>
      <c r="E19" s="160"/>
      <c r="F19" s="160"/>
      <c r="G19" s="160"/>
      <c r="H19" s="160"/>
      <c r="I19" s="160"/>
      <c r="J19" s="160"/>
      <c r="K19" s="160"/>
      <c r="L19" s="160"/>
      <c r="M19" s="160"/>
      <c r="N19" s="160"/>
      <c r="O19" s="160">
        <v>157.19999999999999</v>
      </c>
      <c r="P19" s="160">
        <f>IF(OR(A19&lt;&gt;"",B19&lt;&gt;""),(SUM(C19:N19)+O19)/12,"")</f>
        <v>13.1</v>
      </c>
      <c r="Q19" s="161">
        <f>IF(OR(A19&lt;&gt;"",B19&lt;&gt;""),SUM(C19:N19)+O19,"")</f>
        <v>157.19999999999999</v>
      </c>
      <c r="R19" s="115" t="s">
        <v>1088</v>
      </c>
      <c r="S19" s="160">
        <f>IF(OR(A19&lt;&gt;"",B19&lt;&gt;""),IF(R19="Sim",Q19/Config!$B$6,Q19),"")</f>
        <v>157.19999999999999</v>
      </c>
      <c r="T19" s="160">
        <f>IF(OR(A19&lt;&gt;"",B19&lt;&gt;""),IF(R19="Sim",P19/Config!$B$6,P19),"")</f>
        <v>13.1</v>
      </c>
      <c r="U19" t="s">
        <v>269</v>
      </c>
      <c r="V19" s="42" t="s">
        <v>2198</v>
      </c>
      <c r="W19" s="7" t="s">
        <v>1082</v>
      </c>
      <c r="X19" s="46" t="s">
        <v>2136</v>
      </c>
      <c r="Y19" s="46"/>
      <c r="Z19" s="46"/>
      <c r="AA19" s="46"/>
      <c r="AB19" s="46"/>
      <c r="AC19" s="46"/>
      <c r="AD19" s="46"/>
      <c r="AE19" s="46"/>
      <c r="AF19" s="46"/>
      <c r="AG19" s="46"/>
      <c r="AH19" s="46"/>
      <c r="AI19" s="46"/>
      <c r="AJ19" s="46"/>
      <c r="AK19" s="46"/>
      <c r="AL19" s="46"/>
      <c r="AM19" s="46"/>
      <c r="AN19" s="46"/>
      <c r="AO19" s="46"/>
      <c r="AP19" s="46"/>
      <c r="AQ19" s="46"/>
      <c r="AR19" s="46"/>
      <c r="AS19" s="46"/>
      <c r="AT19" s="46"/>
      <c r="AU19" s="46"/>
      <c r="AV19" s="46"/>
      <c r="AW19" s="46"/>
      <c r="AX19" s="46"/>
      <c r="AY19" s="46"/>
      <c r="AZ19" s="46"/>
    </row>
    <row r="20" spans="1:52" hidden="1" x14ac:dyDescent="0.25">
      <c r="A20" s="7" t="s">
        <v>20</v>
      </c>
      <c r="B20" s="7" t="s">
        <v>26</v>
      </c>
      <c r="C20" s="160"/>
      <c r="D20" s="160"/>
      <c r="E20" s="160"/>
      <c r="F20" s="160"/>
      <c r="G20" s="160"/>
      <c r="H20" s="160"/>
      <c r="I20" s="160"/>
      <c r="J20" s="160"/>
      <c r="K20" s="160"/>
      <c r="L20" s="160"/>
      <c r="M20" s="160"/>
      <c r="N20" s="160"/>
      <c r="O20" s="160"/>
      <c r="P20" s="160">
        <f>IF(OR(A20&lt;&gt;"",B20&lt;&gt;""),(SUM(C20:N20)+O20)/12,"")</f>
        <v>0</v>
      </c>
      <c r="Q20" s="160">
        <f>IF(OR(A20&lt;&gt;"",B20&lt;&gt;""),SUM(C20:N20)+O20,"")</f>
        <v>0</v>
      </c>
      <c r="R20" s="115"/>
      <c r="S20" s="160">
        <f>IF(OR(A20&lt;&gt;"",B20&lt;&gt;""),IF(R20="Sim",Q20/Config!$B$6,Q20),"")</f>
        <v>0</v>
      </c>
      <c r="T20" s="160">
        <f>IF(OR(A20&lt;&gt;"",B20&lt;&gt;""),IF(R20="Sim",P20/Config!$B$6,P20),"")</f>
        <v>0</v>
      </c>
      <c r="U20" s="22" t="s">
        <v>2189</v>
      </c>
      <c r="V20" s="7"/>
      <c r="W20" s="7"/>
      <c r="X20" s="46" t="s">
        <v>2137</v>
      </c>
      <c r="Y20" s="46"/>
      <c r="Z20" s="46"/>
      <c r="AA20" s="46"/>
      <c r="AB20" s="46"/>
      <c r="AC20" s="46"/>
      <c r="AD20" s="46"/>
      <c r="AE20" s="46"/>
      <c r="AF20" s="46"/>
      <c r="AG20" s="46"/>
      <c r="AH20" s="46"/>
      <c r="AI20" s="46"/>
      <c r="AJ20" s="46"/>
      <c r="AK20" s="46"/>
      <c r="AL20" s="46"/>
      <c r="AM20" s="46"/>
      <c r="AN20" s="46"/>
      <c r="AO20" s="46"/>
      <c r="AP20" s="46"/>
      <c r="AQ20" s="46"/>
      <c r="AR20" s="46"/>
      <c r="AS20" s="46"/>
      <c r="AT20" s="46"/>
      <c r="AU20" s="46"/>
      <c r="AV20" s="46"/>
      <c r="AW20" s="46"/>
      <c r="AX20" s="46"/>
      <c r="AY20" s="46"/>
      <c r="AZ20" s="46"/>
    </row>
    <row r="21" spans="1:52" hidden="1" x14ac:dyDescent="0.25">
      <c r="A21" s="7" t="s">
        <v>20</v>
      </c>
      <c r="B21" s="7" t="s">
        <v>27</v>
      </c>
      <c r="C21" s="160"/>
      <c r="D21" s="160"/>
      <c r="E21" s="160"/>
      <c r="F21" s="160"/>
      <c r="G21" s="160"/>
      <c r="H21" s="160"/>
      <c r="I21" s="160"/>
      <c r="J21" s="160"/>
      <c r="K21" s="160"/>
      <c r="L21" s="160"/>
      <c r="M21" s="160"/>
      <c r="N21" s="160"/>
      <c r="O21" s="160"/>
      <c r="P21" s="160">
        <f>IF(OR(A21&lt;&gt;"",B21&lt;&gt;""),(SUM(C21:N21)+O21)/12,"")</f>
        <v>0</v>
      </c>
      <c r="Q21" s="160">
        <f>IF(OR(A21&lt;&gt;"",B21&lt;&gt;""),SUM(C21:N21)+O21,"")</f>
        <v>0</v>
      </c>
      <c r="R21" s="115"/>
      <c r="S21" s="160">
        <f>IF(OR(A21&lt;&gt;"",B21&lt;&gt;""),IF(R21="Sim",Q21/Config!$B$6,Q21),"")</f>
        <v>0</v>
      </c>
      <c r="T21" s="160">
        <f>IF(OR(A21&lt;&gt;"",B21&lt;&gt;""),IF(R21="Sim",P21/Config!$B$6,P21),"")</f>
        <v>0</v>
      </c>
      <c r="U21" s="22" t="s">
        <v>2189</v>
      </c>
      <c r="V21" s="7"/>
      <c r="W21" s="7"/>
      <c r="X21" s="46" t="s">
        <v>2138</v>
      </c>
      <c r="Y21" s="46"/>
      <c r="Z21" s="46"/>
      <c r="AA21" s="46"/>
      <c r="AB21" s="46"/>
      <c r="AC21" s="46"/>
      <c r="AD21" s="46"/>
      <c r="AE21" s="46"/>
      <c r="AF21" s="46"/>
      <c r="AG21" s="46"/>
      <c r="AH21" s="46"/>
      <c r="AI21" s="46"/>
      <c r="AJ21" s="46"/>
      <c r="AK21" s="46"/>
      <c r="AL21" s="46"/>
      <c r="AM21" s="46"/>
      <c r="AN21" s="46"/>
      <c r="AO21" s="46"/>
      <c r="AP21" s="46"/>
      <c r="AQ21" s="46"/>
      <c r="AR21" s="46"/>
      <c r="AS21" s="46"/>
      <c r="AT21" s="46"/>
      <c r="AU21" s="46"/>
      <c r="AV21" s="46"/>
      <c r="AW21" s="46"/>
      <c r="AX21" s="46"/>
      <c r="AY21" s="46"/>
      <c r="AZ21" s="46"/>
    </row>
    <row r="22" spans="1:52" ht="15.75" customHeight="1" x14ac:dyDescent="0.25">
      <c r="A22" s="7" t="s">
        <v>20</v>
      </c>
      <c r="B22" s="7" t="s">
        <v>28</v>
      </c>
      <c r="C22" s="160"/>
      <c r="D22" s="160"/>
      <c r="E22" s="160"/>
      <c r="F22" s="160"/>
      <c r="G22" s="160"/>
      <c r="H22" s="160"/>
      <c r="I22" s="160"/>
      <c r="J22" s="160"/>
      <c r="K22" s="160"/>
      <c r="L22" s="160"/>
      <c r="M22" s="160"/>
      <c r="N22" s="160"/>
      <c r="O22" s="160">
        <v>85</v>
      </c>
      <c r="P22" s="160">
        <f>IF(OR(A22&lt;&gt;"",B22&lt;&gt;""),(SUM(C22:N22)+O22)/12,"")</f>
        <v>7.083333333333333</v>
      </c>
      <c r="Q22" s="161">
        <f>IF(OR(A22&lt;&gt;"",B22&lt;&gt;""),SUM(C22:N22)+O22,"")</f>
        <v>85</v>
      </c>
      <c r="R22" s="115" t="s">
        <v>1088</v>
      </c>
      <c r="S22" s="160">
        <f>IF(OR(A22&lt;&gt;"",B22&lt;&gt;""),IF(R22="Sim",Q22/Config!$B$6,Q22),"")</f>
        <v>85</v>
      </c>
      <c r="T22" s="160">
        <f>IF(OR(A22&lt;&gt;"",B22&lt;&gt;""),IF(R22="Sim",P22/Config!$B$6,P22),"")</f>
        <v>7.083333333333333</v>
      </c>
      <c r="U22" t="s">
        <v>269</v>
      </c>
      <c r="V22" s="42" t="s">
        <v>2199</v>
      </c>
      <c r="W22" s="7" t="s">
        <v>1071</v>
      </c>
      <c r="X22" s="46" t="s">
        <v>2139</v>
      </c>
      <c r="Y22" s="46"/>
      <c r="Z22" s="46"/>
      <c r="AA22" s="46"/>
      <c r="AB22" s="46"/>
      <c r="AC22" s="46"/>
      <c r="AD22" s="46"/>
      <c r="AE22" s="46"/>
      <c r="AF22" s="46"/>
      <c r="AG22" s="46"/>
      <c r="AH22" s="46"/>
      <c r="AI22" s="46"/>
      <c r="AJ22" s="46"/>
      <c r="AK22" s="46"/>
      <c r="AL22" s="46"/>
      <c r="AM22" s="46"/>
      <c r="AN22" s="46"/>
      <c r="AO22" s="46"/>
      <c r="AP22" s="46"/>
      <c r="AQ22" s="46"/>
      <c r="AR22" s="46"/>
      <c r="AS22" s="46"/>
      <c r="AT22" s="46"/>
      <c r="AU22" s="46"/>
      <c r="AV22" s="46"/>
      <c r="AW22" s="46"/>
      <c r="AX22" s="46"/>
      <c r="AY22" s="46"/>
      <c r="AZ22" s="46"/>
    </row>
    <row r="23" spans="1:52" hidden="1" x14ac:dyDescent="0.25">
      <c r="A23" s="7" t="s">
        <v>20</v>
      </c>
      <c r="B23" s="7" t="s">
        <v>29</v>
      </c>
      <c r="C23" s="160"/>
      <c r="D23" s="160"/>
      <c r="E23" s="160"/>
      <c r="F23" s="160"/>
      <c r="G23" s="160"/>
      <c r="H23" s="160"/>
      <c r="I23" s="160"/>
      <c r="J23" s="160"/>
      <c r="K23" s="160"/>
      <c r="L23" s="160"/>
      <c r="M23" s="160"/>
      <c r="N23" s="160"/>
      <c r="O23" s="160"/>
      <c r="P23" s="160">
        <f>IF(OR(A23&lt;&gt;"",B23&lt;&gt;""),(SUM(C23:N23)+O23)/12,"")</f>
        <v>0</v>
      </c>
      <c r="Q23" s="160">
        <f>IF(OR(A23&lt;&gt;"",B23&lt;&gt;""),SUM(C23:N23)+O23,"")</f>
        <v>0</v>
      </c>
      <c r="R23" s="115"/>
      <c r="S23" s="160">
        <f>IF(OR(A23&lt;&gt;"",B23&lt;&gt;""),IF(R23="Sim",Q23/Config!$B$6,Q23),"")</f>
        <v>0</v>
      </c>
      <c r="T23" s="160">
        <f>IF(OR(A23&lt;&gt;"",B23&lt;&gt;""),IF(R23="Sim",P23/Config!$B$6,P23),"")</f>
        <v>0</v>
      </c>
      <c r="U23" s="22" t="s">
        <v>2189</v>
      </c>
      <c r="V23" s="7"/>
      <c r="W23" s="7"/>
      <c r="X23" s="46" t="s">
        <v>2140</v>
      </c>
      <c r="Y23" s="46"/>
      <c r="Z23" s="46"/>
      <c r="AA23" s="46"/>
      <c r="AB23" s="46"/>
      <c r="AC23" s="46"/>
      <c r="AD23" s="46"/>
      <c r="AE23" s="46"/>
      <c r="AF23" s="46"/>
      <c r="AG23" s="46"/>
      <c r="AH23" s="46"/>
      <c r="AI23" s="46"/>
      <c r="AJ23" s="46"/>
      <c r="AK23" s="46"/>
      <c r="AL23" s="46"/>
      <c r="AM23" s="46"/>
      <c r="AN23" s="46"/>
      <c r="AO23" s="46"/>
      <c r="AP23" s="46"/>
      <c r="AQ23" s="46"/>
      <c r="AR23" s="46"/>
      <c r="AS23" s="46"/>
      <c r="AT23" s="46"/>
      <c r="AU23" s="46"/>
      <c r="AV23" s="46"/>
      <c r="AW23" s="46"/>
      <c r="AX23" s="46"/>
      <c r="AY23" s="46"/>
      <c r="AZ23" s="46"/>
    </row>
    <row r="24" spans="1:52" ht="15.75" x14ac:dyDescent="0.25">
      <c r="A24" s="7" t="s">
        <v>20</v>
      </c>
      <c r="B24" s="7" t="s">
        <v>59</v>
      </c>
      <c r="C24" s="160">
        <v>2859.9</v>
      </c>
      <c r="D24" s="160"/>
      <c r="E24" s="160"/>
      <c r="F24" s="160"/>
      <c r="G24" s="160">
        <v>87.5</v>
      </c>
      <c r="H24" s="160">
        <v>350</v>
      </c>
      <c r="I24" s="160">
        <v>262.5</v>
      </c>
      <c r="J24" s="160">
        <v>350</v>
      </c>
      <c r="K24" s="160">
        <v>475</v>
      </c>
      <c r="L24" s="160">
        <v>550</v>
      </c>
      <c r="M24" s="160">
        <v>300</v>
      </c>
      <c r="N24" s="160">
        <v>425</v>
      </c>
      <c r="O24" s="160"/>
      <c r="P24" s="160">
        <f>IF(OR(A24&lt;&gt;"",B24&lt;&gt;""),(SUM(C24:N24)+O24)/12,"")</f>
        <v>471.6583333333333</v>
      </c>
      <c r="Q24" s="161">
        <f>IF(OR(A24&lt;&gt;"",B24&lt;&gt;""),SUM(C24:N24)+O24,"")</f>
        <v>5659.9</v>
      </c>
      <c r="R24" s="115" t="s">
        <v>70</v>
      </c>
      <c r="S24" s="160">
        <f>IF(OR(A24&lt;&gt;"",B24&lt;&gt;""),IF(R24="Sim",Q24/Config!$B$6,Q24),"")</f>
        <v>5659.9</v>
      </c>
      <c r="T24" s="160">
        <f>IF(OR(A24&lt;&gt;"",B24&lt;&gt;""),IF(R24="Sim",P24/Config!$B$6,P24),"")</f>
        <v>471.6583333333333</v>
      </c>
      <c r="U24" t="s">
        <v>2189</v>
      </c>
      <c r="V24" s="42" t="s">
        <v>2358</v>
      </c>
      <c r="W24" s="64" t="s">
        <v>1087</v>
      </c>
      <c r="X24" s="46" t="s">
        <v>2141</v>
      </c>
      <c r="Y24" s="46"/>
      <c r="Z24" s="46"/>
      <c r="AA24" s="46"/>
      <c r="AB24" s="46"/>
      <c r="AC24" s="46"/>
      <c r="AD24" s="46"/>
      <c r="AE24" s="46"/>
      <c r="AF24" s="46"/>
      <c r="AG24" s="46"/>
      <c r="AH24" s="46"/>
      <c r="AI24" s="46"/>
      <c r="AJ24" s="46"/>
      <c r="AK24" s="46"/>
      <c r="AL24" s="46"/>
      <c r="AM24" s="46"/>
      <c r="AN24" s="46"/>
      <c r="AO24" s="46"/>
      <c r="AP24" s="46"/>
      <c r="AQ24" s="46"/>
      <c r="AR24" s="46"/>
      <c r="AS24" s="46"/>
      <c r="AT24" s="46"/>
      <c r="AU24" s="46"/>
      <c r="AV24" s="46"/>
      <c r="AW24" s="46"/>
      <c r="AX24" s="46"/>
      <c r="AY24" s="46"/>
      <c r="AZ24" s="46"/>
    </row>
    <row r="25" spans="1:52" hidden="1" x14ac:dyDescent="0.25">
      <c r="A25" s="8" t="s">
        <v>30</v>
      </c>
      <c r="B25" s="8" t="s">
        <v>31</v>
      </c>
      <c r="C25" s="162"/>
      <c r="D25" s="162"/>
      <c r="E25" s="162"/>
      <c r="F25" s="162"/>
      <c r="G25" s="162"/>
      <c r="H25" s="162"/>
      <c r="I25" s="162"/>
      <c r="J25" s="162"/>
      <c r="K25" s="162"/>
      <c r="L25" s="162"/>
      <c r="M25" s="162"/>
      <c r="N25" s="162"/>
      <c r="O25" s="162"/>
      <c r="P25" s="162">
        <f>IF(OR(A25&lt;&gt;"",B25&lt;&gt;""),(SUM(C25:N25)+O25)/12,"")</f>
        <v>0</v>
      </c>
      <c r="Q25" s="162">
        <f>IF(OR(A25&lt;&gt;"",B25&lt;&gt;""),SUM(C25:N25)+O25,"")</f>
        <v>0</v>
      </c>
      <c r="R25" s="116"/>
      <c r="S25" s="162">
        <f>IF(OR(A25&lt;&gt;"",B25&lt;&gt;""),IF(R25="Sim",Q25/Config!$B$6,Q25),"")</f>
        <v>0</v>
      </c>
      <c r="T25" s="162">
        <f>IF(OR(A25&lt;&gt;"",B25&lt;&gt;""),IF(R25="Sim",P25/Config!$B$6,P25),"")</f>
        <v>0</v>
      </c>
      <c r="U25" s="23" t="s">
        <v>2189</v>
      </c>
      <c r="V25" s="8"/>
      <c r="W25" s="8"/>
      <c r="X25" s="46" t="s">
        <v>2142</v>
      </c>
      <c r="Y25" s="46"/>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row>
    <row r="26" spans="1:52" hidden="1" x14ac:dyDescent="0.25">
      <c r="A26" s="8" t="s">
        <v>30</v>
      </c>
      <c r="B26" s="8" t="s">
        <v>32</v>
      </c>
      <c r="C26" s="162"/>
      <c r="D26" s="162"/>
      <c r="E26" s="162"/>
      <c r="F26" s="162"/>
      <c r="G26" s="162"/>
      <c r="H26" s="162"/>
      <c r="I26" s="162"/>
      <c r="J26" s="162"/>
      <c r="K26" s="162"/>
      <c r="L26" s="162"/>
      <c r="M26" s="162"/>
      <c r="N26" s="162"/>
      <c r="O26" s="162"/>
      <c r="P26" s="162">
        <f>IF(OR(A26&lt;&gt;"",B26&lt;&gt;""),(SUM(C26:N26)+O26)/12,"")</f>
        <v>0</v>
      </c>
      <c r="Q26" s="162">
        <f>IF(OR(A26&lt;&gt;"",B26&lt;&gt;""),SUM(C26:N26)+O26,"")</f>
        <v>0</v>
      </c>
      <c r="R26" s="116"/>
      <c r="S26" s="162">
        <f>IF(OR(A26&lt;&gt;"",B26&lt;&gt;""),IF(R26="Sim",Q26/Config!$B$6,Q26),"")</f>
        <v>0</v>
      </c>
      <c r="T26" s="162">
        <f>IF(OR(A26&lt;&gt;"",B26&lt;&gt;""),IF(R26="Sim",P26/Config!$B$6,P26),"")</f>
        <v>0</v>
      </c>
      <c r="U26" s="23" t="s">
        <v>2189</v>
      </c>
      <c r="V26" s="8"/>
      <c r="W26" s="8"/>
      <c r="X26" s="46" t="s">
        <v>2143</v>
      </c>
      <c r="Y26" s="46"/>
      <c r="Z26" s="46"/>
      <c r="AA26" s="46"/>
      <c r="AB26" s="46"/>
      <c r="AC26" s="46"/>
      <c r="AD26" s="46"/>
      <c r="AE26" s="46"/>
      <c r="AF26" s="46"/>
      <c r="AG26" s="46"/>
      <c r="AH26" s="46"/>
      <c r="AI26" s="46"/>
      <c r="AJ26" s="46"/>
      <c r="AK26" s="46"/>
      <c r="AL26" s="46"/>
      <c r="AM26" s="46"/>
      <c r="AN26" s="46"/>
      <c r="AO26" s="46"/>
      <c r="AP26" s="46"/>
      <c r="AQ26" s="46"/>
      <c r="AR26" s="46"/>
      <c r="AS26" s="46"/>
      <c r="AT26" s="46"/>
      <c r="AU26" s="46"/>
      <c r="AV26" s="46"/>
      <c r="AW26" s="46"/>
      <c r="AX26" s="46"/>
      <c r="AY26" s="46"/>
      <c r="AZ26" s="46"/>
    </row>
    <row r="27" spans="1:52" ht="15.75" customHeight="1" x14ac:dyDescent="0.25">
      <c r="A27" s="8" t="s">
        <v>30</v>
      </c>
      <c r="B27" s="8" t="s">
        <v>33</v>
      </c>
      <c r="C27" s="162"/>
      <c r="D27" s="162"/>
      <c r="E27" s="162"/>
      <c r="F27" s="162"/>
      <c r="G27" s="162"/>
      <c r="H27" s="162">
        <v>186.12</v>
      </c>
      <c r="I27" s="162"/>
      <c r="J27" s="162">
        <v>3.5</v>
      </c>
      <c r="K27" s="162">
        <v>11.99</v>
      </c>
      <c r="L27" s="162"/>
      <c r="M27" s="162">
        <v>98</v>
      </c>
      <c r="N27" s="162">
        <v>180</v>
      </c>
      <c r="O27" s="162"/>
      <c r="P27" s="162">
        <f>IF(OR(A27&lt;&gt;"",B27&lt;&gt;""),(SUM(C27:N27)+O27)/12,"")</f>
        <v>39.967500000000001</v>
      </c>
      <c r="Q27" s="163">
        <f>IF(OR(A27&lt;&gt;"",B27&lt;&gt;""),SUM(C27:N27)+O27,"")</f>
        <v>479.61</v>
      </c>
      <c r="R27" s="116" t="s">
        <v>1088</v>
      </c>
      <c r="S27" s="162">
        <f>IF(OR(A27&lt;&gt;"",B27&lt;&gt;""),IF(R27="Sim",Q27/Config!$B$6,Q27),"")</f>
        <v>479.61</v>
      </c>
      <c r="T27" s="162">
        <f>IF(OR(A27&lt;&gt;"",B27&lt;&gt;""),IF(R27="Sim",P27/Config!$B$6,P27),"")</f>
        <v>39.967500000000001</v>
      </c>
      <c r="U27" t="s">
        <v>269</v>
      </c>
      <c r="V27" s="42" t="s">
        <v>2320</v>
      </c>
      <c r="W27" s="8" t="s">
        <v>312</v>
      </c>
      <c r="X27" s="46" t="s">
        <v>2144</v>
      </c>
      <c r="Y27" s="46"/>
      <c r="Z27" s="46"/>
      <c r="AA27" s="46"/>
      <c r="AB27" s="46"/>
      <c r="AC27" s="46"/>
      <c r="AD27" s="46"/>
      <c r="AE27" s="46"/>
      <c r="AF27" s="46"/>
      <c r="AG27" s="46"/>
      <c r="AH27" s="46"/>
      <c r="AI27" s="46"/>
      <c r="AJ27" s="46"/>
      <c r="AK27" s="46"/>
      <c r="AL27" s="46"/>
      <c r="AM27" s="46"/>
      <c r="AN27" s="46"/>
      <c r="AO27" s="46"/>
      <c r="AP27" s="46"/>
      <c r="AQ27" s="46"/>
      <c r="AR27" s="46"/>
      <c r="AS27" s="46"/>
      <c r="AT27" s="46"/>
      <c r="AU27" s="46"/>
      <c r="AV27" s="46"/>
      <c r="AW27" s="46"/>
      <c r="AX27" s="46"/>
      <c r="AY27" s="46"/>
      <c r="AZ27" s="46"/>
    </row>
    <row r="28" spans="1:52" ht="15.75" customHeight="1" x14ac:dyDescent="0.25">
      <c r="A28" s="8" t="s">
        <v>30</v>
      </c>
      <c r="B28" s="8" t="s">
        <v>34</v>
      </c>
      <c r="C28" s="162"/>
      <c r="D28" s="162"/>
      <c r="E28" s="162"/>
      <c r="F28" s="162">
        <v>130.94999999999999</v>
      </c>
      <c r="G28" s="162">
        <v>162.38</v>
      </c>
      <c r="H28" s="162">
        <v>425.46000000000004</v>
      </c>
      <c r="I28" s="162">
        <v>200.89</v>
      </c>
      <c r="J28" s="162">
        <v>94.859999999999985</v>
      </c>
      <c r="K28" s="162">
        <v>218.97</v>
      </c>
      <c r="L28" s="162">
        <v>203.46999999999997</v>
      </c>
      <c r="M28" s="162">
        <v>41.36</v>
      </c>
      <c r="N28" s="162"/>
      <c r="O28" s="162"/>
      <c r="P28" s="162">
        <f>IF(OR(A28&lt;&gt;"",B28&lt;&gt;""),(SUM(C28:N28)+O28)/12,"")</f>
        <v>123.19499999999999</v>
      </c>
      <c r="Q28" s="163">
        <f>IF(OR(A28&lt;&gt;"",B28&lt;&gt;""),SUM(C28:N28)+O28,"")</f>
        <v>1478.34</v>
      </c>
      <c r="R28" s="116" t="s">
        <v>1089</v>
      </c>
      <c r="S28" s="162">
        <f>IF(OR(A28&lt;&gt;"",B28&lt;&gt;""),IF(R28="Sim",Q28/Config!$B$6,Q28),"")</f>
        <v>1478.34</v>
      </c>
      <c r="T28" s="162">
        <f>IF(OR(A28&lt;&gt;"",B28&lt;&gt;""),IF(R28="Sim",P28/Config!$B$6,P28),"")</f>
        <v>123.19499999999999</v>
      </c>
      <c r="U28" t="s">
        <v>2189</v>
      </c>
      <c r="V28" s="42" t="s">
        <v>2321</v>
      </c>
      <c r="W28" s="8" t="s">
        <v>324</v>
      </c>
      <c r="X28" s="46" t="s">
        <v>2145</v>
      </c>
      <c r="Y28" s="46"/>
      <c r="Z28" s="46"/>
      <c r="AA28" s="46"/>
      <c r="AB28" s="46"/>
      <c r="AC28" s="46"/>
      <c r="AD28" s="46"/>
      <c r="AE28" s="46"/>
      <c r="AF28" s="46"/>
      <c r="AG28" s="46"/>
      <c r="AH28" s="46"/>
      <c r="AI28" s="46"/>
      <c r="AJ28" s="46"/>
      <c r="AK28" s="46"/>
      <c r="AL28" s="46"/>
      <c r="AM28" s="46"/>
      <c r="AN28" s="46"/>
      <c r="AO28" s="46"/>
      <c r="AP28" s="46"/>
      <c r="AQ28" s="46"/>
      <c r="AR28" s="46"/>
      <c r="AS28" s="46"/>
      <c r="AT28" s="46"/>
      <c r="AU28" s="46"/>
      <c r="AV28" s="46"/>
      <c r="AW28" s="46"/>
      <c r="AX28" s="46"/>
      <c r="AY28" s="46"/>
      <c r="AZ28" s="46"/>
    </row>
    <row r="29" spans="1:52" hidden="1" x14ac:dyDescent="0.25">
      <c r="A29" s="8" t="s">
        <v>30</v>
      </c>
      <c r="B29" s="8" t="s">
        <v>35</v>
      </c>
      <c r="C29" s="162"/>
      <c r="D29" s="162"/>
      <c r="E29" s="162"/>
      <c r="F29" s="162"/>
      <c r="G29" s="162"/>
      <c r="H29" s="162"/>
      <c r="I29" s="162"/>
      <c r="J29" s="162"/>
      <c r="K29" s="162"/>
      <c r="L29" s="162"/>
      <c r="M29" s="162"/>
      <c r="N29" s="162"/>
      <c r="O29" s="162"/>
      <c r="P29" s="162">
        <f>IF(OR(A29&lt;&gt;"",B29&lt;&gt;""),(SUM(C29:N29)+O29)/12,"")</f>
        <v>0</v>
      </c>
      <c r="Q29" s="162">
        <f>IF(OR(A29&lt;&gt;"",B29&lt;&gt;""),SUM(C29:N29)+O29,"")</f>
        <v>0</v>
      </c>
      <c r="R29" s="116"/>
      <c r="S29" s="162">
        <f>IF(OR(A29&lt;&gt;"",B29&lt;&gt;""),IF(R29="Sim",Q29/Config!$B$6,Q29),"")</f>
        <v>0</v>
      </c>
      <c r="T29" s="162">
        <f>IF(OR(A29&lt;&gt;"",B29&lt;&gt;""),IF(R29="Sim",P29/Config!$B$6,P29),"")</f>
        <v>0</v>
      </c>
      <c r="U29" s="23" t="s">
        <v>2189</v>
      </c>
      <c r="V29" s="8"/>
      <c r="W29" s="8"/>
      <c r="X29" s="46" t="s">
        <v>2146</v>
      </c>
      <c r="Y29" s="46"/>
      <c r="Z29" s="46"/>
      <c r="AA29" s="46"/>
      <c r="AB29" s="46"/>
      <c r="AC29" s="46"/>
      <c r="AD29" s="46"/>
      <c r="AE29" s="46"/>
      <c r="AF29" s="46"/>
      <c r="AG29" s="46"/>
      <c r="AH29" s="46"/>
      <c r="AI29" s="46"/>
      <c r="AJ29" s="46"/>
      <c r="AK29" s="46"/>
      <c r="AL29" s="46"/>
      <c r="AM29" s="46"/>
      <c r="AN29" s="46"/>
      <c r="AO29" s="46"/>
      <c r="AP29" s="46"/>
      <c r="AQ29" s="46"/>
      <c r="AR29" s="46"/>
      <c r="AS29" s="46"/>
      <c r="AT29" s="46"/>
      <c r="AU29" s="46"/>
      <c r="AV29" s="46"/>
      <c r="AW29" s="46"/>
      <c r="AX29" s="46"/>
      <c r="AY29" s="46"/>
      <c r="AZ29" s="46"/>
    </row>
    <row r="30" spans="1:52" ht="15.75" customHeight="1" x14ac:dyDescent="0.25">
      <c r="A30" s="8" t="s">
        <v>30</v>
      </c>
      <c r="B30" s="8" t="s">
        <v>36</v>
      </c>
      <c r="C30" s="162"/>
      <c r="D30" s="162"/>
      <c r="E30" s="162"/>
      <c r="F30" s="162"/>
      <c r="G30" s="162"/>
      <c r="H30" s="162"/>
      <c r="I30" s="162">
        <v>210</v>
      </c>
      <c r="J30" s="162"/>
      <c r="K30" s="162">
        <v>530</v>
      </c>
      <c r="L30" s="162">
        <v>375</v>
      </c>
      <c r="M30" s="162">
        <v>310</v>
      </c>
      <c r="N30" s="162"/>
      <c r="O30" s="162"/>
      <c r="P30" s="162">
        <f>IF(OR(A30&lt;&gt;"",B30&lt;&gt;""),(SUM(C30:N30)+O30)/12,"")</f>
        <v>118.75</v>
      </c>
      <c r="Q30" s="163">
        <f>IF(OR(A30&lt;&gt;"",B30&lt;&gt;""),SUM(C30:N30)+O30,"")</f>
        <v>1425</v>
      </c>
      <c r="R30" s="116" t="s">
        <v>1088</v>
      </c>
      <c r="S30" s="162">
        <f>IF(OR(A30&lt;&gt;"",B30&lt;&gt;""),IF(R30="Sim",Q30/Config!$B$6,Q30),"")</f>
        <v>1425</v>
      </c>
      <c r="T30" s="162">
        <f>IF(OR(A30&lt;&gt;"",B30&lt;&gt;""),IF(R30="Sim",P30/Config!$B$6,P30),"")</f>
        <v>118.75</v>
      </c>
      <c r="U30" t="s">
        <v>269</v>
      </c>
      <c r="V30" s="42" t="s">
        <v>2200</v>
      </c>
      <c r="W30" s="8" t="s">
        <v>302</v>
      </c>
      <c r="X30" s="46" t="s">
        <v>2147</v>
      </c>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row>
    <row r="31" spans="1:52" hidden="1" x14ac:dyDescent="0.25">
      <c r="A31" s="8" t="s">
        <v>30</v>
      </c>
      <c r="B31" s="8" t="s">
        <v>37</v>
      </c>
      <c r="C31" s="162"/>
      <c r="D31" s="162"/>
      <c r="E31" s="162"/>
      <c r="F31" s="162"/>
      <c r="G31" s="162"/>
      <c r="H31" s="162"/>
      <c r="I31" s="162"/>
      <c r="J31" s="162"/>
      <c r="K31" s="162"/>
      <c r="L31" s="162"/>
      <c r="M31" s="162"/>
      <c r="N31" s="162"/>
      <c r="O31" s="162"/>
      <c r="P31" s="162">
        <f>IF(OR(A31&lt;&gt;"",B31&lt;&gt;""),(SUM(C31:N31)+O31)/12,"")</f>
        <v>0</v>
      </c>
      <c r="Q31" s="162">
        <f>IF(OR(A31&lt;&gt;"",B31&lt;&gt;""),SUM(C31:N31)+O31,"")</f>
        <v>0</v>
      </c>
      <c r="R31" s="116"/>
      <c r="S31" s="162">
        <f>IF(OR(A31&lt;&gt;"",B31&lt;&gt;""),IF(R31="Sim",Q31/Config!$B$6,Q31),"")</f>
        <v>0</v>
      </c>
      <c r="T31" s="162">
        <f>IF(OR(A31&lt;&gt;"",B31&lt;&gt;""),IF(R31="Sim",P31/Config!$B$6,P31),"")</f>
        <v>0</v>
      </c>
      <c r="U31" s="23" t="s">
        <v>2189</v>
      </c>
      <c r="V31" s="8"/>
      <c r="W31" s="8"/>
      <c r="X31" s="46" t="s">
        <v>2148</v>
      </c>
      <c r="Y31" s="46"/>
      <c r="Z31" s="46"/>
      <c r="AA31" s="46"/>
      <c r="AB31" s="46"/>
      <c r="AC31" s="46"/>
      <c r="AD31" s="46"/>
      <c r="AE31" s="46"/>
      <c r="AF31" s="46"/>
      <c r="AG31" s="46"/>
      <c r="AH31" s="46"/>
      <c r="AI31" s="46"/>
      <c r="AJ31" s="46"/>
      <c r="AK31" s="46"/>
      <c r="AL31" s="46"/>
      <c r="AM31" s="46"/>
      <c r="AN31" s="46"/>
      <c r="AO31" s="46"/>
      <c r="AP31" s="46"/>
      <c r="AQ31" s="46"/>
      <c r="AR31" s="46"/>
      <c r="AS31" s="46"/>
      <c r="AT31" s="46"/>
      <c r="AU31" s="46"/>
      <c r="AV31" s="46"/>
      <c r="AW31" s="46"/>
      <c r="AX31" s="46"/>
      <c r="AY31" s="46"/>
      <c r="AZ31" s="46"/>
    </row>
    <row r="32" spans="1:52" hidden="1" x14ac:dyDescent="0.25">
      <c r="A32" s="8" t="s">
        <v>30</v>
      </c>
      <c r="B32" s="8" t="s">
        <v>38</v>
      </c>
      <c r="C32" s="162"/>
      <c r="D32" s="162"/>
      <c r="E32" s="162"/>
      <c r="F32" s="162"/>
      <c r="G32" s="162"/>
      <c r="H32" s="162"/>
      <c r="I32" s="162"/>
      <c r="J32" s="162"/>
      <c r="K32" s="162"/>
      <c r="L32" s="162"/>
      <c r="M32" s="162"/>
      <c r="N32" s="162"/>
      <c r="O32" s="162"/>
      <c r="P32" s="162">
        <f>IF(OR(A32&lt;&gt;"",B32&lt;&gt;""),(SUM(C32:N32)+O32)/12,"")</f>
        <v>0</v>
      </c>
      <c r="Q32" s="162">
        <f>IF(OR(A32&lt;&gt;"",B32&lt;&gt;""),SUM(C32:N32)+O32,"")</f>
        <v>0</v>
      </c>
      <c r="R32" s="116"/>
      <c r="S32" s="162">
        <f>IF(OR(A32&lt;&gt;"",B32&lt;&gt;""),IF(R32="Sim",Q32/Config!$B$6,Q32),"")</f>
        <v>0</v>
      </c>
      <c r="T32" s="162">
        <f>IF(OR(A32&lt;&gt;"",B32&lt;&gt;""),IF(R32="Sim",P32/Config!$B$6,P32),"")</f>
        <v>0</v>
      </c>
      <c r="U32" s="23" t="s">
        <v>2189</v>
      </c>
      <c r="V32" s="8"/>
      <c r="W32" s="8"/>
      <c r="X32" s="46" t="s">
        <v>2149</v>
      </c>
      <c r="Y32" s="46"/>
      <c r="Z32" s="46"/>
      <c r="AA32" s="46"/>
      <c r="AB32" s="46"/>
      <c r="AC32" s="46"/>
      <c r="AD32" s="46"/>
      <c r="AE32" s="46"/>
      <c r="AF32" s="46"/>
      <c r="AG32" s="46"/>
      <c r="AH32" s="46"/>
      <c r="AI32" s="46"/>
      <c r="AJ32" s="46"/>
      <c r="AK32" s="46"/>
      <c r="AL32" s="46"/>
      <c r="AM32" s="46"/>
      <c r="AN32" s="46"/>
      <c r="AO32" s="46"/>
      <c r="AP32" s="46"/>
      <c r="AQ32" s="46"/>
      <c r="AR32" s="46"/>
      <c r="AS32" s="46"/>
      <c r="AT32" s="46"/>
      <c r="AU32" s="46"/>
      <c r="AV32" s="46"/>
      <c r="AW32" s="46"/>
      <c r="AX32" s="46"/>
      <c r="AY32" s="46"/>
      <c r="AZ32" s="46"/>
    </row>
    <row r="33" spans="1:52" ht="15.75" customHeight="1" x14ac:dyDescent="0.25">
      <c r="A33" s="8" t="s">
        <v>30</v>
      </c>
      <c r="B33" s="8" t="s">
        <v>39</v>
      </c>
      <c r="C33" s="162"/>
      <c r="D33" s="162">
        <v>200</v>
      </c>
      <c r="E33" s="162"/>
      <c r="F33" s="162"/>
      <c r="G33" s="162"/>
      <c r="H33" s="162"/>
      <c r="I33" s="162"/>
      <c r="J33" s="162"/>
      <c r="K33" s="162"/>
      <c r="L33" s="162"/>
      <c r="M33" s="162"/>
      <c r="N33" s="162"/>
      <c r="O33" s="162"/>
      <c r="P33" s="162">
        <f>IF(OR(A33&lt;&gt;"",B33&lt;&gt;""),(SUM(C33:N33)+O33)/12,"")</f>
        <v>16.666666666666668</v>
      </c>
      <c r="Q33" s="163">
        <f>IF(OR(A33&lt;&gt;"",B33&lt;&gt;""),SUM(C33:N33)+O33,"")</f>
        <v>200</v>
      </c>
      <c r="R33" s="116" t="s">
        <v>1088</v>
      </c>
      <c r="S33" s="162">
        <f>IF(OR(A33&lt;&gt;"",B33&lt;&gt;""),IF(R33="Sim",Q33/Config!$B$6,Q33),"")</f>
        <v>200</v>
      </c>
      <c r="T33" s="162">
        <f>IF(OR(A33&lt;&gt;"",B33&lt;&gt;""),IF(R33="Sim",P33/Config!$B$6,P33),"")</f>
        <v>16.666666666666668</v>
      </c>
      <c r="U33" t="s">
        <v>2189</v>
      </c>
      <c r="V33" s="42" t="s">
        <v>2201</v>
      </c>
      <c r="W33" s="8" t="s">
        <v>322</v>
      </c>
      <c r="X33" s="46" t="s">
        <v>2150</v>
      </c>
      <c r="Y33" s="46"/>
      <c r="Z33" s="46"/>
      <c r="AA33" s="46"/>
      <c r="AB33" s="46"/>
      <c r="AC33" s="46"/>
      <c r="AD33" s="46"/>
      <c r="AE33" s="46"/>
      <c r="AF33" s="46"/>
      <c r="AG33" s="46"/>
      <c r="AH33" s="46"/>
      <c r="AI33" s="46"/>
      <c r="AJ33" s="46"/>
      <c r="AK33" s="46"/>
      <c r="AL33" s="46"/>
      <c r="AM33" s="46"/>
      <c r="AN33" s="46"/>
      <c r="AO33" s="46"/>
      <c r="AP33" s="46"/>
      <c r="AQ33" s="46"/>
      <c r="AR33" s="46"/>
      <c r="AS33" s="46"/>
      <c r="AT33" s="46"/>
      <c r="AU33" s="46"/>
      <c r="AV33" s="46"/>
      <c r="AW33" s="46"/>
      <c r="AX33" s="46"/>
      <c r="AY33" s="46"/>
      <c r="AZ33" s="46"/>
    </row>
    <row r="34" spans="1:52" ht="15" hidden="1" x14ac:dyDescent="0.25">
      <c r="A34" s="9" t="s">
        <v>40</v>
      </c>
      <c r="B34" s="9" t="s">
        <v>41</v>
      </c>
      <c r="C34" s="164"/>
      <c r="D34" s="164"/>
      <c r="E34" s="164"/>
      <c r="F34" s="164"/>
      <c r="G34" s="164"/>
      <c r="H34" s="164"/>
      <c r="I34" s="164"/>
      <c r="J34" s="164"/>
      <c r="K34" s="164"/>
      <c r="L34" s="164"/>
      <c r="M34" s="164"/>
      <c r="N34" s="164"/>
      <c r="O34" s="164"/>
      <c r="P34" s="164">
        <f>IF(OR(A34&lt;&gt;"",B34&lt;&gt;""),(SUM(C34:N34)+O34)/12,"")</f>
        <v>0</v>
      </c>
      <c r="Q34" s="164">
        <f>IF(OR(A34&lt;&gt;"",B34&lt;&gt;""),SUM(C34:N34)+O34,"")</f>
        <v>0</v>
      </c>
      <c r="R34" s="117"/>
      <c r="S34" s="164">
        <f>IF(OR(A34&lt;&gt;"",B34&lt;&gt;""),IF(R34="Sim",Q34/Config!$B$6,Q34),"")</f>
        <v>0</v>
      </c>
      <c r="T34" s="164">
        <f>IF(OR(A34&lt;&gt;"",B34&lt;&gt;""),IF(R34="Sim",P34/Config!$B$6,P34),"")</f>
        <v>0</v>
      </c>
      <c r="U34" t="s">
        <v>2189</v>
      </c>
      <c r="V34" s="136"/>
      <c r="W34" s="9" t="s">
        <v>323</v>
      </c>
      <c r="X34" s="46" t="s">
        <v>2151</v>
      </c>
      <c r="Y34" s="46"/>
      <c r="Z34" s="46"/>
      <c r="AA34" s="46"/>
      <c r="AB34" s="46"/>
      <c r="AC34" s="46"/>
      <c r="AD34" s="46"/>
      <c r="AE34" s="46"/>
      <c r="AF34" s="46"/>
      <c r="AG34" s="46"/>
      <c r="AH34" s="46"/>
      <c r="AI34" s="46"/>
      <c r="AJ34" s="46"/>
      <c r="AK34" s="46"/>
      <c r="AL34" s="46"/>
      <c r="AM34" s="46"/>
      <c r="AN34" s="46"/>
      <c r="AO34" s="46"/>
      <c r="AP34" s="46"/>
      <c r="AQ34" s="46"/>
      <c r="AR34" s="46"/>
      <c r="AS34" s="46"/>
      <c r="AT34" s="46"/>
      <c r="AU34" s="46"/>
      <c r="AV34" s="46"/>
      <c r="AW34" s="46"/>
      <c r="AX34" s="46"/>
      <c r="AY34" s="46"/>
      <c r="AZ34" s="46"/>
    </row>
    <row r="35" spans="1:52" ht="15" hidden="1" x14ac:dyDescent="0.25">
      <c r="A35" s="9" t="s">
        <v>40</v>
      </c>
      <c r="B35" s="9" t="s">
        <v>42</v>
      </c>
      <c r="C35" s="164"/>
      <c r="D35" s="164"/>
      <c r="E35" s="164"/>
      <c r="F35" s="164"/>
      <c r="G35" s="164"/>
      <c r="H35" s="164"/>
      <c r="I35" s="164"/>
      <c r="J35" s="164"/>
      <c r="K35" s="164"/>
      <c r="L35" s="164"/>
      <c r="M35" s="164"/>
      <c r="N35" s="164"/>
      <c r="O35" s="164"/>
      <c r="P35" s="164">
        <f>IF(OR(A35&lt;&gt;"",B35&lt;&gt;""),(SUM(C35:N35)+O35)/12,"")</f>
        <v>0</v>
      </c>
      <c r="Q35" s="164">
        <f>IF(OR(A35&lt;&gt;"",B35&lt;&gt;""),SUM(C35:N35)+O35,"")</f>
        <v>0</v>
      </c>
      <c r="R35" s="117"/>
      <c r="S35" s="164">
        <f>IF(OR(A35&lt;&gt;"",B35&lt;&gt;""),IF(R35="Sim",Q35/Config!$B$6,Q35),"")</f>
        <v>0</v>
      </c>
      <c r="T35" s="164">
        <f>IF(OR(A35&lt;&gt;"",B35&lt;&gt;""),IF(R35="Sim",P35/Config!$B$6,P35),"")</f>
        <v>0</v>
      </c>
      <c r="U35" t="s">
        <v>2189</v>
      </c>
      <c r="V35" s="136"/>
      <c r="W35" s="9" t="s">
        <v>325</v>
      </c>
      <c r="X35" s="46" t="s">
        <v>2152</v>
      </c>
      <c r="Y35" s="46"/>
      <c r="Z35" s="46"/>
      <c r="AA35" s="46"/>
      <c r="AB35" s="46"/>
      <c r="AC35" s="46"/>
      <c r="AD35" s="46"/>
      <c r="AE35" s="46"/>
      <c r="AF35" s="46"/>
      <c r="AG35" s="46"/>
      <c r="AH35" s="46"/>
      <c r="AI35" s="46"/>
      <c r="AJ35" s="46"/>
      <c r="AK35" s="46"/>
      <c r="AL35" s="46"/>
      <c r="AM35" s="46"/>
      <c r="AN35" s="46"/>
      <c r="AO35" s="46"/>
      <c r="AP35" s="46"/>
      <c r="AQ35" s="46"/>
      <c r="AR35" s="46"/>
      <c r="AS35" s="46"/>
      <c r="AT35" s="46"/>
      <c r="AU35" s="46"/>
      <c r="AV35" s="46"/>
      <c r="AW35" s="46"/>
      <c r="AX35" s="46"/>
      <c r="AY35" s="46"/>
      <c r="AZ35" s="46"/>
    </row>
    <row r="36" spans="1:52" ht="15" hidden="1" x14ac:dyDescent="0.25">
      <c r="A36" s="9" t="s">
        <v>40</v>
      </c>
      <c r="B36" s="9" t="s">
        <v>43</v>
      </c>
      <c r="C36" s="164"/>
      <c r="D36" s="164"/>
      <c r="E36" s="164"/>
      <c r="F36" s="164"/>
      <c r="G36" s="164"/>
      <c r="H36" s="164"/>
      <c r="I36" s="164"/>
      <c r="J36" s="164"/>
      <c r="K36" s="164"/>
      <c r="L36" s="164"/>
      <c r="M36" s="164"/>
      <c r="N36" s="164"/>
      <c r="O36" s="164"/>
      <c r="P36" s="164">
        <f>IF(OR(A36&lt;&gt;"",B36&lt;&gt;""),(SUM(C36:N36)+O36)/12,"")</f>
        <v>0</v>
      </c>
      <c r="Q36" s="164">
        <f>IF(OR(A36&lt;&gt;"",B36&lt;&gt;""),SUM(C36:N36)+O36,"")</f>
        <v>0</v>
      </c>
      <c r="R36" s="117"/>
      <c r="S36" s="164">
        <f>IF(OR(A36&lt;&gt;"",B36&lt;&gt;""),IF(R36="Sim",Q36/Config!$B$6,Q36),"")</f>
        <v>0</v>
      </c>
      <c r="T36" s="164">
        <f>IF(OR(A36&lt;&gt;"",B36&lt;&gt;""),IF(R36="Sim",P36/Config!$B$6,P36),"")</f>
        <v>0</v>
      </c>
      <c r="U36" t="s">
        <v>2189</v>
      </c>
      <c r="V36" s="136"/>
      <c r="W36" s="9" t="s">
        <v>364</v>
      </c>
      <c r="X36" s="46" t="s">
        <v>2153</v>
      </c>
      <c r="Y36" s="46"/>
      <c r="Z36" s="46"/>
      <c r="AA36" s="46"/>
      <c r="AB36" s="46"/>
      <c r="AC36" s="46"/>
      <c r="AD36" s="46"/>
      <c r="AE36" s="46"/>
      <c r="AF36" s="46"/>
      <c r="AG36" s="46"/>
      <c r="AH36" s="46"/>
      <c r="AI36" s="46"/>
      <c r="AJ36" s="46"/>
      <c r="AK36" s="46"/>
      <c r="AL36" s="46"/>
      <c r="AM36" s="46"/>
      <c r="AN36" s="46"/>
      <c r="AO36" s="46"/>
      <c r="AP36" s="46"/>
      <c r="AQ36" s="46"/>
      <c r="AR36" s="46"/>
      <c r="AS36" s="46"/>
      <c r="AT36" s="46"/>
      <c r="AU36" s="46"/>
      <c r="AV36" s="46"/>
      <c r="AW36" s="46"/>
      <c r="AX36" s="46"/>
      <c r="AY36" s="46"/>
      <c r="AZ36" s="46"/>
    </row>
    <row r="37" spans="1:52" ht="15.75" customHeight="1" x14ac:dyDescent="0.25">
      <c r="A37" s="133" t="s">
        <v>55</v>
      </c>
      <c r="B37" s="133" t="s">
        <v>948</v>
      </c>
      <c r="C37" s="165"/>
      <c r="D37" s="165"/>
      <c r="E37" s="165"/>
      <c r="F37" s="165"/>
      <c r="G37" s="165"/>
      <c r="H37" s="165"/>
      <c r="I37" s="165"/>
      <c r="J37" s="165">
        <v>185.67</v>
      </c>
      <c r="K37" s="165"/>
      <c r="L37" s="165"/>
      <c r="M37" s="165">
        <v>118.22</v>
      </c>
      <c r="N37" s="165">
        <v>201.04</v>
      </c>
      <c r="O37" s="165"/>
      <c r="P37" s="165">
        <f>IF(OR(A37&lt;&gt;"",B37&lt;&gt;""),(SUM(C37:N37)+O37)/12,"")</f>
        <v>42.077499999999993</v>
      </c>
      <c r="Q37" s="165">
        <f>IF(OR(A37&lt;&gt;"",B37&lt;&gt;""),SUM(C37:N37)+O37,"")</f>
        <v>504.92999999999995</v>
      </c>
      <c r="R37" s="134" t="s">
        <v>1088</v>
      </c>
      <c r="S37" s="165">
        <f>IF(OR(A37&lt;&gt;"",B37&lt;&gt;""),IF(R37="Sim",Q37/Config!$B$6,Q37),"")</f>
        <v>504.92999999999995</v>
      </c>
      <c r="T37" s="165">
        <f>IF(OR(A37&lt;&gt;"",B37&lt;&gt;""),IF(R37="Sim",P37/Config!$B$6,P37),"")</f>
        <v>42.077499999999993</v>
      </c>
      <c r="U37" t="s">
        <v>269</v>
      </c>
      <c r="V37" s="42" t="s">
        <v>2202</v>
      </c>
      <c r="W37" s="133" t="s">
        <v>957</v>
      </c>
      <c r="X37" s="46" t="s">
        <v>2154</v>
      </c>
      <c r="Y37" s="46"/>
      <c r="Z37" s="46"/>
      <c r="AA37" s="46"/>
      <c r="AB37" s="46"/>
      <c r="AC37" s="46"/>
      <c r="AD37" s="46"/>
      <c r="AE37" s="46"/>
      <c r="AF37" s="46"/>
      <c r="AG37" s="46"/>
      <c r="AH37" s="46"/>
      <c r="AI37" s="46"/>
      <c r="AJ37" s="46"/>
      <c r="AK37" s="46"/>
      <c r="AL37" s="46"/>
      <c r="AM37" s="46"/>
      <c r="AN37" s="46"/>
      <c r="AO37" s="46"/>
      <c r="AP37" s="46"/>
      <c r="AQ37" s="46"/>
      <c r="AR37" s="46"/>
      <c r="AS37" s="46"/>
      <c r="AT37" s="46"/>
      <c r="AU37" s="46"/>
      <c r="AV37" s="46"/>
      <c r="AW37" s="46"/>
      <c r="AX37" s="46"/>
      <c r="AY37" s="46"/>
      <c r="AZ37" s="46"/>
    </row>
    <row r="38" spans="1:52" ht="15.75" customHeight="1" x14ac:dyDescent="0.25">
      <c r="A38" s="9" t="s">
        <v>40</v>
      </c>
      <c r="B38" s="9" t="s">
        <v>44</v>
      </c>
      <c r="C38" s="164"/>
      <c r="D38" s="164"/>
      <c r="E38" s="164"/>
      <c r="F38" s="164">
        <v>749.85</v>
      </c>
      <c r="G38" s="164">
        <v>940.68000000000018</v>
      </c>
      <c r="H38" s="164">
        <v>1024.6600000000003</v>
      </c>
      <c r="I38" s="164">
        <v>597.16999999999996</v>
      </c>
      <c r="J38" s="164">
        <v>552.98</v>
      </c>
      <c r="K38" s="164">
        <v>438.43999999999994</v>
      </c>
      <c r="L38" s="164">
        <v>767.60000000000014</v>
      </c>
      <c r="M38" s="164">
        <v>255.45999999999998</v>
      </c>
      <c r="N38" s="164"/>
      <c r="O38" s="164"/>
      <c r="P38" s="164">
        <f>IF(OR(A38&lt;&gt;"",B38&lt;&gt;""),(SUM(C38:N38)+O38)/12,"")</f>
        <v>443.90333333333342</v>
      </c>
      <c r="Q38" s="166">
        <f>IF(OR(A38&lt;&gt;"",B38&lt;&gt;""),SUM(C38:N38)+O38,"")</f>
        <v>5326.8400000000011</v>
      </c>
      <c r="R38" s="117" t="s">
        <v>17</v>
      </c>
      <c r="S38" s="164">
        <f>IF(OR(A38&lt;&gt;"",B38&lt;&gt;""),IF(R38="Sim",Q38/Config!$B$6,Q38),"")</f>
        <v>2663.4200000000005</v>
      </c>
      <c r="T38" s="164">
        <f>IF(OR(A38&lt;&gt;"",B38&lt;&gt;""),IF(R38="Sim",P38/Config!$B$6,P38),"")</f>
        <v>221.95166666666671</v>
      </c>
      <c r="U38" t="s">
        <v>2189</v>
      </c>
      <c r="V38" s="42" t="s">
        <v>2318</v>
      </c>
      <c r="W38" s="9" t="s">
        <v>944</v>
      </c>
      <c r="X38" s="46" t="s">
        <v>2155</v>
      </c>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row>
    <row r="39" spans="1:52" ht="15.75" x14ac:dyDescent="0.25">
      <c r="A39" s="10" t="s">
        <v>45</v>
      </c>
      <c r="B39" s="10" t="s">
        <v>46</v>
      </c>
      <c r="C39" s="167"/>
      <c r="D39" s="167"/>
      <c r="E39" s="167"/>
      <c r="F39" s="167">
        <v>70</v>
      </c>
      <c r="G39" s="167">
        <v>79.900000000000006</v>
      </c>
      <c r="H39" s="167">
        <v>137</v>
      </c>
      <c r="I39" s="167">
        <v>289.89</v>
      </c>
      <c r="J39" s="167">
        <v>235.8</v>
      </c>
      <c r="K39" s="167"/>
      <c r="L39" s="167">
        <v>20</v>
      </c>
      <c r="M39" s="167">
        <v>519.94000000000005</v>
      </c>
      <c r="N39" s="167"/>
      <c r="O39" s="167"/>
      <c r="P39" s="167">
        <f>IF(OR(A39&lt;&gt;"",B39&lt;&gt;""),(SUM(C39:N39)+O39)/12,"")</f>
        <v>112.71083333333333</v>
      </c>
      <c r="Q39" s="168">
        <f>IF(OR(A39&lt;&gt;"",B39&lt;&gt;""),SUM(C39:N39)+O39,"")</f>
        <v>1352.53</v>
      </c>
      <c r="R39" s="118" t="s">
        <v>1088</v>
      </c>
      <c r="S39" s="167">
        <f>IF(OR(A39&lt;&gt;"",B39&lt;&gt;""),IF(R39="Sim",Q39/Config!$B$6,Q39),"")</f>
        <v>1352.53</v>
      </c>
      <c r="T39" s="167">
        <f>IF(OR(A39&lt;&gt;"",B39&lt;&gt;""),IF(R39="Sim",P39/Config!$B$6,P39),"")</f>
        <v>112.71083333333333</v>
      </c>
      <c r="U39" t="s">
        <v>269</v>
      </c>
      <c r="V39" s="42" t="s">
        <v>2317</v>
      </c>
      <c r="W39" s="10" t="s">
        <v>377</v>
      </c>
      <c r="X39" s="46" t="s">
        <v>2156</v>
      </c>
      <c r="Y39" s="46"/>
      <c r="Z39" s="46"/>
      <c r="AA39" s="46"/>
      <c r="AB39" s="46"/>
      <c r="AC39" s="46"/>
      <c r="AD39" s="46"/>
      <c r="AE39" s="46"/>
      <c r="AF39" s="46"/>
      <c r="AG39" s="46"/>
      <c r="AH39" s="46"/>
      <c r="AI39" s="46"/>
      <c r="AJ39" s="46"/>
      <c r="AK39" s="46"/>
      <c r="AL39" s="46"/>
      <c r="AM39" s="46"/>
      <c r="AN39" s="46"/>
      <c r="AO39" s="46"/>
      <c r="AP39" s="46"/>
      <c r="AQ39" s="46"/>
      <c r="AR39" s="46"/>
      <c r="AS39" s="46"/>
      <c r="AT39" s="46"/>
      <c r="AU39" s="46"/>
      <c r="AV39" s="46"/>
      <c r="AW39" s="46"/>
      <c r="AX39" s="46"/>
      <c r="AY39" s="46"/>
      <c r="AZ39" s="46"/>
    </row>
    <row r="40" spans="1:52" hidden="1" x14ac:dyDescent="0.25">
      <c r="A40" s="10" t="s">
        <v>45</v>
      </c>
      <c r="B40" s="10" t="s">
        <v>47</v>
      </c>
      <c r="C40" s="167"/>
      <c r="D40" s="167"/>
      <c r="E40" s="167"/>
      <c r="F40" s="167"/>
      <c r="G40" s="167"/>
      <c r="H40" s="167"/>
      <c r="I40" s="167"/>
      <c r="J40" s="167"/>
      <c r="K40" s="167"/>
      <c r="L40" s="167"/>
      <c r="M40" s="167"/>
      <c r="N40" s="167"/>
      <c r="O40" s="167"/>
      <c r="P40" s="167">
        <f>IF(OR(A40&lt;&gt;"",B40&lt;&gt;""),(SUM(C40:N40)+O40)/12,"")</f>
        <v>0</v>
      </c>
      <c r="Q40" s="167">
        <f>IF(OR(A40&lt;&gt;"",B40&lt;&gt;""),SUM(C40:N40)+O40,"")</f>
        <v>0</v>
      </c>
      <c r="R40" s="118"/>
      <c r="S40" s="167">
        <f>IF(OR(A40&lt;&gt;"",B40&lt;&gt;""),IF(R40="Sim",Q40/Config!$B$6,Q40),"")</f>
        <v>0</v>
      </c>
      <c r="T40" s="167">
        <f>IF(OR(A40&lt;&gt;"",B40&lt;&gt;""),IF(R40="Sim",P40/Config!$B$6,P40),"")</f>
        <v>0</v>
      </c>
      <c r="U40" s="24" t="s">
        <v>2189</v>
      </c>
      <c r="V40" s="10"/>
      <c r="W40" s="10"/>
      <c r="X40" s="46" t="s">
        <v>2157</v>
      </c>
      <c r="Y40" s="46"/>
      <c r="Z40" s="46"/>
      <c r="AA40" s="46"/>
      <c r="AB40" s="46"/>
      <c r="AC40" s="46"/>
      <c r="AD40" s="46"/>
      <c r="AE40" s="46"/>
      <c r="AF40" s="46"/>
      <c r="AG40" s="46"/>
      <c r="AH40" s="46"/>
      <c r="AI40" s="46"/>
      <c r="AJ40" s="46"/>
      <c r="AK40" s="46"/>
      <c r="AL40" s="46"/>
      <c r="AM40" s="46"/>
      <c r="AN40" s="46"/>
      <c r="AO40" s="46"/>
      <c r="AP40" s="46"/>
      <c r="AQ40" s="46"/>
      <c r="AR40" s="46"/>
      <c r="AS40" s="46"/>
      <c r="AT40" s="46"/>
      <c r="AU40" s="46"/>
      <c r="AV40" s="46"/>
      <c r="AW40" s="46"/>
      <c r="AX40" s="46"/>
      <c r="AY40" s="46"/>
      <c r="AZ40" s="46"/>
    </row>
    <row r="41" spans="1:52" hidden="1" x14ac:dyDescent="0.25">
      <c r="A41" s="10" t="s">
        <v>45</v>
      </c>
      <c r="B41" s="10" t="s">
        <v>48</v>
      </c>
      <c r="C41" s="167"/>
      <c r="D41" s="167"/>
      <c r="E41" s="167"/>
      <c r="F41" s="167"/>
      <c r="G41" s="167"/>
      <c r="H41" s="167"/>
      <c r="I41" s="167"/>
      <c r="J41" s="167"/>
      <c r="K41" s="167"/>
      <c r="L41" s="167"/>
      <c r="M41" s="167"/>
      <c r="N41" s="167"/>
      <c r="O41" s="167"/>
      <c r="P41" s="167">
        <f>IF(OR(A41&lt;&gt;"",B41&lt;&gt;""),(SUM(C41:N41)+O41)/12,"")</f>
        <v>0</v>
      </c>
      <c r="Q41" s="167">
        <f>IF(OR(A41&lt;&gt;"",B41&lt;&gt;""),SUM(C41:N41)+O41,"")</f>
        <v>0</v>
      </c>
      <c r="R41" s="118"/>
      <c r="S41" s="167">
        <f>IF(OR(A41&lt;&gt;"",B41&lt;&gt;""),IF(R41="Sim",Q41/Config!$B$6,Q41),"")</f>
        <v>0</v>
      </c>
      <c r="T41" s="167">
        <f>IF(OR(A41&lt;&gt;"",B41&lt;&gt;""),IF(R41="Sim",P41/Config!$B$6,P41),"")</f>
        <v>0</v>
      </c>
      <c r="U41" s="24" t="s">
        <v>2189</v>
      </c>
      <c r="V41" s="10"/>
      <c r="W41" s="10"/>
      <c r="X41" s="46" t="s">
        <v>2158</v>
      </c>
      <c r="Y41" s="46"/>
      <c r="Z41" s="46"/>
      <c r="AA41" s="46"/>
      <c r="AB41" s="46"/>
      <c r="AC41" s="46"/>
      <c r="AD41" s="46"/>
      <c r="AE41" s="46"/>
      <c r="AF41" s="46"/>
      <c r="AG41" s="46"/>
      <c r="AH41" s="46"/>
      <c r="AI41" s="46"/>
      <c r="AJ41" s="46"/>
      <c r="AK41" s="46"/>
      <c r="AL41" s="46"/>
      <c r="AM41" s="46"/>
      <c r="AN41" s="46"/>
      <c r="AO41" s="46"/>
      <c r="AP41" s="46"/>
      <c r="AQ41" s="46"/>
      <c r="AR41" s="46"/>
      <c r="AS41" s="46"/>
      <c r="AT41" s="46"/>
      <c r="AU41" s="46"/>
      <c r="AV41" s="46"/>
      <c r="AW41" s="46"/>
      <c r="AX41" s="46"/>
      <c r="AY41" s="46"/>
      <c r="AZ41" s="46"/>
    </row>
    <row r="42" spans="1:52" ht="15.75" hidden="1" customHeight="1" x14ac:dyDescent="0.25">
      <c r="A42" s="10" t="s">
        <v>45</v>
      </c>
      <c r="B42" s="10" t="s">
        <v>49</v>
      </c>
      <c r="C42" s="167"/>
      <c r="D42" s="167"/>
      <c r="E42" s="167"/>
      <c r="F42" s="167"/>
      <c r="G42" s="167"/>
      <c r="H42" s="167"/>
      <c r="I42" s="167"/>
      <c r="J42" s="167"/>
      <c r="K42" s="167"/>
      <c r="L42" s="167"/>
      <c r="M42" s="167"/>
      <c r="N42" s="167"/>
      <c r="O42" s="167"/>
      <c r="P42" s="167">
        <f>IF(OR(A42&lt;&gt;"",B42&lt;&gt;""),(SUM(C42:N42)+O42)/12,"")</f>
        <v>0</v>
      </c>
      <c r="Q42" s="167">
        <f>IF(OR(A42&lt;&gt;"",B42&lt;&gt;""),SUM(C42:N42)+O42,"")</f>
        <v>0</v>
      </c>
      <c r="R42" s="118"/>
      <c r="S42" s="167">
        <f>IF(OR(A42&lt;&gt;"",B42&lt;&gt;""),IF(R42="Sim",Q42/Config!$B$6,Q42),"")</f>
        <v>0</v>
      </c>
      <c r="T42" s="167">
        <f>IF(OR(A42&lt;&gt;"",B42&lt;&gt;""),IF(R42="Sim",P42/Config!$B$6,P42),"")</f>
        <v>0</v>
      </c>
      <c r="U42" s="24" t="s">
        <v>2189</v>
      </c>
      <c r="V42" s="10"/>
      <c r="W42" s="10"/>
      <c r="X42" s="46" t="s">
        <v>2159</v>
      </c>
      <c r="Y42" s="46"/>
      <c r="Z42" s="46"/>
      <c r="AA42" s="46"/>
      <c r="AB42" s="46"/>
      <c r="AC42" s="46"/>
      <c r="AD42" s="46"/>
      <c r="AE42" s="46"/>
      <c r="AF42" s="46"/>
      <c r="AG42" s="46"/>
      <c r="AH42" s="46"/>
      <c r="AI42" s="46"/>
      <c r="AJ42" s="46"/>
      <c r="AK42" s="46"/>
      <c r="AL42" s="46"/>
      <c r="AM42" s="46"/>
      <c r="AN42" s="46"/>
      <c r="AO42" s="46"/>
      <c r="AP42" s="46"/>
      <c r="AQ42" s="46"/>
      <c r="AR42" s="46"/>
      <c r="AS42" s="46"/>
      <c r="AT42" s="46"/>
      <c r="AU42" s="46"/>
      <c r="AV42" s="46"/>
      <c r="AW42" s="46"/>
      <c r="AX42" s="46"/>
      <c r="AY42" s="46"/>
      <c r="AZ42" s="46"/>
    </row>
    <row r="43" spans="1:52" ht="15.75" customHeight="1" x14ac:dyDescent="0.25">
      <c r="A43" s="10" t="s">
        <v>45</v>
      </c>
      <c r="B43" s="10" t="s">
        <v>50</v>
      </c>
      <c r="C43" s="167"/>
      <c r="D43" s="167"/>
      <c r="E43" s="167"/>
      <c r="F43" s="167">
        <v>640</v>
      </c>
      <c r="G43" s="167"/>
      <c r="H43" s="167"/>
      <c r="I43" s="167"/>
      <c r="J43" s="167"/>
      <c r="K43" s="167"/>
      <c r="L43" s="167"/>
      <c r="M43" s="167"/>
      <c r="N43" s="167"/>
      <c r="O43" s="167"/>
      <c r="P43" s="167">
        <f>IF(OR(A43&lt;&gt;"",B43&lt;&gt;""),(SUM(C43:N43)+O43)/12,"")</f>
        <v>53.333333333333336</v>
      </c>
      <c r="Q43" s="168">
        <f>IF(OR(A43&lt;&gt;"",B43&lt;&gt;""),SUM(C43:N43)+O43,"")</f>
        <v>640</v>
      </c>
      <c r="R43" s="118" t="s">
        <v>1088</v>
      </c>
      <c r="S43" s="167">
        <f>IF(OR(A43&lt;&gt;"",B43&lt;&gt;""),IF(R43="Sim",Q43/Config!$B$6,Q43),"")</f>
        <v>640</v>
      </c>
      <c r="T43" s="167">
        <f>IF(OR(A43&lt;&gt;"",B43&lt;&gt;""),IF(R43="Sim",P43/Config!$B$6,P43),"")</f>
        <v>53.333333333333336</v>
      </c>
      <c r="U43" t="s">
        <v>269</v>
      </c>
      <c r="V43" s="42" t="s">
        <v>2203</v>
      </c>
      <c r="W43" s="10" t="s">
        <v>374</v>
      </c>
      <c r="X43" s="46" t="s">
        <v>2160</v>
      </c>
      <c r="Y43" s="46"/>
      <c r="Z43" s="46"/>
      <c r="AA43" s="46"/>
      <c r="AB43" s="46"/>
      <c r="AC43" s="46"/>
      <c r="AD43" s="46"/>
      <c r="AE43" s="46"/>
      <c r="AF43" s="46"/>
      <c r="AG43" s="46"/>
      <c r="AH43" s="46"/>
      <c r="AI43" s="46"/>
      <c r="AJ43" s="46"/>
      <c r="AK43" s="46"/>
      <c r="AL43" s="46"/>
      <c r="AM43" s="46"/>
      <c r="AN43" s="46"/>
      <c r="AO43" s="46"/>
      <c r="AP43" s="46"/>
      <c r="AQ43" s="46"/>
      <c r="AR43" s="46"/>
      <c r="AS43" s="46"/>
      <c r="AT43" s="46"/>
      <c r="AU43" s="46"/>
      <c r="AV43" s="46"/>
      <c r="AW43" s="46"/>
      <c r="AX43" s="46"/>
      <c r="AY43" s="46"/>
      <c r="AZ43" s="46"/>
    </row>
    <row r="44" spans="1:52" ht="15.75" x14ac:dyDescent="0.25">
      <c r="A44" s="11" t="s">
        <v>51</v>
      </c>
      <c r="B44" s="11" t="s">
        <v>997</v>
      </c>
      <c r="C44" s="169"/>
      <c r="D44" s="169"/>
      <c r="E44" s="169"/>
      <c r="F44" s="169">
        <v>381.69</v>
      </c>
      <c r="G44" s="169">
        <v>150.34</v>
      </c>
      <c r="H44" s="169">
        <v>133.38</v>
      </c>
      <c r="I44" s="169">
        <v>62.02</v>
      </c>
      <c r="J44" s="169">
        <v>160.69999999999999</v>
      </c>
      <c r="K44" s="169">
        <v>62.26</v>
      </c>
      <c r="L44" s="169">
        <v>61.7</v>
      </c>
      <c r="M44" s="169"/>
      <c r="N44" s="169"/>
      <c r="O44" s="169"/>
      <c r="P44" s="169">
        <f>IF(OR(A44&lt;&gt;"",B44&lt;&gt;""),(SUM(C44:N44)+O44)/12,"")</f>
        <v>84.340833333333322</v>
      </c>
      <c r="Q44" s="170">
        <f>IF(OR(A44&lt;&gt;"",B44&lt;&gt;""),SUM(C44:N44)+O44,"")</f>
        <v>1012.0899999999999</v>
      </c>
      <c r="R44" s="119" t="s">
        <v>1088</v>
      </c>
      <c r="S44" s="169">
        <f>IF(OR(A44&lt;&gt;"",B44&lt;&gt;""),IF(R44="Sim",Q44/Config!$B$6,Q44),"")</f>
        <v>1012.0899999999999</v>
      </c>
      <c r="T44" s="169">
        <f>IF(OR(A44&lt;&gt;"",B44&lt;&gt;""),IF(R44="Sim",P44/Config!$B$6,P44),"")</f>
        <v>84.340833333333322</v>
      </c>
      <c r="U44" t="s">
        <v>269</v>
      </c>
      <c r="V44" s="42" t="s">
        <v>2204</v>
      </c>
      <c r="W44" s="11" t="s">
        <v>996</v>
      </c>
      <c r="X44" s="46" t="s">
        <v>2161</v>
      </c>
      <c r="Y44" s="46"/>
      <c r="Z44" s="46"/>
      <c r="AA44" s="46"/>
      <c r="AB44" s="46"/>
      <c r="AC44" s="46"/>
      <c r="AD44" s="46"/>
      <c r="AE44" s="46"/>
      <c r="AF44" s="46"/>
      <c r="AG44" s="46"/>
      <c r="AH44" s="46"/>
      <c r="AI44" s="46"/>
      <c r="AJ44" s="46"/>
      <c r="AK44" s="46"/>
      <c r="AL44" s="46"/>
      <c r="AM44" s="46"/>
      <c r="AN44" s="46"/>
      <c r="AO44" s="46"/>
      <c r="AP44" s="46"/>
      <c r="AQ44" s="46"/>
      <c r="AR44" s="46"/>
      <c r="AS44" s="46"/>
      <c r="AT44" s="46"/>
      <c r="AU44" s="46"/>
      <c r="AV44" s="46"/>
      <c r="AW44" s="46"/>
      <c r="AX44" s="46"/>
      <c r="AY44" s="46"/>
      <c r="AZ44" s="46"/>
    </row>
    <row r="45" spans="1:52" hidden="1" x14ac:dyDescent="0.25">
      <c r="A45" s="11" t="s">
        <v>51</v>
      </c>
      <c r="B45" s="11" t="s">
        <v>52</v>
      </c>
      <c r="C45" s="169"/>
      <c r="D45" s="169"/>
      <c r="E45" s="169"/>
      <c r="F45" s="169"/>
      <c r="G45" s="169"/>
      <c r="H45" s="169"/>
      <c r="I45" s="169"/>
      <c r="J45" s="169"/>
      <c r="K45" s="169"/>
      <c r="L45" s="169"/>
      <c r="M45" s="169"/>
      <c r="N45" s="169"/>
      <c r="O45" s="169"/>
      <c r="P45" s="169">
        <f>IF(OR(A45&lt;&gt;"",B45&lt;&gt;""),(SUM(C45:N45)+O45)/12,"")</f>
        <v>0</v>
      </c>
      <c r="Q45" s="169">
        <f>IF(OR(A45&lt;&gt;"",B45&lt;&gt;""),SUM(C45:N45)+O45,"")</f>
        <v>0</v>
      </c>
      <c r="R45" s="119"/>
      <c r="S45" s="169">
        <f>IF(OR(A45&lt;&gt;"",B45&lt;&gt;""),IF(R45="Sim",Q45/Config!$B$6,Q45),"")</f>
        <v>0</v>
      </c>
      <c r="T45" s="169">
        <f>IF(OR(A45&lt;&gt;"",B45&lt;&gt;""),IF(R45="Sim",P45/Config!$B$6,P45),"")</f>
        <v>0</v>
      </c>
      <c r="U45" s="25" t="s">
        <v>2189</v>
      </c>
      <c r="V45" s="11"/>
      <c r="W45" s="11"/>
      <c r="X45" s="46" t="s">
        <v>2162</v>
      </c>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row>
    <row r="46" spans="1:52" hidden="1" x14ac:dyDescent="0.25">
      <c r="A46" s="11" t="s">
        <v>51</v>
      </c>
      <c r="B46" s="11" t="s">
        <v>53</v>
      </c>
      <c r="C46" s="169"/>
      <c r="D46" s="169"/>
      <c r="E46" s="169"/>
      <c r="F46" s="169"/>
      <c r="G46" s="169"/>
      <c r="H46" s="169"/>
      <c r="I46" s="169"/>
      <c r="J46" s="169"/>
      <c r="K46" s="169"/>
      <c r="L46" s="169"/>
      <c r="M46" s="169"/>
      <c r="N46" s="169"/>
      <c r="O46" s="169"/>
      <c r="P46" s="169">
        <f>IF(OR(A46&lt;&gt;"",B46&lt;&gt;""),(SUM(C46:N46)+O46)/12,"")</f>
        <v>0</v>
      </c>
      <c r="Q46" s="169">
        <f>IF(OR(A46&lt;&gt;"",B46&lt;&gt;""),SUM(C46:N46)+O46,"")</f>
        <v>0</v>
      </c>
      <c r="R46" s="119"/>
      <c r="S46" s="169">
        <f>IF(OR(A46&lt;&gt;"",B46&lt;&gt;""),IF(R46="Sim",Q46/Config!$B$6,Q46),"")</f>
        <v>0</v>
      </c>
      <c r="T46" s="169">
        <f>IF(OR(A46&lt;&gt;"",B46&lt;&gt;""),IF(R46="Sim",P46/Config!$B$6,P46),"")</f>
        <v>0</v>
      </c>
      <c r="U46" s="25" t="s">
        <v>2189</v>
      </c>
      <c r="V46" s="11"/>
      <c r="W46" s="11"/>
      <c r="X46" s="46" t="s">
        <v>2163</v>
      </c>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row>
    <row r="47" spans="1:52" hidden="1" x14ac:dyDescent="0.25">
      <c r="A47" s="11" t="s">
        <v>51</v>
      </c>
      <c r="B47" s="11" t="s">
        <v>54</v>
      </c>
      <c r="C47" s="169"/>
      <c r="D47" s="169"/>
      <c r="E47" s="169"/>
      <c r="F47" s="169"/>
      <c r="G47" s="169"/>
      <c r="H47" s="169"/>
      <c r="I47" s="169"/>
      <c r="J47" s="169"/>
      <c r="K47" s="169"/>
      <c r="L47" s="169"/>
      <c r="M47" s="169"/>
      <c r="N47" s="169"/>
      <c r="O47" s="169"/>
      <c r="P47" s="169">
        <f>IF(OR(A47&lt;&gt;"",B47&lt;&gt;""),(SUM(C47:N47)+O47)/12,"")</f>
        <v>0</v>
      </c>
      <c r="Q47" s="169">
        <f>IF(OR(A47&lt;&gt;"",B47&lt;&gt;""),SUM(C47:N47)+O47,"")</f>
        <v>0</v>
      </c>
      <c r="R47" s="119"/>
      <c r="S47" s="169">
        <f>IF(OR(A47&lt;&gt;"",B47&lt;&gt;""),IF(R47="Sim",Q47/Config!$B$6,Q47),"")</f>
        <v>0</v>
      </c>
      <c r="T47" s="169">
        <f>IF(OR(A47&lt;&gt;"",B47&lt;&gt;""),IF(R47="Sim",P47/Config!$B$6,P47),"")</f>
        <v>0</v>
      </c>
      <c r="U47" s="25" t="s">
        <v>2189</v>
      </c>
      <c r="V47" s="11"/>
      <c r="W47" s="11"/>
      <c r="X47" s="46" t="s">
        <v>2164</v>
      </c>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c r="AY47" s="46"/>
      <c r="AZ47" s="46"/>
    </row>
    <row r="48" spans="1:52" hidden="1" x14ac:dyDescent="0.25">
      <c r="A48" s="12" t="s">
        <v>55</v>
      </c>
      <c r="B48" s="12" t="s">
        <v>56</v>
      </c>
      <c r="C48" s="171"/>
      <c r="D48" s="171"/>
      <c r="E48" s="171"/>
      <c r="F48" s="171"/>
      <c r="G48" s="171"/>
      <c r="H48" s="171"/>
      <c r="I48" s="171"/>
      <c r="J48" s="171"/>
      <c r="K48" s="171"/>
      <c r="L48" s="171"/>
      <c r="M48" s="171"/>
      <c r="N48" s="171"/>
      <c r="O48" s="171"/>
      <c r="P48" s="171">
        <f>IF(OR(A48&lt;&gt;"",B48&lt;&gt;""),(SUM(C48:N48)+O48)/12,"")</f>
        <v>0</v>
      </c>
      <c r="Q48" s="171">
        <f>IF(OR(A48&lt;&gt;"",B48&lt;&gt;""),SUM(C48:N48)+O48,"")</f>
        <v>0</v>
      </c>
      <c r="R48" s="120"/>
      <c r="S48" s="171">
        <f>IF(OR(A48&lt;&gt;"",B48&lt;&gt;""),IF(R48="Sim",Q48/Config!$B$6,Q48),"")</f>
        <v>0</v>
      </c>
      <c r="T48" s="171">
        <f>IF(OR(A48&lt;&gt;"",B48&lt;&gt;""),IF(R48="Sim",P48/Config!$B$6,P48),"")</f>
        <v>0</v>
      </c>
      <c r="U48" s="26" t="s">
        <v>2189</v>
      </c>
      <c r="V48" s="12"/>
      <c r="W48" s="12"/>
      <c r="X48" s="46" t="s">
        <v>2165</v>
      </c>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c r="AW48" s="46"/>
      <c r="AX48" s="46"/>
      <c r="AY48" s="46"/>
      <c r="AZ48" s="46"/>
    </row>
    <row r="49" spans="1:52" hidden="1" x14ac:dyDescent="0.25">
      <c r="A49" s="12" t="s">
        <v>55</v>
      </c>
      <c r="B49" s="12" t="s">
        <v>57</v>
      </c>
      <c r="C49" s="171"/>
      <c r="D49" s="171"/>
      <c r="E49" s="171"/>
      <c r="F49" s="171"/>
      <c r="G49" s="171"/>
      <c r="H49" s="171"/>
      <c r="I49" s="171"/>
      <c r="J49" s="171"/>
      <c r="K49" s="171"/>
      <c r="L49" s="171"/>
      <c r="M49" s="171"/>
      <c r="N49" s="171"/>
      <c r="O49" s="171"/>
      <c r="P49" s="171">
        <f>IF(OR(A49&lt;&gt;"",B49&lt;&gt;""),(SUM(C49:N49)+O49)/12,"")</f>
        <v>0</v>
      </c>
      <c r="Q49" s="171">
        <f>IF(OR(A49&lt;&gt;"",B49&lt;&gt;""),SUM(C49:N49)+O49,"")</f>
        <v>0</v>
      </c>
      <c r="R49" s="120"/>
      <c r="S49" s="171">
        <f>IF(OR(A49&lt;&gt;"",B49&lt;&gt;""),IF(R49="Sim",Q49/Config!$B$6,Q49),"")</f>
        <v>0</v>
      </c>
      <c r="T49" s="171">
        <f>IF(OR(A49&lt;&gt;"",B49&lt;&gt;""),IF(R49="Sim",P49/Config!$B$6,P49),"")</f>
        <v>0</v>
      </c>
      <c r="U49" s="26" t="s">
        <v>2189</v>
      </c>
      <c r="V49" s="12"/>
      <c r="W49" s="12"/>
      <c r="X49" s="46" t="s">
        <v>2166</v>
      </c>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AW49" s="46"/>
      <c r="AX49" s="46"/>
      <c r="AY49" s="46"/>
      <c r="AZ49" s="46"/>
    </row>
    <row r="50" spans="1:52" hidden="1" x14ac:dyDescent="0.25">
      <c r="A50" s="12" t="s">
        <v>55</v>
      </c>
      <c r="B50" s="12" t="s">
        <v>58</v>
      </c>
      <c r="C50" s="171"/>
      <c r="D50" s="171"/>
      <c r="E50" s="171"/>
      <c r="F50" s="171"/>
      <c r="G50" s="171"/>
      <c r="H50" s="171"/>
      <c r="I50" s="171"/>
      <c r="J50" s="171"/>
      <c r="K50" s="171"/>
      <c r="L50" s="171"/>
      <c r="M50" s="171"/>
      <c r="N50" s="171"/>
      <c r="O50" s="171"/>
      <c r="P50" s="171">
        <f>IF(OR(A50&lt;&gt;"",B50&lt;&gt;""),(SUM(C50:N50)+O50)/12,"")</f>
        <v>0</v>
      </c>
      <c r="Q50" s="171">
        <f>IF(OR(A50&lt;&gt;"",B50&lt;&gt;""),SUM(C50:N50)+O50,"")</f>
        <v>0</v>
      </c>
      <c r="R50" s="120"/>
      <c r="S50" s="171">
        <f>IF(OR(A50&lt;&gt;"",B50&lt;&gt;""),IF(R50="Sim",Q50/Config!$B$6,Q50),"")</f>
        <v>0</v>
      </c>
      <c r="T50" s="171">
        <f>IF(OR(A50&lt;&gt;"",B50&lt;&gt;""),IF(R50="Sim",P50/Config!$B$6,P50),"")</f>
        <v>0</v>
      </c>
      <c r="U50" s="26" t="s">
        <v>2189</v>
      </c>
      <c r="V50" s="12"/>
      <c r="W50" s="12"/>
      <c r="X50" s="46" t="s">
        <v>2167</v>
      </c>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row>
    <row r="51" spans="1:52" ht="15.75" x14ac:dyDescent="0.25">
      <c r="A51" s="13" t="s">
        <v>60</v>
      </c>
      <c r="B51" s="13" t="s">
        <v>61</v>
      </c>
      <c r="C51" s="172"/>
      <c r="D51" s="172"/>
      <c r="E51" s="172"/>
      <c r="F51" s="172">
        <v>1211.0800000000002</v>
      </c>
      <c r="G51" s="172">
        <v>289.49</v>
      </c>
      <c r="H51" s="172">
        <v>365.68</v>
      </c>
      <c r="I51" s="172">
        <v>430.01000000000005</v>
      </c>
      <c r="J51" s="172">
        <v>54.730000000000004</v>
      </c>
      <c r="K51" s="172">
        <v>316.57000000000005</v>
      </c>
      <c r="L51" s="172">
        <v>251.87</v>
      </c>
      <c r="M51" s="172">
        <v>165.42</v>
      </c>
      <c r="N51" s="172">
        <v>19.899999999999999</v>
      </c>
      <c r="O51" s="172"/>
      <c r="P51" s="172">
        <f>IF(OR(A51&lt;&gt;"",B51&lt;&gt;""),(SUM(C51:N51)+O51)/12,"")</f>
        <v>258.72916666666669</v>
      </c>
      <c r="Q51" s="173">
        <f>IF(OR(A51&lt;&gt;"",B51&lt;&gt;""),SUM(C51:N51)+O51,"")</f>
        <v>3104.7500000000005</v>
      </c>
      <c r="R51" s="121" t="s">
        <v>17</v>
      </c>
      <c r="S51" s="172">
        <f>IF(OR(A51&lt;&gt;"",B51&lt;&gt;""),IF(R51="Sim",Q51/Config!$B$6,Q51),"")</f>
        <v>1552.3750000000002</v>
      </c>
      <c r="T51" s="172">
        <f>IF(OR(A51&lt;&gt;"",B51&lt;&gt;""),IF(R51="Sim",P51/Config!$B$6,P51),"")</f>
        <v>129.36458333333334</v>
      </c>
      <c r="U51" t="s">
        <v>2189</v>
      </c>
      <c r="V51" s="42" t="s">
        <v>2205</v>
      </c>
      <c r="W51" s="13" t="s">
        <v>1460</v>
      </c>
      <c r="X51" s="46" t="s">
        <v>2168</v>
      </c>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c r="AW51" s="46"/>
      <c r="AX51" s="46"/>
      <c r="AY51" s="46"/>
      <c r="AZ51" s="46"/>
    </row>
    <row r="52" spans="1:52" hidden="1" x14ac:dyDescent="0.25">
      <c r="A52" s="13" t="s">
        <v>60</v>
      </c>
      <c r="B52" s="13" t="s">
        <v>62</v>
      </c>
      <c r="C52" s="172"/>
      <c r="D52" s="172"/>
      <c r="E52" s="172"/>
      <c r="F52" s="172"/>
      <c r="G52" s="172"/>
      <c r="H52" s="172"/>
      <c r="I52" s="172"/>
      <c r="J52" s="172"/>
      <c r="K52" s="172"/>
      <c r="L52" s="172"/>
      <c r="M52" s="172"/>
      <c r="N52" s="172"/>
      <c r="O52" s="172"/>
      <c r="P52" s="172">
        <f>IF(OR(A52&lt;&gt;"",B52&lt;&gt;""),(SUM(C52:N52)+O52)/12,"")</f>
        <v>0</v>
      </c>
      <c r="Q52" s="172">
        <f>IF(OR(A52&lt;&gt;"",B52&lt;&gt;""),SUM(C52:N52)+O52,"")</f>
        <v>0</v>
      </c>
      <c r="R52" s="121"/>
      <c r="S52" s="172">
        <f>IF(OR(A52&lt;&gt;"",B52&lt;&gt;""),IF(R52="Sim",Q52/Config!$B$6,Q52),"")</f>
        <v>0</v>
      </c>
      <c r="T52" s="172">
        <f>IF(OR(A52&lt;&gt;"",B52&lt;&gt;""),IF(R52="Sim",P52/Config!$B$6,P52),"")</f>
        <v>0</v>
      </c>
      <c r="U52" s="27" t="s">
        <v>2189</v>
      </c>
      <c r="V52" s="13"/>
      <c r="W52" s="13"/>
      <c r="X52" s="46" t="s">
        <v>2169</v>
      </c>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row>
    <row r="53" spans="1:52" ht="15.75" hidden="1" customHeight="1" x14ac:dyDescent="0.25">
      <c r="A53" s="13" t="s">
        <v>60</v>
      </c>
      <c r="B53" s="13" t="s">
        <v>63</v>
      </c>
      <c r="C53" s="172"/>
      <c r="D53" s="172"/>
      <c r="E53" s="172"/>
      <c r="F53" s="172"/>
      <c r="G53" s="172"/>
      <c r="H53" s="172"/>
      <c r="I53" s="172"/>
      <c r="J53" s="172"/>
      <c r="K53" s="172"/>
      <c r="L53" s="172"/>
      <c r="M53" s="172"/>
      <c r="N53" s="172"/>
      <c r="O53" s="172"/>
      <c r="P53" s="172">
        <f>IF(OR(A53&lt;&gt;"",B53&lt;&gt;""),(SUM(C53:N53)+O53)/12,"")</f>
        <v>0</v>
      </c>
      <c r="Q53" s="172">
        <f>IF(OR(A53&lt;&gt;"",B53&lt;&gt;""),SUM(C53:N53)+O53,"")</f>
        <v>0</v>
      </c>
      <c r="R53" s="121"/>
      <c r="S53" s="172">
        <f>IF(OR(A53&lt;&gt;"",B53&lt;&gt;""),IF(R53="Sim",Q53/Config!$B$6,Q53),"")</f>
        <v>0</v>
      </c>
      <c r="T53" s="172">
        <f>IF(OR(A53&lt;&gt;"",B53&lt;&gt;""),IF(R53="Sim",P53/Config!$B$6,P53),"")</f>
        <v>0</v>
      </c>
      <c r="U53" s="27" t="s">
        <v>2189</v>
      </c>
      <c r="V53" s="13"/>
      <c r="W53" s="13"/>
      <c r="X53" s="46" t="s">
        <v>2170</v>
      </c>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c r="AY53" s="46"/>
      <c r="AZ53" s="46"/>
    </row>
    <row r="54" spans="1:52" ht="15.75" x14ac:dyDescent="0.25">
      <c r="A54" s="13" t="s">
        <v>60</v>
      </c>
      <c r="B54" s="13" t="s">
        <v>64</v>
      </c>
      <c r="C54" s="172"/>
      <c r="D54" s="172"/>
      <c r="E54" s="172"/>
      <c r="F54" s="172">
        <v>7.95</v>
      </c>
      <c r="G54" s="172"/>
      <c r="H54" s="172">
        <v>64.75</v>
      </c>
      <c r="I54" s="172">
        <v>84.65</v>
      </c>
      <c r="J54" s="172">
        <v>64.75</v>
      </c>
      <c r="K54" s="172">
        <v>84.65</v>
      </c>
      <c r="L54" s="172">
        <v>63.75</v>
      </c>
      <c r="M54" s="172">
        <v>55.8</v>
      </c>
      <c r="N54" s="172"/>
      <c r="O54" s="172"/>
      <c r="P54" s="172">
        <f>IF(OR(A54&lt;&gt;"",B54&lt;&gt;""),(SUM(C54:N54)+O54)/12,"")</f>
        <v>35.524999999999999</v>
      </c>
      <c r="Q54" s="173">
        <f>IF(OR(A54&lt;&gt;"",B54&lt;&gt;""),SUM(C54:N54)+O54,"")</f>
        <v>426.3</v>
      </c>
      <c r="R54" s="121" t="s">
        <v>8</v>
      </c>
      <c r="S54" s="172">
        <f>IF(OR(A54&lt;&gt;"",B54&lt;&gt;""),IF(R54="Sim",Q54/Config!$B$6,Q54),"")</f>
        <v>213.15</v>
      </c>
      <c r="T54" s="172">
        <f>IF(OR(A54&lt;&gt;"",B54&lt;&gt;""),IF(R54="Sim",P54/Config!$B$6,P54),"")</f>
        <v>17.762499999999999</v>
      </c>
      <c r="U54" t="s">
        <v>269</v>
      </c>
      <c r="V54" s="42" t="s">
        <v>2206</v>
      </c>
      <c r="W54" s="13" t="s">
        <v>1453</v>
      </c>
      <c r="X54" s="46" t="s">
        <v>2171</v>
      </c>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c r="AY54" s="46"/>
      <c r="AZ54" s="46"/>
    </row>
    <row r="55" spans="1:52" ht="15.75" x14ac:dyDescent="0.25">
      <c r="A55" s="14" t="s">
        <v>66</v>
      </c>
      <c r="B55" s="14" t="s">
        <v>66</v>
      </c>
      <c r="C55" s="174"/>
      <c r="D55" s="174"/>
      <c r="E55" s="174"/>
      <c r="F55" s="174">
        <v>1230</v>
      </c>
      <c r="G55" s="174">
        <v>728</v>
      </c>
      <c r="H55" s="174">
        <v>760</v>
      </c>
      <c r="I55" s="174">
        <v>500</v>
      </c>
      <c r="J55" s="174">
        <v>820</v>
      </c>
      <c r="K55" s="174">
        <v>1360</v>
      </c>
      <c r="L55" s="174"/>
      <c r="M55" s="174">
        <v>1140</v>
      </c>
      <c r="N55" s="174">
        <v>590</v>
      </c>
      <c r="O55" s="174"/>
      <c r="P55" s="174">
        <f>IF(OR(A55&lt;&gt;"",B55&lt;&gt;""),(SUM(C55:N55)+O55)/12,"")</f>
        <v>594</v>
      </c>
      <c r="Q55" s="174">
        <f>IF(OR(A55&lt;&gt;"",B55&lt;&gt;""),SUM(C55:N55)+O55,"")</f>
        <v>7128</v>
      </c>
      <c r="R55" s="122"/>
      <c r="S55" s="174">
        <f>IF(OR(A55&lt;&gt;"",B55&lt;&gt;""),IF(R55="Sim",Q55/Config!$B$6,Q55),"")</f>
        <v>7128</v>
      </c>
      <c r="T55" s="174">
        <f>IF(OR(A55&lt;&gt;"",B55&lt;&gt;""),IF(R55="Sim",P55/Config!$B$6,P55),"")</f>
        <v>594</v>
      </c>
      <c r="U55" s="28" t="s">
        <v>269</v>
      </c>
      <c r="V55" s="42" t="s">
        <v>2355</v>
      </c>
      <c r="W55" s="14"/>
      <c r="X55" s="46" t="s">
        <v>2172</v>
      </c>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row>
    <row r="56" spans="1:52" hidden="1" x14ac:dyDescent="0.25">
      <c r="A56" s="14" t="s">
        <v>65</v>
      </c>
      <c r="B56" s="14" t="s">
        <v>67</v>
      </c>
      <c r="C56" s="174"/>
      <c r="D56" s="174"/>
      <c r="E56" s="174"/>
      <c r="F56" s="174"/>
      <c r="G56" s="174"/>
      <c r="H56" s="174"/>
      <c r="I56" s="174"/>
      <c r="J56" s="174"/>
      <c r="K56" s="174"/>
      <c r="L56" s="174"/>
      <c r="M56" s="174"/>
      <c r="N56" s="174"/>
      <c r="O56" s="174"/>
      <c r="P56" s="174">
        <f>IF(OR(A56&lt;&gt;"",B56&lt;&gt;""),(SUM(C56:N56)+O56)/12,"")</f>
        <v>0</v>
      </c>
      <c r="Q56" s="174">
        <f>IF(OR(A56&lt;&gt;"",B56&lt;&gt;""),SUM(C56:N56)+O56,"")</f>
        <v>0</v>
      </c>
      <c r="R56" s="122"/>
      <c r="S56" s="174">
        <f>IF(OR(A56&lt;&gt;"",B56&lt;&gt;""),IF(R56="Sim",Q56/Config!$B$6,Q56),"")</f>
        <v>0</v>
      </c>
      <c r="T56" s="174">
        <f>IF(OR(A56&lt;&gt;"",B56&lt;&gt;""),IF(R56="Sim",P56/Config!$B$6,P56),"")</f>
        <v>0</v>
      </c>
      <c r="U56" s="28" t="s">
        <v>2189</v>
      </c>
      <c r="V56" s="14"/>
      <c r="W56" s="14"/>
      <c r="X56" s="46" t="s">
        <v>2173</v>
      </c>
      <c r="Y56" s="46"/>
      <c r="Z56" s="46"/>
      <c r="AA56" s="46"/>
      <c r="AB56" s="46"/>
      <c r="AC56" s="46"/>
      <c r="AD56" s="46"/>
      <c r="AE56" s="46"/>
      <c r="AF56" s="46"/>
      <c r="AG56" s="46"/>
      <c r="AH56" s="46"/>
      <c r="AI56" s="46"/>
      <c r="AJ56" s="46"/>
      <c r="AK56" s="46"/>
      <c r="AL56" s="46"/>
      <c r="AM56" s="46"/>
      <c r="AN56" s="46"/>
      <c r="AO56" s="46"/>
      <c r="AP56" s="46"/>
      <c r="AQ56" s="46"/>
      <c r="AR56" s="46"/>
      <c r="AS56" s="46"/>
      <c r="AT56" s="46"/>
      <c r="AU56" s="46"/>
      <c r="AV56" s="46"/>
      <c r="AW56" s="46"/>
      <c r="AX56" s="46"/>
      <c r="AY56" s="46"/>
      <c r="AZ56" s="46"/>
    </row>
    <row r="57" spans="1:52" hidden="1" x14ac:dyDescent="0.25">
      <c r="A57" s="14" t="s">
        <v>65</v>
      </c>
      <c r="B57" s="14" t="s">
        <v>68</v>
      </c>
      <c r="C57" s="174"/>
      <c r="D57" s="174"/>
      <c r="E57" s="174"/>
      <c r="F57" s="174"/>
      <c r="G57" s="174"/>
      <c r="H57" s="174"/>
      <c r="I57" s="174"/>
      <c r="J57" s="174"/>
      <c r="K57" s="174"/>
      <c r="L57" s="174"/>
      <c r="M57" s="174"/>
      <c r="N57" s="174"/>
      <c r="O57" s="174"/>
      <c r="P57" s="174">
        <f>IF(OR(A57&lt;&gt;"",B57&lt;&gt;""),(SUM(C57:N57)+O57)/12,"")</f>
        <v>0</v>
      </c>
      <c r="Q57" s="174">
        <f>IF(OR(A57&lt;&gt;"",B57&lt;&gt;""),SUM(C57:N57)+O57,"")</f>
        <v>0</v>
      </c>
      <c r="R57" s="122"/>
      <c r="S57" s="174">
        <f>IF(OR(A57&lt;&gt;"",B57&lt;&gt;""),IF(R57="Sim",Q57/Config!$B$6,Q57),"")</f>
        <v>0</v>
      </c>
      <c r="T57" s="174">
        <f>IF(OR(A57&lt;&gt;"",B57&lt;&gt;""),IF(R57="Sim",P57/Config!$B$6,P57),"")</f>
        <v>0</v>
      </c>
      <c r="U57" s="28" t="s">
        <v>2189</v>
      </c>
      <c r="V57" s="14"/>
      <c r="W57" s="14"/>
      <c r="X57" s="46" t="s">
        <v>2174</v>
      </c>
      <c r="Y57" s="46"/>
      <c r="Z57" s="46"/>
      <c r="AA57" s="46"/>
      <c r="AB57" s="46"/>
      <c r="AC57" s="46"/>
      <c r="AD57" s="46"/>
      <c r="AE57" s="46"/>
      <c r="AF57" s="46"/>
      <c r="AG57" s="46"/>
      <c r="AH57" s="46"/>
      <c r="AI57" s="46"/>
      <c r="AJ57" s="46"/>
      <c r="AK57" s="46"/>
      <c r="AL57" s="46"/>
      <c r="AM57" s="46"/>
      <c r="AN57" s="46"/>
      <c r="AO57" s="46"/>
      <c r="AP57" s="46"/>
      <c r="AQ57" s="46"/>
      <c r="AR57" s="46"/>
      <c r="AS57" s="46"/>
      <c r="AT57" s="46"/>
      <c r="AU57" s="46"/>
      <c r="AV57" s="46"/>
      <c r="AW57" s="46"/>
      <c r="AX57" s="46"/>
      <c r="AY57" s="46"/>
      <c r="AZ57" s="46"/>
    </row>
    <row r="58" spans="1:52" hidden="1" x14ac:dyDescent="0.25">
      <c r="A58" s="14" t="s">
        <v>65</v>
      </c>
      <c r="B58" s="14" t="s">
        <v>69</v>
      </c>
      <c r="C58" s="174"/>
      <c r="D58" s="174"/>
      <c r="E58" s="174"/>
      <c r="F58" s="174"/>
      <c r="G58" s="174"/>
      <c r="H58" s="174"/>
      <c r="I58" s="174"/>
      <c r="J58" s="174"/>
      <c r="K58" s="174"/>
      <c r="L58" s="174"/>
      <c r="M58" s="174"/>
      <c r="N58" s="174"/>
      <c r="O58" s="174"/>
      <c r="P58" s="174">
        <f>IF(OR(A58&lt;&gt;"",B58&lt;&gt;""),(SUM(C58:N58)+O58)/12,"")</f>
        <v>0</v>
      </c>
      <c r="Q58" s="175">
        <f>IF(OR(A58&lt;&gt;"",B58&lt;&gt;""),SUM(C58:N58)+O58,"")</f>
        <v>0</v>
      </c>
      <c r="R58" s="122"/>
      <c r="S58" s="174">
        <f>IF(OR(A58&lt;&gt;"",B58&lt;&gt;""),IF(R58="Sim",Q58/Config!$B$6,Q58),"")</f>
        <v>0</v>
      </c>
      <c r="T58" s="174">
        <f>IF(OR(A58&lt;&gt;"",B58&lt;&gt;""),IF(R58="Sim",P58/Config!$B$6,P58),"")</f>
        <v>0</v>
      </c>
      <c r="U58" s="28" t="s">
        <v>2189</v>
      </c>
      <c r="V58" s="34"/>
      <c r="W58" s="14"/>
      <c r="X58" s="46" t="s">
        <v>2175</v>
      </c>
      <c r="Y58" s="46"/>
      <c r="Z58" s="46"/>
      <c r="AA58" s="46"/>
      <c r="AB58" s="46"/>
      <c r="AC58" s="46"/>
      <c r="AD58" s="46"/>
      <c r="AE58" s="46"/>
      <c r="AF58" s="46"/>
      <c r="AG58" s="46"/>
      <c r="AH58" s="46"/>
      <c r="AI58" s="46"/>
      <c r="AJ58" s="46"/>
      <c r="AK58" s="46"/>
      <c r="AL58" s="46"/>
      <c r="AM58" s="46"/>
      <c r="AN58" s="46"/>
      <c r="AO58" s="46"/>
      <c r="AP58" s="46"/>
      <c r="AQ58" s="46"/>
      <c r="AR58" s="46"/>
      <c r="AS58" s="46"/>
      <c r="AT58" s="46"/>
      <c r="AU58" s="46"/>
      <c r="AV58" s="46"/>
      <c r="AW58" s="46"/>
      <c r="AX58" s="46"/>
      <c r="AY58" s="46"/>
      <c r="AZ58" s="46"/>
    </row>
    <row r="59" spans="1:52" ht="15.75" x14ac:dyDescent="0.25">
      <c r="A59" s="5" t="s">
        <v>6</v>
      </c>
      <c r="B59" s="5" t="s">
        <v>69</v>
      </c>
      <c r="C59" s="156"/>
      <c r="D59" s="156"/>
      <c r="E59" s="156"/>
      <c r="F59" s="156"/>
      <c r="G59" s="156"/>
      <c r="H59" s="156">
        <v>300</v>
      </c>
      <c r="I59" s="156"/>
      <c r="J59" s="156"/>
      <c r="K59" s="156"/>
      <c r="L59" s="156">
        <v>220</v>
      </c>
      <c r="M59" s="156"/>
      <c r="N59" s="156"/>
      <c r="O59" s="156"/>
      <c r="P59" s="156">
        <f>IF(OR(A59&lt;&gt;"",B59&lt;&gt;""),(SUM(C59:N59)+O59)/12,"")</f>
        <v>43.333333333333336</v>
      </c>
      <c r="Q59" s="157">
        <f>IF(OR(A59&lt;&gt;"",B59&lt;&gt;""),SUM(C59:N59)+O59,"")</f>
        <v>520</v>
      </c>
      <c r="R59" s="113" t="s">
        <v>8</v>
      </c>
      <c r="S59" s="156">
        <f>IF(OR(A59&lt;&gt;"",B59&lt;&gt;""),IF(R59="Sim",Q59/Config!$B$6,Q59),"")</f>
        <v>260</v>
      </c>
      <c r="T59" s="156">
        <f>IF(OR(A59&lt;&gt;"",B59&lt;&gt;""),IF(R59="Sim",P59/Config!$B$6,P59),"")</f>
        <v>21.666666666666668</v>
      </c>
      <c r="U59" t="s">
        <v>269</v>
      </c>
      <c r="V59" s="42" t="s">
        <v>2207</v>
      </c>
      <c r="W59" s="5" t="s">
        <v>1198</v>
      </c>
      <c r="X59" s="47" t="s">
        <v>2176</v>
      </c>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c r="AW59" s="47"/>
      <c r="AX59" s="47"/>
      <c r="AY59" s="47"/>
      <c r="AZ59" s="47"/>
    </row>
    <row r="60" spans="1:52" customFormat="1" ht="15" hidden="1" x14ac:dyDescent="0.25">
      <c r="A60" t="s">
        <v>55</v>
      </c>
      <c r="B60" t="s">
        <v>958</v>
      </c>
      <c r="C60" s="176"/>
      <c r="D60" s="176"/>
      <c r="E60" s="176"/>
      <c r="F60" s="176"/>
      <c r="G60" s="176"/>
      <c r="H60" s="176"/>
      <c r="I60" s="176"/>
      <c r="J60" s="176"/>
      <c r="K60" s="176"/>
      <c r="L60" s="176"/>
      <c r="M60" s="176"/>
      <c r="N60" s="176"/>
      <c r="O60" s="176"/>
      <c r="P60" s="176">
        <f>IF(OR(A60&lt;&gt;"",B60&lt;&gt;""),(SUM(C60:N60)+O60)/12,"")</f>
        <v>0</v>
      </c>
      <c r="Q60" s="176">
        <f>IF(OR(A60&lt;&gt;"",B60&lt;&gt;""),SUM(C60:N60)+O60,"")</f>
        <v>0</v>
      </c>
      <c r="R60" s="137"/>
      <c r="S60" s="176">
        <f>IF(OR(A60&lt;&gt;"",B60&lt;&gt;""),IF(R60="Sim",Q60/Config!$B$6,Q60),"")</f>
        <v>0</v>
      </c>
      <c r="T60" s="176">
        <f>IF(OR(A60&lt;&gt;"",B60&lt;&gt;""),IF(R60="Sim",P60/Config!$B$6,P60),"")</f>
        <v>0</v>
      </c>
      <c r="U60" t="s">
        <v>2189</v>
      </c>
      <c r="V60" s="136"/>
      <c r="W60" s="136"/>
      <c r="X60" t="s">
        <v>2177</v>
      </c>
    </row>
    <row r="61" spans="1:52" customFormat="1" ht="15" hidden="1" x14ac:dyDescent="0.25">
      <c r="A61" t="s">
        <v>55</v>
      </c>
      <c r="B61" t="s">
        <v>69</v>
      </c>
      <c r="C61" s="176"/>
      <c r="D61" s="176"/>
      <c r="E61" s="176"/>
      <c r="F61" s="176"/>
      <c r="G61" s="176"/>
      <c r="H61" s="176"/>
      <c r="I61" s="176"/>
      <c r="J61" s="176"/>
      <c r="K61" s="176"/>
      <c r="L61" s="176"/>
      <c r="M61" s="176"/>
      <c r="N61" s="176"/>
      <c r="O61" s="176"/>
      <c r="P61" s="176">
        <f>IF(OR(A61&lt;&gt;"",B61&lt;&gt;""),(SUM(C61:N61)+O61)/12,"")</f>
        <v>0</v>
      </c>
      <c r="Q61" s="176">
        <f>IF(OR(A61&lt;&gt;"",B61&lt;&gt;""),SUM(C61:N61)+O61,"")</f>
        <v>0</v>
      </c>
      <c r="R61" s="137"/>
      <c r="S61" s="176">
        <f>IF(OR(A61&lt;&gt;"",B61&lt;&gt;""),IF(R61="Sim",Q61/Config!$B$6,Q61),"")</f>
        <v>0</v>
      </c>
      <c r="T61" s="176">
        <f>IF(OR(A61&lt;&gt;"",B61&lt;&gt;""),IF(R61="Sim",P61/Config!$B$6,P61),"")</f>
        <v>0</v>
      </c>
      <c r="U61" t="s">
        <v>2189</v>
      </c>
      <c r="V61" s="136"/>
      <c r="W61" s="136"/>
      <c r="X61" t="s">
        <v>2178</v>
      </c>
    </row>
    <row r="62" spans="1:52" hidden="1" x14ac:dyDescent="0.25">
      <c r="A62" s="15"/>
      <c r="B62" s="15"/>
      <c r="C62" s="177"/>
      <c r="D62" s="177"/>
      <c r="E62" s="177"/>
      <c r="F62" s="177"/>
      <c r="G62" s="177"/>
      <c r="H62" s="177"/>
      <c r="I62" s="177"/>
      <c r="J62" s="177"/>
      <c r="K62" s="177"/>
      <c r="L62" s="177"/>
      <c r="M62" s="177"/>
      <c r="N62" s="177"/>
      <c r="O62" s="177"/>
      <c r="P62" s="177" t="str">
        <f>IF(OR(A62&lt;&gt;"",B62&lt;&gt;""),(SUM(C62:N62)+O62)/12,"")</f>
        <v/>
      </c>
      <c r="Q62" s="177" t="str">
        <f>IF(OR(A62&lt;&gt;"",B62&lt;&gt;""),SUM(C62:N62)+O62,"")</f>
        <v/>
      </c>
      <c r="R62" s="123"/>
      <c r="S62" s="177" t="str">
        <f>IF(OR(A62&lt;&gt;"",B62&lt;&gt;""),IF(R62="Sim",Q62/Config!$B$6,Q62),"")</f>
        <v/>
      </c>
      <c r="T62" s="177" t="str">
        <f>IF(OR(A62&lt;&gt;"",B62&lt;&gt;""),IF(R62="Sim",P62/Config!$B$6,P62),"")</f>
        <v/>
      </c>
      <c r="U62" s="29"/>
      <c r="V62" s="15"/>
      <c r="W62" s="15"/>
      <c r="X62" s="46"/>
      <c r="Y62" s="46"/>
      <c r="Z62" s="46"/>
      <c r="AA62" s="46"/>
      <c r="AB62" s="46"/>
      <c r="AC62" s="46"/>
      <c r="AD62" s="46"/>
      <c r="AE62" s="46"/>
      <c r="AF62" s="46"/>
      <c r="AG62" s="46"/>
      <c r="AH62" s="46"/>
      <c r="AI62" s="46"/>
      <c r="AJ62" s="46"/>
      <c r="AK62" s="46"/>
      <c r="AL62" s="46"/>
      <c r="AM62" s="46"/>
      <c r="AN62" s="46"/>
      <c r="AO62" s="46"/>
      <c r="AP62" s="46"/>
      <c r="AQ62" s="46"/>
      <c r="AR62" s="46"/>
      <c r="AS62" s="46"/>
      <c r="AT62" s="46"/>
      <c r="AU62" s="46"/>
      <c r="AV62" s="46"/>
      <c r="AW62" s="46"/>
      <c r="AX62" s="46"/>
      <c r="AY62" s="46"/>
      <c r="AZ62" s="46"/>
    </row>
    <row r="63" spans="1:52" hidden="1" x14ac:dyDescent="0.25">
      <c r="A63" s="15"/>
      <c r="B63" s="15"/>
      <c r="C63" s="177"/>
      <c r="D63" s="177"/>
      <c r="E63" s="177"/>
      <c r="F63" s="177"/>
      <c r="G63" s="177"/>
      <c r="H63" s="177"/>
      <c r="I63" s="177"/>
      <c r="J63" s="177"/>
      <c r="K63" s="177"/>
      <c r="L63" s="177"/>
      <c r="M63" s="177"/>
      <c r="N63" s="177"/>
      <c r="O63" s="177"/>
      <c r="P63" s="177" t="str">
        <f>IF(OR(A63&lt;&gt;"",B63&lt;&gt;""),(SUM(C63:N63)+O63)/12,"")</f>
        <v/>
      </c>
      <c r="Q63" s="177" t="str">
        <f>IF(OR(A63&lt;&gt;"",B63&lt;&gt;""),SUM(C63:N63)+O63,"")</f>
        <v/>
      </c>
      <c r="R63" s="123"/>
      <c r="S63" s="177" t="str">
        <f>IF(OR(A63&lt;&gt;"",B63&lt;&gt;""),IF(R63="Sim",Q63/Config!$B$6,Q63),"")</f>
        <v/>
      </c>
      <c r="T63" s="177" t="str">
        <f>IF(OR(A63&lt;&gt;"",B63&lt;&gt;""),IF(R63="Sim",P63/Config!$B$6,P63),"")</f>
        <v/>
      </c>
      <c r="U63" s="29"/>
      <c r="V63" s="15"/>
      <c r="W63" s="15"/>
      <c r="X63" s="46"/>
      <c r="Y63" s="46"/>
      <c r="Z63" s="46"/>
      <c r="AA63" s="46"/>
      <c r="AB63" s="46"/>
      <c r="AC63" s="46"/>
      <c r="AD63" s="46"/>
      <c r="AE63" s="46"/>
      <c r="AF63" s="46"/>
      <c r="AG63" s="46"/>
      <c r="AH63" s="46"/>
      <c r="AI63" s="46"/>
      <c r="AJ63" s="46"/>
      <c r="AK63" s="46"/>
      <c r="AL63" s="46"/>
      <c r="AM63" s="46"/>
      <c r="AN63" s="46"/>
      <c r="AO63" s="46"/>
      <c r="AP63" s="46"/>
      <c r="AQ63" s="46"/>
      <c r="AR63" s="46"/>
      <c r="AS63" s="46"/>
      <c r="AT63" s="46"/>
      <c r="AU63" s="46"/>
      <c r="AV63" s="46"/>
      <c r="AW63" s="46"/>
      <c r="AX63" s="46"/>
      <c r="AY63" s="46"/>
      <c r="AZ63" s="46"/>
    </row>
    <row r="64" spans="1:52" hidden="1" x14ac:dyDescent="0.25">
      <c r="A64" s="15"/>
      <c r="B64" s="15"/>
      <c r="C64" s="177"/>
      <c r="D64" s="177"/>
      <c r="E64" s="177"/>
      <c r="F64" s="177"/>
      <c r="G64" s="177"/>
      <c r="H64" s="177"/>
      <c r="I64" s="177"/>
      <c r="J64" s="177"/>
      <c r="K64" s="177"/>
      <c r="L64" s="177"/>
      <c r="M64" s="177"/>
      <c r="N64" s="177"/>
      <c r="O64" s="177"/>
      <c r="P64" s="177" t="str">
        <f>IF(OR(A64&lt;&gt;"",B64&lt;&gt;""),(SUM(C64:N64)+O64)/12,"")</f>
        <v/>
      </c>
      <c r="Q64" s="177" t="str">
        <f>IF(OR(A64&lt;&gt;"",B64&lt;&gt;""),SUM(C64:N64)+O64,"")</f>
        <v/>
      </c>
      <c r="R64" s="123"/>
      <c r="S64" s="177" t="str">
        <f>IF(OR(A64&lt;&gt;"",B64&lt;&gt;""),IF(R64="Sim",Q64/Config!$B$6,Q64),"")</f>
        <v/>
      </c>
      <c r="T64" s="177" t="str">
        <f>IF(OR(A64&lt;&gt;"",B64&lt;&gt;""),IF(R64="Sim",P64/Config!$B$6,P64),"")</f>
        <v/>
      </c>
      <c r="U64" s="29"/>
      <c r="V64" s="15"/>
      <c r="W64" s="15"/>
      <c r="X64" s="46"/>
      <c r="Y64" s="46"/>
      <c r="Z64" s="46"/>
      <c r="AA64" s="46"/>
      <c r="AB64" s="46"/>
      <c r="AC64" s="46"/>
      <c r="AD64" s="46"/>
      <c r="AE64" s="46"/>
      <c r="AF64" s="46"/>
      <c r="AG64" s="46"/>
      <c r="AH64" s="46"/>
      <c r="AI64" s="46"/>
      <c r="AJ64" s="46"/>
      <c r="AK64" s="46"/>
      <c r="AL64" s="46"/>
      <c r="AM64" s="46"/>
      <c r="AN64" s="46"/>
      <c r="AO64" s="46"/>
      <c r="AP64" s="46"/>
      <c r="AQ64" s="46"/>
      <c r="AR64" s="46"/>
      <c r="AS64" s="46"/>
      <c r="AT64" s="46"/>
      <c r="AU64" s="46"/>
      <c r="AV64" s="46"/>
      <c r="AW64" s="46"/>
      <c r="AX64" s="46"/>
      <c r="AY64" s="46"/>
      <c r="AZ64" s="46"/>
    </row>
    <row r="65" spans="1:52" hidden="1" x14ac:dyDescent="0.25">
      <c r="A65" s="15"/>
      <c r="B65" s="15"/>
      <c r="C65" s="177"/>
      <c r="D65" s="177"/>
      <c r="E65" s="177"/>
      <c r="F65" s="177"/>
      <c r="G65" s="177"/>
      <c r="H65" s="177"/>
      <c r="I65" s="177"/>
      <c r="J65" s="177"/>
      <c r="K65" s="177"/>
      <c r="L65" s="177"/>
      <c r="M65" s="177"/>
      <c r="N65" s="177"/>
      <c r="O65" s="177"/>
      <c r="P65" s="177" t="str">
        <f>IF(OR(A65&lt;&gt;"",B65&lt;&gt;""),(SUM(C65:N65)+O65)/12,"")</f>
        <v/>
      </c>
      <c r="Q65" s="177" t="str">
        <f>IF(OR(A65&lt;&gt;"",B65&lt;&gt;""),SUM(C65:N65)+O65,"")</f>
        <v/>
      </c>
      <c r="R65" s="123"/>
      <c r="S65" s="177" t="str">
        <f>IF(OR(A65&lt;&gt;"",B65&lt;&gt;""),IF(R65="Sim",Q65/Config!$B$6,Q65),"")</f>
        <v/>
      </c>
      <c r="T65" s="177" t="str">
        <f>IF(OR(A65&lt;&gt;"",B65&lt;&gt;""),IF(R65="Sim",P65/Config!$B$6,P65),"")</f>
        <v/>
      </c>
      <c r="U65" s="29"/>
      <c r="V65" s="15"/>
      <c r="W65" s="15"/>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row>
    <row r="66" spans="1:52" hidden="1" x14ac:dyDescent="0.25">
      <c r="A66" s="15"/>
      <c r="B66" s="15"/>
      <c r="C66" s="177"/>
      <c r="D66" s="177"/>
      <c r="E66" s="177"/>
      <c r="F66" s="177"/>
      <c r="G66" s="177"/>
      <c r="H66" s="177"/>
      <c r="I66" s="177"/>
      <c r="J66" s="177"/>
      <c r="K66" s="177"/>
      <c r="L66" s="177"/>
      <c r="M66" s="177"/>
      <c r="N66" s="177"/>
      <c r="O66" s="177"/>
      <c r="P66" s="177" t="str">
        <f>IF(OR(A66&lt;&gt;"",B66&lt;&gt;""),(SUM(C66:N66)+O66)/12,"")</f>
        <v/>
      </c>
      <c r="Q66" s="177" t="str">
        <f>IF(OR(A66&lt;&gt;"",B66&lt;&gt;""),SUM(C66:N66)+O66,"")</f>
        <v/>
      </c>
      <c r="R66" s="123"/>
      <c r="S66" s="177" t="str">
        <f>IF(OR(A66&lt;&gt;"",B66&lt;&gt;""),IF(R66="Sim",Q66/Config!$B$6,Q66),"")</f>
        <v/>
      </c>
      <c r="T66" s="177" t="str">
        <f>IF(OR(A66&lt;&gt;"",B66&lt;&gt;""),IF(R66="Sim",P66/Config!$B$6,P66),"")</f>
        <v/>
      </c>
      <c r="U66" s="29"/>
      <c r="V66" s="15"/>
      <c r="W66" s="15"/>
      <c r="X66" s="46"/>
      <c r="Y66" s="46"/>
      <c r="Z66" s="46"/>
      <c r="AA66" s="46"/>
      <c r="AB66" s="46"/>
      <c r="AC66" s="46"/>
      <c r="AD66" s="46"/>
      <c r="AE66" s="46"/>
      <c r="AF66" s="46"/>
      <c r="AG66" s="46"/>
      <c r="AH66" s="46"/>
      <c r="AI66" s="46"/>
      <c r="AJ66" s="46"/>
      <c r="AK66" s="46"/>
      <c r="AL66" s="46"/>
      <c r="AM66" s="46"/>
      <c r="AN66" s="46"/>
      <c r="AO66" s="46"/>
      <c r="AP66" s="46"/>
      <c r="AQ66" s="46"/>
      <c r="AR66" s="46"/>
      <c r="AS66" s="46"/>
      <c r="AT66" s="46"/>
      <c r="AU66" s="46"/>
      <c r="AV66" s="46"/>
      <c r="AW66" s="46"/>
      <c r="AX66" s="46"/>
      <c r="AY66" s="46"/>
      <c r="AZ66" s="46"/>
    </row>
    <row r="67" spans="1:52" hidden="1" x14ac:dyDescent="0.25">
      <c r="A67" s="15"/>
      <c r="B67" s="15"/>
      <c r="C67" s="177"/>
      <c r="D67" s="177"/>
      <c r="E67" s="177"/>
      <c r="F67" s="177"/>
      <c r="G67" s="177"/>
      <c r="H67" s="177"/>
      <c r="I67" s="177"/>
      <c r="J67" s="177"/>
      <c r="K67" s="177"/>
      <c r="L67" s="177"/>
      <c r="M67" s="177"/>
      <c r="N67" s="177"/>
      <c r="O67" s="177"/>
      <c r="P67" s="177" t="str">
        <f>IF(OR(A67&lt;&gt;"",B67&lt;&gt;""),(SUM(C67:N67)+O67)/12,"")</f>
        <v/>
      </c>
      <c r="Q67" s="177" t="str">
        <f>IF(OR(A67&lt;&gt;"",B67&lt;&gt;""),SUM(C67:N67)+O67,"")</f>
        <v/>
      </c>
      <c r="R67" s="123"/>
      <c r="S67" s="177" t="str">
        <f>IF(OR(A67&lt;&gt;"",B67&lt;&gt;""),IF(R67="Sim",Q67/Config!$B$6,Q67),"")</f>
        <v/>
      </c>
      <c r="T67" s="177" t="str">
        <f>IF(OR(A67&lt;&gt;"",B67&lt;&gt;""),IF(R67="Sim",P67/Config!$B$6,P67),"")</f>
        <v/>
      </c>
      <c r="U67" s="29"/>
      <c r="V67" s="15"/>
      <c r="W67" s="15"/>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row>
    <row r="68" spans="1:52" hidden="1" x14ac:dyDescent="0.25">
      <c r="A68" s="15"/>
      <c r="B68" s="15"/>
      <c r="C68" s="177"/>
      <c r="D68" s="177"/>
      <c r="E68" s="177"/>
      <c r="F68" s="177"/>
      <c r="G68" s="177"/>
      <c r="H68" s="177"/>
      <c r="I68" s="177"/>
      <c r="J68" s="177"/>
      <c r="K68" s="177"/>
      <c r="L68" s="177"/>
      <c r="M68" s="177"/>
      <c r="N68" s="177"/>
      <c r="O68" s="177"/>
      <c r="P68" s="177" t="str">
        <f>IF(OR(A68&lt;&gt;"",B68&lt;&gt;""),(SUM(C68:N68)+O68)/12,"")</f>
        <v/>
      </c>
      <c r="Q68" s="177" t="str">
        <f>IF(OR(A68&lt;&gt;"",B68&lt;&gt;""),SUM(C68:N68)+O68,"")</f>
        <v/>
      </c>
      <c r="R68" s="123"/>
      <c r="S68" s="177" t="str">
        <f>IF(OR(A68&lt;&gt;"",B68&lt;&gt;""),IF(R68="Sim",Q68/Config!$B$6,Q68),"")</f>
        <v/>
      </c>
      <c r="T68" s="177" t="str">
        <f>IF(OR(A68&lt;&gt;"",B68&lt;&gt;""),IF(R68="Sim",P68/Config!$B$6,P68),"")</f>
        <v/>
      </c>
      <c r="U68" s="29"/>
      <c r="V68" s="15"/>
      <c r="W68" s="15"/>
      <c r="X68" s="46"/>
      <c r="Y68" s="46"/>
      <c r="Z68" s="46"/>
      <c r="AA68" s="46"/>
      <c r="AB68" s="46"/>
      <c r="AC68" s="46"/>
      <c r="AD68" s="46"/>
      <c r="AE68" s="46"/>
      <c r="AF68" s="46"/>
      <c r="AG68" s="46"/>
      <c r="AH68" s="46"/>
      <c r="AI68" s="46"/>
      <c r="AJ68" s="46"/>
      <c r="AK68" s="46"/>
      <c r="AL68" s="46"/>
      <c r="AM68" s="46"/>
      <c r="AN68" s="46"/>
      <c r="AO68" s="46"/>
      <c r="AP68" s="46"/>
      <c r="AQ68" s="46"/>
      <c r="AR68" s="46"/>
      <c r="AS68" s="46"/>
      <c r="AT68" s="46"/>
      <c r="AU68" s="46"/>
      <c r="AV68" s="46"/>
      <c r="AW68" s="46"/>
      <c r="AX68" s="46"/>
      <c r="AY68" s="46"/>
      <c r="AZ68" s="46"/>
    </row>
    <row r="69" spans="1:52" hidden="1" x14ac:dyDescent="0.25">
      <c r="A69" s="15"/>
      <c r="B69" s="15"/>
      <c r="C69" s="177"/>
      <c r="D69" s="177"/>
      <c r="E69" s="177"/>
      <c r="F69" s="177"/>
      <c r="G69" s="177"/>
      <c r="H69" s="177"/>
      <c r="I69" s="177"/>
      <c r="J69" s="177"/>
      <c r="K69" s="177"/>
      <c r="L69" s="177"/>
      <c r="M69" s="177"/>
      <c r="N69" s="177"/>
      <c r="O69" s="177"/>
      <c r="P69" s="177" t="str">
        <f>IF(OR(A69&lt;&gt;"",B69&lt;&gt;""),(SUM(C69:N69)+O69)/12,"")</f>
        <v/>
      </c>
      <c r="Q69" s="177" t="str">
        <f>IF(OR(A69&lt;&gt;"",B69&lt;&gt;""),SUM(C69:N69)+O69,"")</f>
        <v/>
      </c>
      <c r="R69" s="123"/>
      <c r="S69" s="177" t="str">
        <f>IF(OR(A69&lt;&gt;"",B69&lt;&gt;""),IF(R69="Sim",Q69/Config!$B$6,Q69),"")</f>
        <v/>
      </c>
      <c r="T69" s="177" t="str">
        <f>IF(OR(A69&lt;&gt;"",B69&lt;&gt;""),IF(R69="Sim",P69/Config!$B$6,P69),"")</f>
        <v/>
      </c>
      <c r="U69" s="29"/>
      <c r="V69" s="15"/>
      <c r="W69" s="15"/>
      <c r="X69" s="46"/>
      <c r="Y69" s="46"/>
      <c r="Z69" s="46"/>
      <c r="AA69" s="46"/>
      <c r="AB69" s="46"/>
      <c r="AC69" s="46"/>
      <c r="AD69" s="46"/>
      <c r="AE69" s="46"/>
      <c r="AF69" s="46"/>
      <c r="AG69" s="46"/>
      <c r="AH69" s="46"/>
      <c r="AI69" s="46"/>
      <c r="AJ69" s="46"/>
      <c r="AK69" s="46"/>
      <c r="AL69" s="46"/>
      <c r="AM69" s="46"/>
      <c r="AN69" s="46"/>
      <c r="AO69" s="46"/>
      <c r="AP69" s="46"/>
      <c r="AQ69" s="46"/>
      <c r="AR69" s="46"/>
      <c r="AS69" s="46"/>
      <c r="AT69" s="46"/>
      <c r="AU69" s="46"/>
      <c r="AV69" s="46"/>
      <c r="AW69" s="46"/>
      <c r="AX69" s="46"/>
      <c r="AY69" s="46"/>
      <c r="AZ69" s="46"/>
    </row>
    <row r="70" spans="1:52" hidden="1" x14ac:dyDescent="0.25">
      <c r="A70" s="15"/>
      <c r="B70" s="15"/>
      <c r="C70" s="177"/>
      <c r="D70" s="177"/>
      <c r="E70" s="177"/>
      <c r="F70" s="177"/>
      <c r="G70" s="177"/>
      <c r="H70" s="177"/>
      <c r="I70" s="177"/>
      <c r="J70" s="177"/>
      <c r="K70" s="177"/>
      <c r="L70" s="177"/>
      <c r="M70" s="177"/>
      <c r="N70" s="177"/>
      <c r="O70" s="177"/>
      <c r="P70" s="177" t="str">
        <f>IF(OR(A70&lt;&gt;"",B70&lt;&gt;""),(SUM(C70:N70)+O70)/12,"")</f>
        <v/>
      </c>
      <c r="Q70" s="177" t="str">
        <f>IF(OR(A70&lt;&gt;"",B70&lt;&gt;""),SUM(C70:N70)+O70,"")</f>
        <v/>
      </c>
      <c r="R70" s="123"/>
      <c r="S70" s="177" t="str">
        <f>IF(OR(A70&lt;&gt;"",B70&lt;&gt;""),IF(R70="Sim",Q70/Config!$B$6,Q70),"")</f>
        <v/>
      </c>
      <c r="T70" s="177" t="str">
        <f>IF(OR(A70&lt;&gt;"",B70&lt;&gt;""),IF(R70="Sim",P70/Config!$B$6,P70),"")</f>
        <v/>
      </c>
      <c r="U70" s="29"/>
      <c r="V70" s="15"/>
      <c r="W70" s="15"/>
      <c r="X70" s="46"/>
      <c r="Y70" s="46"/>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row>
    <row r="71" spans="1:52" hidden="1" x14ac:dyDescent="0.25">
      <c r="A71" s="15"/>
      <c r="B71" s="15"/>
      <c r="C71" s="177"/>
      <c r="D71" s="177"/>
      <c r="E71" s="177"/>
      <c r="F71" s="177"/>
      <c r="G71" s="177"/>
      <c r="H71" s="177"/>
      <c r="I71" s="177"/>
      <c r="J71" s="177"/>
      <c r="K71" s="177"/>
      <c r="L71" s="177"/>
      <c r="M71" s="177"/>
      <c r="N71" s="177"/>
      <c r="O71" s="177"/>
      <c r="P71" s="177" t="str">
        <f>IF(OR(A71&lt;&gt;"",B71&lt;&gt;""),(SUM(C71:N71)+O71)/12,"")</f>
        <v/>
      </c>
      <c r="Q71" s="177" t="str">
        <f>IF(OR(A71&lt;&gt;"",B71&lt;&gt;""),SUM(C71:N71)+O71,"")</f>
        <v/>
      </c>
      <c r="R71" s="123"/>
      <c r="S71" s="177" t="str">
        <f>IF(OR(A71&lt;&gt;"",B71&lt;&gt;""),IF(R71="Sim",Q71/Config!$B$6,Q71),"")</f>
        <v/>
      </c>
      <c r="T71" s="177" t="str">
        <f>IF(OR(A71&lt;&gt;"",B71&lt;&gt;""),IF(R71="Sim",P71/Config!$B$6,P71),"")</f>
        <v/>
      </c>
      <c r="U71" s="29"/>
      <c r="V71" s="15"/>
      <c r="W71" s="15"/>
      <c r="X71" s="46"/>
      <c r="Y71" s="46"/>
      <c r="Z71" s="46"/>
      <c r="AA71" s="46"/>
      <c r="AB71" s="46"/>
      <c r="AC71" s="46"/>
      <c r="AD71" s="46"/>
      <c r="AE71" s="46"/>
      <c r="AF71" s="46"/>
      <c r="AG71" s="46"/>
      <c r="AH71" s="46"/>
      <c r="AI71" s="46"/>
      <c r="AJ71" s="46"/>
      <c r="AK71" s="46"/>
      <c r="AL71" s="46"/>
      <c r="AM71" s="46"/>
      <c r="AN71" s="46"/>
      <c r="AO71" s="46"/>
      <c r="AP71" s="46"/>
      <c r="AQ71" s="46"/>
      <c r="AR71" s="46"/>
      <c r="AS71" s="46"/>
      <c r="AT71" s="46"/>
      <c r="AU71" s="46"/>
      <c r="AV71" s="46"/>
      <c r="AW71" s="46"/>
      <c r="AX71" s="46"/>
      <c r="AY71" s="46"/>
      <c r="AZ71" s="46"/>
    </row>
    <row r="72" spans="1:52" hidden="1" x14ac:dyDescent="0.25">
      <c r="A72" s="15"/>
      <c r="B72" s="15"/>
      <c r="C72" s="177"/>
      <c r="D72" s="177"/>
      <c r="E72" s="177"/>
      <c r="F72" s="177"/>
      <c r="G72" s="177"/>
      <c r="H72" s="177"/>
      <c r="I72" s="177"/>
      <c r="J72" s="177"/>
      <c r="K72" s="177"/>
      <c r="L72" s="177"/>
      <c r="M72" s="177"/>
      <c r="N72" s="177"/>
      <c r="O72" s="177"/>
      <c r="P72" s="177" t="str">
        <f>IF(OR(A72&lt;&gt;"",B72&lt;&gt;""),(SUM(C72:N72)+O72)/12,"")</f>
        <v/>
      </c>
      <c r="Q72" s="177" t="str">
        <f>IF(OR(A72&lt;&gt;"",B72&lt;&gt;""),SUM(C72:N72)+O72,"")</f>
        <v/>
      </c>
      <c r="R72" s="123"/>
      <c r="S72" s="177" t="str">
        <f>IF(OR(A72&lt;&gt;"",B72&lt;&gt;""),IF(R72="Sim",Q72/Config!$B$6,Q72),"")</f>
        <v/>
      </c>
      <c r="T72" s="177" t="str">
        <f>IF(OR(A72&lt;&gt;"",B72&lt;&gt;""),IF(R72="Sim",P72/Config!$B$6,P72),"")</f>
        <v/>
      </c>
      <c r="U72" s="29"/>
      <c r="V72" s="15"/>
      <c r="W72" s="15"/>
      <c r="X72" s="46"/>
      <c r="Y72" s="46"/>
      <c r="Z72" s="46"/>
      <c r="AA72" s="46"/>
      <c r="AB72" s="46"/>
      <c r="AC72" s="46"/>
      <c r="AD72" s="46"/>
      <c r="AE72" s="46"/>
      <c r="AF72" s="46"/>
      <c r="AG72" s="46"/>
      <c r="AH72" s="46"/>
      <c r="AI72" s="46"/>
      <c r="AJ72" s="46"/>
      <c r="AK72" s="46"/>
      <c r="AL72" s="46"/>
      <c r="AM72" s="46"/>
      <c r="AN72" s="46"/>
      <c r="AO72" s="46"/>
      <c r="AP72" s="46"/>
      <c r="AQ72" s="46"/>
      <c r="AR72" s="46"/>
      <c r="AS72" s="46"/>
      <c r="AT72" s="46"/>
      <c r="AU72" s="46"/>
      <c r="AV72" s="46"/>
      <c r="AW72" s="46"/>
      <c r="AX72" s="46"/>
      <c r="AY72" s="46"/>
      <c r="AZ72" s="46"/>
    </row>
    <row r="73" spans="1:52" hidden="1" x14ac:dyDescent="0.25">
      <c r="A73" s="15"/>
      <c r="B73" s="15"/>
      <c r="C73" s="177"/>
      <c r="D73" s="177"/>
      <c r="E73" s="177"/>
      <c r="F73" s="177"/>
      <c r="G73" s="177"/>
      <c r="H73" s="177"/>
      <c r="I73" s="177"/>
      <c r="J73" s="177"/>
      <c r="K73" s="177"/>
      <c r="L73" s="177"/>
      <c r="M73" s="177"/>
      <c r="N73" s="177"/>
      <c r="O73" s="177"/>
      <c r="P73" s="177" t="str">
        <f>IF(OR(A73&lt;&gt;"",B73&lt;&gt;""),(SUM(C73:N73)+O73)/12,"")</f>
        <v/>
      </c>
      <c r="Q73" s="177" t="str">
        <f>IF(OR(A73&lt;&gt;"",B73&lt;&gt;""),SUM(C73:N73)+O73,"")</f>
        <v/>
      </c>
      <c r="R73" s="123"/>
      <c r="S73" s="177" t="str">
        <f>IF(OR(A73&lt;&gt;"",B73&lt;&gt;""),IF(R73="Sim",Q73/Config!$B$6,Q73),"")</f>
        <v/>
      </c>
      <c r="T73" s="177" t="str">
        <f>IF(OR(A73&lt;&gt;"",B73&lt;&gt;""),IF(R73="Sim",P73/Config!$B$6,P73),"")</f>
        <v/>
      </c>
      <c r="U73" s="29"/>
      <c r="V73" s="15"/>
      <c r="W73" s="15"/>
      <c r="X73" s="46"/>
      <c r="Y73" s="46"/>
      <c r="Z73" s="46"/>
      <c r="AA73" s="46"/>
      <c r="AB73" s="46"/>
      <c r="AC73" s="46"/>
      <c r="AD73" s="46"/>
      <c r="AE73" s="46"/>
      <c r="AF73" s="46"/>
      <c r="AG73" s="46"/>
      <c r="AH73" s="46"/>
      <c r="AI73" s="46"/>
      <c r="AJ73" s="46"/>
      <c r="AK73" s="46"/>
      <c r="AL73" s="46"/>
      <c r="AM73" s="46"/>
      <c r="AN73" s="46"/>
      <c r="AO73" s="46"/>
      <c r="AP73" s="46"/>
      <c r="AQ73" s="46"/>
      <c r="AR73" s="46"/>
      <c r="AS73" s="46"/>
      <c r="AT73" s="46"/>
      <c r="AU73" s="46"/>
      <c r="AV73" s="46"/>
      <c r="AW73" s="46"/>
      <c r="AX73" s="46"/>
      <c r="AY73" s="46"/>
      <c r="AZ73" s="46"/>
    </row>
    <row r="74" spans="1:52" hidden="1" x14ac:dyDescent="0.25">
      <c r="A74" s="15"/>
      <c r="B74" s="15"/>
      <c r="C74" s="177"/>
      <c r="D74" s="177"/>
      <c r="E74" s="177"/>
      <c r="F74" s="177"/>
      <c r="G74" s="177"/>
      <c r="H74" s="177"/>
      <c r="I74" s="177"/>
      <c r="J74" s="177"/>
      <c r="K74" s="177"/>
      <c r="L74" s="177"/>
      <c r="M74" s="177"/>
      <c r="N74" s="177"/>
      <c r="O74" s="177"/>
      <c r="P74" s="177" t="str">
        <f>IF(OR(A74&lt;&gt;"",B74&lt;&gt;""),(SUM(C74:N74)+O74)/12,"")</f>
        <v/>
      </c>
      <c r="Q74" s="177" t="str">
        <f>IF(OR(A74&lt;&gt;"",B74&lt;&gt;""),SUM(C74:N74)+O74,"")</f>
        <v/>
      </c>
      <c r="R74" s="123"/>
      <c r="S74" s="177" t="str">
        <f>IF(OR(A74&lt;&gt;"",B74&lt;&gt;""),IF(R74="Sim",Q74/Config!$B$6,Q74),"")</f>
        <v/>
      </c>
      <c r="T74" s="177" t="str">
        <f>IF(OR(A74&lt;&gt;"",B74&lt;&gt;""),IF(R74="Sim",P74/Config!$B$6,P74),"")</f>
        <v/>
      </c>
      <c r="U74" s="29"/>
      <c r="V74" s="15"/>
      <c r="W74" s="15"/>
      <c r="X74" s="46"/>
      <c r="Y74" s="46"/>
      <c r="Z74" s="46"/>
      <c r="AA74" s="46"/>
      <c r="AB74" s="46"/>
      <c r="AC74" s="46"/>
      <c r="AD74" s="46"/>
      <c r="AE74" s="46"/>
      <c r="AF74" s="46"/>
      <c r="AG74" s="46"/>
      <c r="AH74" s="46"/>
      <c r="AI74" s="46"/>
      <c r="AJ74" s="46"/>
      <c r="AK74" s="46"/>
      <c r="AL74" s="46"/>
      <c r="AM74" s="46"/>
      <c r="AN74" s="46"/>
      <c r="AO74" s="46"/>
      <c r="AP74" s="46"/>
      <c r="AQ74" s="46"/>
      <c r="AR74" s="46"/>
      <c r="AS74" s="46"/>
      <c r="AT74" s="46"/>
      <c r="AU74" s="46"/>
      <c r="AV74" s="46"/>
      <c r="AW74" s="46"/>
      <c r="AX74" s="46"/>
      <c r="AY74" s="46"/>
      <c r="AZ74" s="46"/>
    </row>
    <row r="75" spans="1:52" hidden="1" x14ac:dyDescent="0.25">
      <c r="A75" s="15"/>
      <c r="B75" s="15"/>
      <c r="C75" s="177"/>
      <c r="D75" s="177"/>
      <c r="E75" s="177"/>
      <c r="F75" s="177"/>
      <c r="G75" s="177"/>
      <c r="H75" s="177"/>
      <c r="I75" s="177"/>
      <c r="J75" s="177"/>
      <c r="K75" s="177"/>
      <c r="L75" s="177"/>
      <c r="M75" s="177"/>
      <c r="N75" s="177"/>
      <c r="O75" s="177"/>
      <c r="P75" s="177" t="str">
        <f>IF(OR(A75&lt;&gt;"",B75&lt;&gt;""),(SUM(C75:N75)+O75)/12,"")</f>
        <v/>
      </c>
      <c r="Q75" s="177" t="str">
        <f>IF(OR(A75&lt;&gt;"",B75&lt;&gt;""),SUM(C75:N75)+O75,"")</f>
        <v/>
      </c>
      <c r="R75" s="123"/>
      <c r="S75" s="177" t="str">
        <f>IF(OR(A75&lt;&gt;"",B75&lt;&gt;""),IF(R75="Sim",Q75/Config!$B$6,Q75),"")</f>
        <v/>
      </c>
      <c r="T75" s="177" t="str">
        <f>IF(OR(A75&lt;&gt;"",B75&lt;&gt;""),IF(R75="Sim",P75/Config!$B$6,P75),"")</f>
        <v/>
      </c>
      <c r="U75" s="29"/>
      <c r="V75" s="15"/>
      <c r="W75" s="15"/>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row>
    <row r="76" spans="1:52" hidden="1" x14ac:dyDescent="0.25">
      <c r="A76" s="15"/>
      <c r="B76" s="15"/>
      <c r="C76" s="177"/>
      <c r="D76" s="177"/>
      <c r="E76" s="177"/>
      <c r="F76" s="177"/>
      <c r="G76" s="177"/>
      <c r="H76" s="177"/>
      <c r="I76" s="177"/>
      <c r="J76" s="177"/>
      <c r="K76" s="177"/>
      <c r="L76" s="177"/>
      <c r="M76" s="177"/>
      <c r="N76" s="177"/>
      <c r="O76" s="177"/>
      <c r="P76" s="177" t="str">
        <f>IF(OR(A76&lt;&gt;"",B76&lt;&gt;""),(SUM(C76:N76)+O76)/12,"")</f>
        <v/>
      </c>
      <c r="Q76" s="177" t="str">
        <f>IF(OR(A76&lt;&gt;"",B76&lt;&gt;""),SUM(C76:N76)+O76,"")</f>
        <v/>
      </c>
      <c r="R76" s="123"/>
      <c r="S76" s="177" t="str">
        <f>IF(OR(A76&lt;&gt;"",B76&lt;&gt;""),IF(R76="Sim",Q76/Config!$B$6,Q76),"")</f>
        <v/>
      </c>
      <c r="T76" s="177" t="str">
        <f>IF(OR(A76&lt;&gt;"",B76&lt;&gt;""),IF(R76="Sim",P76/Config!$B$6,P76),"")</f>
        <v/>
      </c>
      <c r="U76" s="29"/>
      <c r="V76" s="15"/>
      <c r="W76" s="15"/>
      <c r="X76" s="46"/>
      <c r="Y76" s="46"/>
      <c r="Z76" s="46"/>
      <c r="AA76" s="46"/>
      <c r="AB76" s="46"/>
      <c r="AC76" s="46"/>
      <c r="AD76" s="46"/>
      <c r="AE76" s="46"/>
      <c r="AF76" s="46"/>
      <c r="AG76" s="46"/>
      <c r="AH76" s="46"/>
      <c r="AI76" s="46"/>
      <c r="AJ76" s="46"/>
      <c r="AK76" s="46"/>
      <c r="AL76" s="46"/>
      <c r="AM76" s="46"/>
      <c r="AN76" s="46"/>
      <c r="AO76" s="46"/>
      <c r="AP76" s="46"/>
      <c r="AQ76" s="46"/>
      <c r="AR76" s="46"/>
      <c r="AS76" s="46"/>
      <c r="AT76" s="46"/>
      <c r="AU76" s="46"/>
      <c r="AV76" s="46"/>
      <c r="AW76" s="46"/>
      <c r="AX76" s="46"/>
      <c r="AY76" s="46"/>
      <c r="AZ76" s="46"/>
    </row>
    <row r="77" spans="1:52" hidden="1" x14ac:dyDescent="0.25">
      <c r="A77" s="15"/>
      <c r="B77" s="15"/>
      <c r="C77" s="177"/>
      <c r="D77" s="177"/>
      <c r="E77" s="177"/>
      <c r="F77" s="177"/>
      <c r="G77" s="177"/>
      <c r="H77" s="177"/>
      <c r="I77" s="177"/>
      <c r="J77" s="177"/>
      <c r="K77" s="177"/>
      <c r="L77" s="177"/>
      <c r="M77" s="177"/>
      <c r="N77" s="177"/>
      <c r="O77" s="177"/>
      <c r="P77" s="177" t="str">
        <f>IF(OR(A77&lt;&gt;"",B77&lt;&gt;""),(SUM(C77:N77)+O77)/12,"")</f>
        <v/>
      </c>
      <c r="Q77" s="177" t="str">
        <f>IF(OR(A77&lt;&gt;"",B77&lt;&gt;""),SUM(C77:N77)+O77,"")</f>
        <v/>
      </c>
      <c r="R77" s="123"/>
      <c r="S77" s="177" t="str">
        <f>IF(OR(A77&lt;&gt;"",B77&lt;&gt;""),IF(R77="Sim",Q77/Config!$B$6,Q77),"")</f>
        <v/>
      </c>
      <c r="T77" s="177" t="str">
        <f>IF(OR(A77&lt;&gt;"",B77&lt;&gt;""),IF(R77="Sim",P77/Config!$B$6,P77),"")</f>
        <v/>
      </c>
      <c r="U77" s="29"/>
      <c r="V77" s="15"/>
      <c r="W77" s="15"/>
      <c r="X77" s="46"/>
      <c r="Y77" s="46"/>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row>
    <row r="78" spans="1:52" hidden="1" x14ac:dyDescent="0.25">
      <c r="A78" s="15"/>
      <c r="B78" s="15"/>
      <c r="C78" s="177"/>
      <c r="D78" s="177"/>
      <c r="E78" s="177"/>
      <c r="F78" s="177"/>
      <c r="G78" s="177"/>
      <c r="H78" s="177"/>
      <c r="I78" s="177"/>
      <c r="J78" s="177"/>
      <c r="K78" s="177"/>
      <c r="L78" s="177"/>
      <c r="M78" s="177"/>
      <c r="N78" s="177"/>
      <c r="O78" s="177"/>
      <c r="P78" s="177" t="str">
        <f>IF(OR(A78&lt;&gt;"",B78&lt;&gt;""),(SUM(C78:N78)+O78)/12,"")</f>
        <v/>
      </c>
      <c r="Q78" s="177" t="str">
        <f>IF(OR(A78&lt;&gt;"",B78&lt;&gt;""),SUM(C78:N78)+O78,"")</f>
        <v/>
      </c>
      <c r="R78" s="123"/>
      <c r="S78" s="177" t="str">
        <f>IF(OR(A78&lt;&gt;"",B78&lt;&gt;""),IF(R78="Sim",Q78/Config!$B$6,Q78),"")</f>
        <v/>
      </c>
      <c r="T78" s="177" t="str">
        <f>IF(OR(A78&lt;&gt;"",B78&lt;&gt;""),IF(R78="Sim",P78/Config!$B$6,P78),"")</f>
        <v/>
      </c>
      <c r="U78" s="29"/>
      <c r="V78" s="15"/>
      <c r="W78" s="15"/>
      <c r="X78" s="46"/>
      <c r="Y78" s="46"/>
      <c r="Z78" s="46"/>
      <c r="AA78" s="46"/>
      <c r="AB78" s="46"/>
      <c r="AC78" s="46"/>
      <c r="AD78" s="46"/>
      <c r="AE78" s="46"/>
      <c r="AF78" s="46"/>
      <c r="AG78" s="46"/>
      <c r="AH78" s="46"/>
      <c r="AI78" s="46"/>
      <c r="AJ78" s="46"/>
      <c r="AK78" s="46"/>
      <c r="AL78" s="46"/>
      <c r="AM78" s="46"/>
      <c r="AN78" s="46"/>
      <c r="AO78" s="46"/>
      <c r="AP78" s="46"/>
      <c r="AQ78" s="46"/>
      <c r="AR78" s="46"/>
      <c r="AS78" s="46"/>
      <c r="AT78" s="46"/>
      <c r="AU78" s="46"/>
      <c r="AV78" s="46"/>
      <c r="AW78" s="46"/>
      <c r="AX78" s="46"/>
      <c r="AY78" s="46"/>
      <c r="AZ78" s="46"/>
    </row>
    <row r="79" spans="1:52" hidden="1" x14ac:dyDescent="0.25">
      <c r="A79" s="15"/>
      <c r="B79" s="15"/>
      <c r="C79" s="177"/>
      <c r="D79" s="177"/>
      <c r="E79" s="177"/>
      <c r="F79" s="177"/>
      <c r="G79" s="177"/>
      <c r="H79" s="177"/>
      <c r="I79" s="177"/>
      <c r="J79" s="177"/>
      <c r="K79" s="177"/>
      <c r="L79" s="177"/>
      <c r="M79" s="177"/>
      <c r="N79" s="177"/>
      <c r="O79" s="177"/>
      <c r="P79" s="177" t="str">
        <f>IF(OR(A79&lt;&gt;"",B79&lt;&gt;""),(SUM(C79:N79)+O79)/12,"")</f>
        <v/>
      </c>
      <c r="Q79" s="177" t="str">
        <f>IF(OR(A79&lt;&gt;"",B79&lt;&gt;""),SUM(C79:N79)+O79,"")</f>
        <v/>
      </c>
      <c r="R79" s="123"/>
      <c r="S79" s="177" t="str">
        <f>IF(OR(A79&lt;&gt;"",B79&lt;&gt;""),IF(R79="Sim",Q79/Config!$B$6,Q79),"")</f>
        <v/>
      </c>
      <c r="T79" s="177" t="str">
        <f>IF(OR(A79&lt;&gt;"",B79&lt;&gt;""),IF(R79="Sim",P79/Config!$B$6,P79),"")</f>
        <v/>
      </c>
      <c r="U79" s="29"/>
      <c r="V79" s="15"/>
      <c r="W79" s="15"/>
      <c r="X79" s="46"/>
      <c r="Y79" s="46"/>
      <c r="Z79" s="46"/>
      <c r="AA79" s="46"/>
      <c r="AB79" s="46"/>
      <c r="AC79" s="46"/>
      <c r="AD79" s="46"/>
      <c r="AE79" s="46"/>
      <c r="AF79" s="46"/>
      <c r="AG79" s="46"/>
      <c r="AH79" s="46"/>
      <c r="AI79" s="46"/>
      <c r="AJ79" s="46"/>
      <c r="AK79" s="46"/>
      <c r="AL79" s="46"/>
      <c r="AM79" s="46"/>
      <c r="AN79" s="46"/>
      <c r="AO79" s="46"/>
      <c r="AP79" s="46"/>
      <c r="AQ79" s="46"/>
      <c r="AR79" s="46"/>
      <c r="AS79" s="46"/>
      <c r="AT79" s="46"/>
      <c r="AU79" s="46"/>
      <c r="AV79" s="46"/>
      <c r="AW79" s="46"/>
      <c r="AX79" s="46"/>
      <c r="AY79" s="46"/>
      <c r="AZ79" s="46"/>
    </row>
    <row r="80" spans="1:52" hidden="1" x14ac:dyDescent="0.25">
      <c r="A80" s="15"/>
      <c r="B80" s="15"/>
      <c r="C80" s="177"/>
      <c r="D80" s="177"/>
      <c r="E80" s="177"/>
      <c r="F80" s="177"/>
      <c r="G80" s="177"/>
      <c r="H80" s="177"/>
      <c r="I80" s="177"/>
      <c r="J80" s="177"/>
      <c r="K80" s="177"/>
      <c r="L80" s="177"/>
      <c r="M80" s="177"/>
      <c r="N80" s="177"/>
      <c r="O80" s="177"/>
      <c r="P80" s="177" t="str">
        <f>IF(OR(A80&lt;&gt;"",B80&lt;&gt;""),(SUM(C80:N80)+O80)/12,"")</f>
        <v/>
      </c>
      <c r="Q80" s="177" t="str">
        <f>IF(OR(A80&lt;&gt;"",B80&lt;&gt;""),SUM(C80:N80)+O80,"")</f>
        <v/>
      </c>
      <c r="R80" s="123"/>
      <c r="S80" s="177" t="str">
        <f>IF(OR(A80&lt;&gt;"",B80&lt;&gt;""),IF(R80="Sim",Q80/Config!$B$6,Q80),"")</f>
        <v/>
      </c>
      <c r="T80" s="177" t="str">
        <f>IF(OR(A80&lt;&gt;"",B80&lt;&gt;""),IF(R80="Sim",P80/Config!$B$6,P80),"")</f>
        <v/>
      </c>
      <c r="U80" s="29"/>
      <c r="V80" s="15"/>
      <c r="W80" s="15"/>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row>
    <row r="81" spans="1:52" hidden="1" x14ac:dyDescent="0.25">
      <c r="A81" s="15"/>
      <c r="B81" s="15"/>
      <c r="C81" s="177"/>
      <c r="D81" s="177"/>
      <c r="E81" s="177"/>
      <c r="F81" s="177"/>
      <c r="G81" s="177"/>
      <c r="H81" s="177"/>
      <c r="I81" s="177"/>
      <c r="J81" s="177"/>
      <c r="K81" s="177"/>
      <c r="L81" s="177"/>
      <c r="M81" s="177"/>
      <c r="N81" s="177"/>
      <c r="O81" s="177"/>
      <c r="P81" s="177" t="str">
        <f>IF(OR(A81&lt;&gt;"",B81&lt;&gt;""),(SUM(C81:N81)+O81)/12,"")</f>
        <v/>
      </c>
      <c r="Q81" s="177" t="str">
        <f>IF(OR(A81&lt;&gt;"",B81&lt;&gt;""),SUM(C81:N81)+O81,"")</f>
        <v/>
      </c>
      <c r="R81" s="123"/>
      <c r="S81" s="177" t="str">
        <f>IF(OR(A81&lt;&gt;"",B81&lt;&gt;""),IF(R81="Sim",Q81/Config!$B$6,Q81),"")</f>
        <v/>
      </c>
      <c r="T81" s="177" t="str">
        <f>IF(OR(A81&lt;&gt;"",B81&lt;&gt;""),IF(R81="Sim",P81/Config!$B$6,P81),"")</f>
        <v/>
      </c>
      <c r="U81" s="29"/>
      <c r="V81" s="15"/>
      <c r="W81" s="15"/>
      <c r="X81" s="46"/>
      <c r="Y81" s="46"/>
      <c r="Z81" s="46"/>
      <c r="AA81" s="46"/>
      <c r="AB81" s="46"/>
      <c r="AC81" s="46"/>
      <c r="AD81" s="46"/>
      <c r="AE81" s="46"/>
      <c r="AF81" s="46"/>
      <c r="AG81" s="46"/>
      <c r="AH81" s="46"/>
      <c r="AI81" s="46"/>
      <c r="AJ81" s="46"/>
      <c r="AK81" s="46"/>
      <c r="AL81" s="46"/>
      <c r="AM81" s="46"/>
      <c r="AN81" s="46"/>
      <c r="AO81" s="46"/>
      <c r="AP81" s="46"/>
      <c r="AQ81" s="46"/>
      <c r="AR81" s="46"/>
      <c r="AS81" s="46"/>
      <c r="AT81" s="46"/>
      <c r="AU81" s="46"/>
      <c r="AV81" s="46"/>
      <c r="AW81" s="46"/>
      <c r="AX81" s="46"/>
      <c r="AY81" s="46"/>
      <c r="AZ81" s="46"/>
    </row>
    <row r="82" spans="1:52" hidden="1" x14ac:dyDescent="0.25">
      <c r="A82" s="15"/>
      <c r="B82" s="15"/>
      <c r="C82" s="177"/>
      <c r="D82" s="177"/>
      <c r="E82" s="177"/>
      <c r="F82" s="177"/>
      <c r="G82" s="177"/>
      <c r="H82" s="177"/>
      <c r="I82" s="177"/>
      <c r="J82" s="177"/>
      <c r="K82" s="177"/>
      <c r="L82" s="177"/>
      <c r="M82" s="177"/>
      <c r="N82" s="177"/>
      <c r="O82" s="177"/>
      <c r="P82" s="177" t="str">
        <f>IF(OR(A82&lt;&gt;"",B82&lt;&gt;""),(SUM(C82:N82)+O82)/12,"")</f>
        <v/>
      </c>
      <c r="Q82" s="177" t="str">
        <f>IF(OR(A82&lt;&gt;"",B82&lt;&gt;""),SUM(C82:N82)+O82,"")</f>
        <v/>
      </c>
      <c r="R82" s="123"/>
      <c r="S82" s="177" t="str">
        <f>IF(OR(A82&lt;&gt;"",B82&lt;&gt;""),IF(R82="Sim",Q82/Config!$B$6,Q82),"")</f>
        <v/>
      </c>
      <c r="T82" s="177" t="str">
        <f>IF(OR(A82&lt;&gt;"",B82&lt;&gt;""),IF(R82="Sim",P82/Config!$B$6,P82),"")</f>
        <v/>
      </c>
      <c r="U82" s="29"/>
      <c r="V82" s="15"/>
      <c r="W82" s="15"/>
      <c r="X82" s="46"/>
      <c r="Y82" s="46"/>
      <c r="Z82" s="46"/>
      <c r="AA82" s="46"/>
      <c r="AB82" s="46"/>
      <c r="AC82" s="46"/>
      <c r="AD82" s="46"/>
      <c r="AE82" s="46"/>
      <c r="AF82" s="46"/>
      <c r="AG82" s="46"/>
      <c r="AH82" s="46"/>
      <c r="AI82" s="46"/>
      <c r="AJ82" s="46"/>
      <c r="AK82" s="46"/>
      <c r="AL82" s="46"/>
      <c r="AM82" s="46"/>
      <c r="AN82" s="46"/>
      <c r="AO82" s="46"/>
      <c r="AP82" s="46"/>
      <c r="AQ82" s="46"/>
      <c r="AR82" s="46"/>
      <c r="AS82" s="46"/>
      <c r="AT82" s="46"/>
      <c r="AU82" s="46"/>
      <c r="AV82" s="46"/>
      <c r="AW82" s="46"/>
      <c r="AX82" s="46"/>
      <c r="AY82" s="46"/>
      <c r="AZ82" s="46"/>
    </row>
    <row r="83" spans="1:52" hidden="1" x14ac:dyDescent="0.25">
      <c r="A83" s="15"/>
      <c r="B83" s="15"/>
      <c r="C83" s="177"/>
      <c r="D83" s="177"/>
      <c r="E83" s="177"/>
      <c r="F83" s="177"/>
      <c r="G83" s="177"/>
      <c r="H83" s="177"/>
      <c r="I83" s="177"/>
      <c r="J83" s="177"/>
      <c r="K83" s="177"/>
      <c r="L83" s="177"/>
      <c r="M83" s="177"/>
      <c r="N83" s="177"/>
      <c r="O83" s="177"/>
      <c r="P83" s="177" t="str">
        <f>IF(OR(A83&lt;&gt;"",B83&lt;&gt;""),(SUM(C83:N83)+O83)/12,"")</f>
        <v/>
      </c>
      <c r="Q83" s="177" t="str">
        <f>IF(OR(A83&lt;&gt;"",B83&lt;&gt;""),SUM(C83:N83)+O83,"")</f>
        <v/>
      </c>
      <c r="R83" s="123"/>
      <c r="S83" s="177" t="str">
        <f>IF(OR(A83&lt;&gt;"",B83&lt;&gt;""),IF(R83="Sim",Q83/Config!$B$6,Q83),"")</f>
        <v/>
      </c>
      <c r="T83" s="177" t="str">
        <f>IF(OR(A83&lt;&gt;"",B83&lt;&gt;""),IF(R83="Sim",P83/Config!$B$6,P83),"")</f>
        <v/>
      </c>
      <c r="U83" s="29"/>
      <c r="V83" s="15"/>
      <c r="W83" s="15"/>
      <c r="X83" s="46"/>
      <c r="Y83" s="46"/>
      <c r="Z83" s="46"/>
      <c r="AA83" s="46"/>
      <c r="AB83" s="46"/>
      <c r="AC83" s="46"/>
      <c r="AD83" s="46"/>
      <c r="AE83" s="46"/>
      <c r="AF83" s="46"/>
      <c r="AG83" s="46"/>
      <c r="AH83" s="46"/>
      <c r="AI83" s="46"/>
      <c r="AJ83" s="46"/>
      <c r="AK83" s="46"/>
      <c r="AL83" s="46"/>
      <c r="AM83" s="46"/>
      <c r="AN83" s="46"/>
      <c r="AO83" s="46"/>
      <c r="AP83" s="46"/>
      <c r="AQ83" s="46"/>
      <c r="AR83" s="46"/>
      <c r="AS83" s="46"/>
      <c r="AT83" s="46"/>
      <c r="AU83" s="46"/>
      <c r="AV83" s="46"/>
      <c r="AW83" s="46"/>
      <c r="AX83" s="46"/>
      <c r="AY83" s="46"/>
      <c r="AZ83" s="46"/>
    </row>
    <row r="84" spans="1:52" hidden="1" x14ac:dyDescent="0.25">
      <c r="A84" s="15"/>
      <c r="B84" s="15"/>
      <c r="C84" s="177"/>
      <c r="D84" s="177"/>
      <c r="E84" s="177"/>
      <c r="F84" s="177"/>
      <c r="G84" s="177"/>
      <c r="H84" s="177"/>
      <c r="I84" s="177"/>
      <c r="J84" s="177"/>
      <c r="K84" s="177"/>
      <c r="L84" s="177"/>
      <c r="M84" s="177"/>
      <c r="N84" s="177"/>
      <c r="O84" s="177"/>
      <c r="P84" s="177" t="str">
        <f>IF(OR(A84&lt;&gt;"",B84&lt;&gt;""),(SUM(C84:N84)+O84)/12,"")</f>
        <v/>
      </c>
      <c r="Q84" s="177" t="str">
        <f>IF(OR(A84&lt;&gt;"",B84&lt;&gt;""),SUM(C84:N84)+O84,"")</f>
        <v/>
      </c>
      <c r="R84" s="123"/>
      <c r="S84" s="177" t="str">
        <f>IF(OR(A84&lt;&gt;"",B84&lt;&gt;""),IF(R84="Sim",Q84/Config!$B$6,Q84),"")</f>
        <v/>
      </c>
      <c r="T84" s="177" t="str">
        <f>IF(OR(A84&lt;&gt;"",B84&lt;&gt;""),IF(R84="Sim",P84/Config!$B$6,P84),"")</f>
        <v/>
      </c>
      <c r="U84" s="29"/>
      <c r="V84" s="15"/>
      <c r="W84" s="15"/>
      <c r="X84" s="46"/>
      <c r="Y84" s="46"/>
      <c r="Z84" s="46"/>
      <c r="AA84" s="46"/>
      <c r="AB84" s="46"/>
      <c r="AC84" s="46"/>
      <c r="AD84" s="46"/>
      <c r="AE84" s="46"/>
      <c r="AF84" s="46"/>
      <c r="AG84" s="46"/>
      <c r="AH84" s="46"/>
      <c r="AI84" s="46"/>
      <c r="AJ84" s="46"/>
      <c r="AK84" s="46"/>
      <c r="AL84" s="46"/>
      <c r="AM84" s="46"/>
      <c r="AN84" s="46"/>
      <c r="AO84" s="46"/>
      <c r="AP84" s="46"/>
      <c r="AQ84" s="46"/>
      <c r="AR84" s="46"/>
      <c r="AS84" s="46"/>
      <c r="AT84" s="46"/>
      <c r="AU84" s="46"/>
      <c r="AV84" s="46"/>
      <c r="AW84" s="46"/>
      <c r="AX84" s="46"/>
      <c r="AY84" s="46"/>
      <c r="AZ84" s="46"/>
    </row>
    <row r="85" spans="1:52" hidden="1" x14ac:dyDescent="0.25">
      <c r="A85" s="15"/>
      <c r="B85" s="15"/>
      <c r="C85" s="177"/>
      <c r="D85" s="177"/>
      <c r="E85" s="177"/>
      <c r="F85" s="177"/>
      <c r="G85" s="177"/>
      <c r="H85" s="177"/>
      <c r="I85" s="177"/>
      <c r="J85" s="177"/>
      <c r="K85" s="177"/>
      <c r="L85" s="177"/>
      <c r="M85" s="177"/>
      <c r="N85" s="177"/>
      <c r="O85" s="177"/>
      <c r="P85" s="177" t="str">
        <f>IF(OR(A85&lt;&gt;"",B85&lt;&gt;""),(SUM(C85:N85)+O85)/12,"")</f>
        <v/>
      </c>
      <c r="Q85" s="177" t="str">
        <f>IF(OR(A85&lt;&gt;"",B85&lt;&gt;""),SUM(C85:N85)+O85,"")</f>
        <v/>
      </c>
      <c r="R85" s="123"/>
      <c r="S85" s="177" t="str">
        <f>IF(OR(A85&lt;&gt;"",B85&lt;&gt;""),IF(R85="Sim",Q85/Config!$B$6,Q85),"")</f>
        <v/>
      </c>
      <c r="T85" s="177" t="str">
        <f>IF(OR(A85&lt;&gt;"",B85&lt;&gt;""),IF(R85="Sim",P85/Config!$B$6,P85),"")</f>
        <v/>
      </c>
      <c r="U85" s="29"/>
      <c r="V85" s="15"/>
      <c r="W85" s="15"/>
      <c r="X85" s="46"/>
      <c r="Y85" s="46"/>
      <c r="Z85" s="46"/>
      <c r="AA85" s="46"/>
      <c r="AB85" s="46"/>
      <c r="AC85" s="46"/>
      <c r="AD85" s="46"/>
      <c r="AE85" s="46"/>
      <c r="AF85" s="46"/>
      <c r="AG85" s="46"/>
      <c r="AH85" s="46"/>
      <c r="AI85" s="46"/>
      <c r="AJ85" s="46"/>
      <c r="AK85" s="46"/>
      <c r="AL85" s="46"/>
      <c r="AM85" s="46"/>
      <c r="AN85" s="46"/>
      <c r="AO85" s="46"/>
      <c r="AP85" s="46"/>
      <c r="AQ85" s="46"/>
      <c r="AR85" s="46"/>
      <c r="AS85" s="46"/>
      <c r="AT85" s="46"/>
      <c r="AU85" s="46"/>
      <c r="AV85" s="46"/>
      <c r="AW85" s="46"/>
      <c r="AX85" s="46"/>
      <c r="AY85" s="46"/>
      <c r="AZ85" s="46"/>
    </row>
    <row r="86" spans="1:52" hidden="1" x14ac:dyDescent="0.25">
      <c r="A86" s="15"/>
      <c r="B86" s="15"/>
      <c r="C86" s="177"/>
      <c r="D86" s="177"/>
      <c r="E86" s="177"/>
      <c r="F86" s="177"/>
      <c r="G86" s="177"/>
      <c r="H86" s="177"/>
      <c r="I86" s="177"/>
      <c r="J86" s="177"/>
      <c r="K86" s="177"/>
      <c r="L86" s="177"/>
      <c r="M86" s="177"/>
      <c r="N86" s="177"/>
      <c r="O86" s="177"/>
      <c r="P86" s="177" t="str">
        <f>IF(OR(A86&lt;&gt;"",B86&lt;&gt;""),(SUM(C86:N86)+O86)/12,"")</f>
        <v/>
      </c>
      <c r="Q86" s="177" t="str">
        <f>IF(OR(A86&lt;&gt;"",B86&lt;&gt;""),SUM(C86:N86)+O86,"")</f>
        <v/>
      </c>
      <c r="R86" s="123"/>
      <c r="S86" s="177" t="str">
        <f>IF(OR(A86&lt;&gt;"",B86&lt;&gt;""),IF(R86="Sim",Q86/Config!$B$6,Q86),"")</f>
        <v/>
      </c>
      <c r="T86" s="177" t="str">
        <f>IF(OR(A86&lt;&gt;"",B86&lt;&gt;""),IF(R86="Sim",P86/Config!$B$6,P86),"")</f>
        <v/>
      </c>
      <c r="U86" s="29"/>
      <c r="V86" s="15"/>
      <c r="W86" s="15"/>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46"/>
      <c r="AV86" s="46"/>
      <c r="AW86" s="46"/>
      <c r="AX86" s="46"/>
      <c r="AY86" s="46"/>
      <c r="AZ86" s="46"/>
    </row>
    <row r="87" spans="1:52" hidden="1" x14ac:dyDescent="0.25">
      <c r="A87" s="15"/>
      <c r="B87" s="15"/>
      <c r="C87" s="177"/>
      <c r="D87" s="177"/>
      <c r="E87" s="177"/>
      <c r="F87" s="177"/>
      <c r="G87" s="177"/>
      <c r="H87" s="177"/>
      <c r="I87" s="177"/>
      <c r="J87" s="177"/>
      <c r="K87" s="177"/>
      <c r="L87" s="177"/>
      <c r="M87" s="177"/>
      <c r="N87" s="177"/>
      <c r="O87" s="177"/>
      <c r="P87" s="177" t="str">
        <f>IF(OR(A87&lt;&gt;"",B87&lt;&gt;""),(SUM(C87:N87)+O87)/12,"")</f>
        <v/>
      </c>
      <c r="Q87" s="177" t="str">
        <f>IF(OR(A87&lt;&gt;"",B87&lt;&gt;""),SUM(C87:N87)+O87,"")</f>
        <v/>
      </c>
      <c r="R87" s="123"/>
      <c r="S87" s="177" t="str">
        <f>IF(OR(A87&lt;&gt;"",B87&lt;&gt;""),IF(R87="Sim",Q87/Config!$B$6,Q87),"")</f>
        <v/>
      </c>
      <c r="T87" s="177" t="str">
        <f>IF(OR(A87&lt;&gt;"",B87&lt;&gt;""),IF(R87="Sim",P87/Config!$B$6,P87),"")</f>
        <v/>
      </c>
      <c r="U87" s="29"/>
      <c r="V87" s="15"/>
      <c r="W87" s="15"/>
      <c r="X87" s="46"/>
      <c r="Y87" s="46"/>
      <c r="Z87" s="46"/>
      <c r="AA87" s="46"/>
      <c r="AB87" s="46"/>
      <c r="AC87" s="46"/>
      <c r="AD87" s="46"/>
      <c r="AE87" s="46"/>
      <c r="AF87" s="46"/>
      <c r="AG87" s="46"/>
      <c r="AH87" s="46"/>
      <c r="AI87" s="46"/>
      <c r="AJ87" s="46"/>
      <c r="AK87" s="46"/>
      <c r="AL87" s="46"/>
      <c r="AM87" s="46"/>
      <c r="AN87" s="46"/>
      <c r="AO87" s="46"/>
      <c r="AP87" s="46"/>
      <c r="AQ87" s="46"/>
      <c r="AR87" s="46"/>
      <c r="AS87" s="46"/>
      <c r="AT87" s="46"/>
      <c r="AU87" s="46"/>
      <c r="AV87" s="46"/>
      <c r="AW87" s="46"/>
      <c r="AX87" s="46"/>
      <c r="AY87" s="46"/>
      <c r="AZ87" s="46"/>
    </row>
    <row r="88" spans="1:52" hidden="1" x14ac:dyDescent="0.25">
      <c r="A88" s="15"/>
      <c r="B88" s="15"/>
      <c r="C88" s="177"/>
      <c r="D88" s="177"/>
      <c r="E88" s="177"/>
      <c r="F88" s="177"/>
      <c r="G88" s="177"/>
      <c r="H88" s="177"/>
      <c r="I88" s="177"/>
      <c r="J88" s="177"/>
      <c r="K88" s="177"/>
      <c r="L88" s="177"/>
      <c r="M88" s="177"/>
      <c r="N88" s="177"/>
      <c r="O88" s="177"/>
      <c r="P88" s="177" t="str">
        <f>IF(OR(A88&lt;&gt;"",B88&lt;&gt;""),(SUM(C88:N88)+O88)/12,"")</f>
        <v/>
      </c>
      <c r="Q88" s="177" t="str">
        <f>IF(OR(A88&lt;&gt;"",B88&lt;&gt;""),SUM(C88:N88)+O88,"")</f>
        <v/>
      </c>
      <c r="R88" s="123"/>
      <c r="S88" s="177" t="str">
        <f>IF(OR(A88&lt;&gt;"",B88&lt;&gt;""),IF(R88="Sim",Q88/Config!$B$6,Q88),"")</f>
        <v/>
      </c>
      <c r="T88" s="177" t="str">
        <f>IF(OR(A88&lt;&gt;"",B88&lt;&gt;""),IF(R88="Sim",P88/Config!$B$6,P88),"")</f>
        <v/>
      </c>
      <c r="U88" s="29"/>
      <c r="V88" s="15"/>
      <c r="W88" s="15"/>
      <c r="X88" s="46"/>
      <c r="Y88" s="46"/>
      <c r="Z88" s="46"/>
      <c r="AA88" s="46"/>
      <c r="AB88" s="46"/>
      <c r="AC88" s="46"/>
      <c r="AD88" s="46"/>
      <c r="AE88" s="46"/>
      <c r="AF88" s="46"/>
      <c r="AG88" s="46"/>
      <c r="AH88" s="46"/>
      <c r="AI88" s="46"/>
      <c r="AJ88" s="46"/>
      <c r="AK88" s="46"/>
      <c r="AL88" s="46"/>
      <c r="AM88" s="46"/>
      <c r="AN88" s="46"/>
      <c r="AO88" s="46"/>
      <c r="AP88" s="46"/>
      <c r="AQ88" s="46"/>
      <c r="AR88" s="46"/>
      <c r="AS88" s="46"/>
      <c r="AT88" s="46"/>
      <c r="AU88" s="46"/>
      <c r="AV88" s="46"/>
      <c r="AW88" s="46"/>
      <c r="AX88" s="46"/>
      <c r="AY88" s="46"/>
      <c r="AZ88" s="46"/>
    </row>
    <row r="89" spans="1:52" hidden="1" x14ac:dyDescent="0.25">
      <c r="A89" s="15"/>
      <c r="B89" s="15"/>
      <c r="C89" s="177"/>
      <c r="D89" s="177"/>
      <c r="E89" s="177"/>
      <c r="F89" s="177"/>
      <c r="G89" s="177"/>
      <c r="H89" s="177"/>
      <c r="I89" s="177"/>
      <c r="J89" s="177"/>
      <c r="K89" s="177"/>
      <c r="L89" s="177"/>
      <c r="M89" s="177"/>
      <c r="N89" s="177"/>
      <c r="O89" s="177"/>
      <c r="P89" s="177" t="str">
        <f>IF(OR(A89&lt;&gt;"",B89&lt;&gt;""),(SUM(C89:N89)+O89)/12,"")</f>
        <v/>
      </c>
      <c r="Q89" s="177" t="str">
        <f>IF(OR(A89&lt;&gt;"",B89&lt;&gt;""),SUM(C89:N89)+O89,"")</f>
        <v/>
      </c>
      <c r="R89" s="123"/>
      <c r="S89" s="177" t="str">
        <f>IF(OR(A89&lt;&gt;"",B89&lt;&gt;""),IF(R89="Sim",Q89/Config!$B$6,Q89),"")</f>
        <v/>
      </c>
      <c r="T89" s="177" t="str">
        <f>IF(OR(A89&lt;&gt;"",B89&lt;&gt;""),IF(R89="Sim",P89/Config!$B$6,P89),"")</f>
        <v/>
      </c>
      <c r="U89" s="29"/>
      <c r="V89" s="15"/>
      <c r="W89" s="15"/>
      <c r="X89" s="46"/>
      <c r="Y89" s="46"/>
      <c r="Z89" s="46"/>
      <c r="AA89" s="46"/>
      <c r="AB89" s="46"/>
      <c r="AC89" s="46"/>
      <c r="AD89" s="46"/>
      <c r="AE89" s="46"/>
      <c r="AF89" s="46"/>
      <c r="AG89" s="46"/>
      <c r="AH89" s="46"/>
      <c r="AI89" s="46"/>
      <c r="AJ89" s="46"/>
      <c r="AK89" s="46"/>
      <c r="AL89" s="46"/>
      <c r="AM89" s="46"/>
      <c r="AN89" s="46"/>
      <c r="AO89" s="46"/>
      <c r="AP89" s="46"/>
      <c r="AQ89" s="46"/>
      <c r="AR89" s="46"/>
      <c r="AS89" s="46"/>
      <c r="AT89" s="46"/>
      <c r="AU89" s="46"/>
      <c r="AV89" s="46"/>
      <c r="AW89" s="46"/>
      <c r="AX89" s="46"/>
      <c r="AY89" s="46"/>
      <c r="AZ89" s="46"/>
    </row>
    <row r="90" spans="1:52" hidden="1" x14ac:dyDescent="0.25">
      <c r="A90" s="15"/>
      <c r="B90" s="15"/>
      <c r="C90" s="177"/>
      <c r="D90" s="177"/>
      <c r="E90" s="177"/>
      <c r="F90" s="177"/>
      <c r="G90" s="177"/>
      <c r="H90" s="177"/>
      <c r="I90" s="177"/>
      <c r="J90" s="177"/>
      <c r="K90" s="177"/>
      <c r="L90" s="177"/>
      <c r="M90" s="177"/>
      <c r="N90" s="177"/>
      <c r="O90" s="177"/>
      <c r="P90" s="177" t="str">
        <f>IF(OR(A90&lt;&gt;"",B90&lt;&gt;""),(SUM(C90:N90)+O90)/12,"")</f>
        <v/>
      </c>
      <c r="Q90" s="177" t="str">
        <f>IF(OR(A90&lt;&gt;"",B90&lt;&gt;""),SUM(C90:N90)+O90,"")</f>
        <v/>
      </c>
      <c r="R90" s="123"/>
      <c r="S90" s="177" t="str">
        <f>IF(OR(A90&lt;&gt;"",B90&lt;&gt;""),IF(R90="Sim",Q90/Config!$B$6,Q90),"")</f>
        <v/>
      </c>
      <c r="T90" s="177" t="str">
        <f>IF(OR(A90&lt;&gt;"",B90&lt;&gt;""),IF(R90="Sim",P90/Config!$B$6,P90),"")</f>
        <v/>
      </c>
      <c r="U90" s="29"/>
      <c r="V90" s="15"/>
      <c r="W90" s="15"/>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row>
    <row r="91" spans="1:52" hidden="1" x14ac:dyDescent="0.25">
      <c r="A91" s="15"/>
      <c r="B91" s="15"/>
      <c r="C91" s="177"/>
      <c r="D91" s="177"/>
      <c r="E91" s="177"/>
      <c r="F91" s="177"/>
      <c r="G91" s="177"/>
      <c r="H91" s="177"/>
      <c r="I91" s="177"/>
      <c r="J91" s="177"/>
      <c r="K91" s="177"/>
      <c r="L91" s="177"/>
      <c r="M91" s="177"/>
      <c r="N91" s="177"/>
      <c r="O91" s="177"/>
      <c r="P91" s="177" t="str">
        <f>IF(OR(A91&lt;&gt;"",B91&lt;&gt;""),(SUM(C91:N91)+O91)/12,"")</f>
        <v/>
      </c>
      <c r="Q91" s="177" t="str">
        <f>IF(OR(A91&lt;&gt;"",B91&lt;&gt;""),SUM(C91:N91)+O91,"")</f>
        <v/>
      </c>
      <c r="R91" s="123"/>
      <c r="S91" s="177" t="str">
        <f>IF(OR(A91&lt;&gt;"",B91&lt;&gt;""),IF(R91="Sim",Q91/Config!$B$6,Q91),"")</f>
        <v/>
      </c>
      <c r="T91" s="177" t="str">
        <f>IF(OR(A91&lt;&gt;"",B91&lt;&gt;""),IF(R91="Sim",P91/Config!$B$6,P91),"")</f>
        <v/>
      </c>
      <c r="U91" s="29"/>
      <c r="V91" s="15"/>
      <c r="W91" s="15"/>
      <c r="X91" s="46"/>
      <c r="Y91" s="46"/>
      <c r="Z91" s="46"/>
      <c r="AA91" s="46"/>
      <c r="AB91" s="46"/>
      <c r="AC91" s="46"/>
      <c r="AD91" s="46"/>
      <c r="AE91" s="46"/>
      <c r="AF91" s="46"/>
      <c r="AG91" s="46"/>
      <c r="AH91" s="46"/>
      <c r="AI91" s="46"/>
      <c r="AJ91" s="46"/>
      <c r="AK91" s="46"/>
      <c r="AL91" s="46"/>
      <c r="AM91" s="46"/>
      <c r="AN91" s="46"/>
      <c r="AO91" s="46"/>
      <c r="AP91" s="46"/>
      <c r="AQ91" s="46"/>
      <c r="AR91" s="46"/>
      <c r="AS91" s="46"/>
      <c r="AT91" s="46"/>
      <c r="AU91" s="46"/>
      <c r="AV91" s="46"/>
      <c r="AW91" s="46"/>
      <c r="AX91" s="46"/>
      <c r="AY91" s="46"/>
      <c r="AZ91" s="46"/>
    </row>
    <row r="92" spans="1:52" hidden="1" x14ac:dyDescent="0.25">
      <c r="A92" s="15"/>
      <c r="B92" s="15"/>
      <c r="C92" s="177"/>
      <c r="D92" s="177"/>
      <c r="E92" s="177"/>
      <c r="F92" s="177"/>
      <c r="G92" s="177"/>
      <c r="H92" s="177"/>
      <c r="I92" s="177"/>
      <c r="J92" s="177"/>
      <c r="K92" s="177"/>
      <c r="L92" s="177"/>
      <c r="M92" s="177"/>
      <c r="N92" s="177"/>
      <c r="O92" s="177"/>
      <c r="P92" s="177" t="str">
        <f>IF(OR(A92&lt;&gt;"",B92&lt;&gt;""),(SUM(C92:N92)+O92)/12,"")</f>
        <v/>
      </c>
      <c r="Q92" s="177" t="str">
        <f>IF(OR(A92&lt;&gt;"",B92&lt;&gt;""),SUM(C92:N92)+O92,"")</f>
        <v/>
      </c>
      <c r="R92" s="123"/>
      <c r="S92" s="177" t="str">
        <f>IF(OR(A92&lt;&gt;"",B92&lt;&gt;""),IF(R92="Sim",Q92/Config!$B$6,Q92),"")</f>
        <v/>
      </c>
      <c r="T92" s="177" t="str">
        <f>IF(OR(A92&lt;&gt;"",B92&lt;&gt;""),IF(R92="Sim",P92/Config!$B$6,P92),"")</f>
        <v/>
      </c>
      <c r="U92" s="29"/>
      <c r="V92" s="15"/>
      <c r="W92" s="15"/>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c r="AW92" s="46"/>
      <c r="AX92" s="46"/>
      <c r="AY92" s="46"/>
      <c r="AZ92" s="46"/>
    </row>
    <row r="93" spans="1:52" hidden="1" x14ac:dyDescent="0.25">
      <c r="A93" s="15"/>
      <c r="B93" s="15"/>
      <c r="C93" s="177"/>
      <c r="D93" s="177"/>
      <c r="E93" s="177"/>
      <c r="F93" s="177"/>
      <c r="G93" s="177"/>
      <c r="H93" s="177"/>
      <c r="I93" s="177"/>
      <c r="J93" s="177"/>
      <c r="K93" s="177"/>
      <c r="L93" s="177"/>
      <c r="M93" s="177"/>
      <c r="N93" s="177"/>
      <c r="O93" s="177"/>
      <c r="P93" s="177" t="str">
        <f>IF(OR(A93&lt;&gt;"",B93&lt;&gt;""),(SUM(C93:N93)+O93)/12,"")</f>
        <v/>
      </c>
      <c r="Q93" s="177" t="str">
        <f>IF(OR(A93&lt;&gt;"",B93&lt;&gt;""),SUM(C93:N93)+O93,"")</f>
        <v/>
      </c>
      <c r="R93" s="123"/>
      <c r="S93" s="177" t="str">
        <f>IF(OR(A93&lt;&gt;"",B93&lt;&gt;""),IF(R93="Sim",Q93/Config!$B$6,Q93),"")</f>
        <v/>
      </c>
      <c r="T93" s="177" t="str">
        <f>IF(OR(A93&lt;&gt;"",B93&lt;&gt;""),IF(R93="Sim",P93/Config!$B$6,P93),"")</f>
        <v/>
      </c>
      <c r="U93" s="29"/>
      <c r="V93" s="15"/>
      <c r="W93" s="15"/>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c r="AW93" s="46"/>
      <c r="AX93" s="46"/>
      <c r="AY93" s="46"/>
      <c r="AZ93" s="46"/>
    </row>
    <row r="94" spans="1:52" hidden="1" x14ac:dyDescent="0.25">
      <c r="A94" s="15"/>
      <c r="B94" s="15"/>
      <c r="C94" s="177"/>
      <c r="D94" s="177"/>
      <c r="E94" s="177"/>
      <c r="F94" s="177"/>
      <c r="G94" s="177"/>
      <c r="H94" s="177"/>
      <c r="I94" s="177"/>
      <c r="J94" s="177"/>
      <c r="K94" s="177"/>
      <c r="L94" s="177"/>
      <c r="M94" s="177"/>
      <c r="N94" s="177"/>
      <c r="O94" s="177"/>
      <c r="P94" s="177" t="str">
        <f>IF(OR(A94&lt;&gt;"",B94&lt;&gt;""),(SUM(C94:N94)+O94)/12,"")</f>
        <v/>
      </c>
      <c r="Q94" s="177" t="str">
        <f>IF(OR(A94&lt;&gt;"",B94&lt;&gt;""),SUM(C94:N94)+O94,"")</f>
        <v/>
      </c>
      <c r="R94" s="123"/>
      <c r="S94" s="177" t="str">
        <f>IF(OR(A94&lt;&gt;"",B94&lt;&gt;""),IF(R94="Sim",Q94/Config!$B$6,Q94),"")</f>
        <v/>
      </c>
      <c r="T94" s="177" t="str">
        <f>IF(OR(A94&lt;&gt;"",B94&lt;&gt;""),IF(R94="Sim",P94/Config!$B$6,P94),"")</f>
        <v/>
      </c>
      <c r="U94" s="29"/>
      <c r="V94" s="15"/>
      <c r="W94" s="15"/>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c r="AW94" s="46"/>
      <c r="AX94" s="46"/>
      <c r="AY94" s="46"/>
      <c r="AZ94" s="46"/>
    </row>
    <row r="95" spans="1:52" hidden="1" x14ac:dyDescent="0.25">
      <c r="A95" s="15"/>
      <c r="B95" s="15"/>
      <c r="C95" s="177"/>
      <c r="D95" s="177"/>
      <c r="E95" s="177"/>
      <c r="F95" s="177"/>
      <c r="G95" s="177"/>
      <c r="H95" s="177"/>
      <c r="I95" s="177"/>
      <c r="J95" s="177"/>
      <c r="K95" s="177"/>
      <c r="L95" s="177"/>
      <c r="M95" s="177"/>
      <c r="N95" s="177"/>
      <c r="O95" s="177"/>
      <c r="P95" s="177" t="str">
        <f>IF(OR(A95&lt;&gt;"",B95&lt;&gt;""),(SUM(C95:N95)+O95)/12,"")</f>
        <v/>
      </c>
      <c r="Q95" s="177" t="str">
        <f>IF(OR(A95&lt;&gt;"",B95&lt;&gt;""),SUM(C95:N95)+O95,"")</f>
        <v/>
      </c>
      <c r="R95" s="123"/>
      <c r="S95" s="177" t="str">
        <f>IF(OR(A95&lt;&gt;"",B95&lt;&gt;""),IF(R95="Sim",Q95/Config!$B$6,Q95),"")</f>
        <v/>
      </c>
      <c r="T95" s="177" t="str">
        <f>IF(OR(A95&lt;&gt;"",B95&lt;&gt;""),IF(R95="Sim",P95/Config!$B$6,P95),"")</f>
        <v/>
      </c>
      <c r="U95" s="29"/>
      <c r="V95" s="15"/>
      <c r="W95" s="15"/>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row>
    <row r="96" spans="1:52" hidden="1" x14ac:dyDescent="0.25">
      <c r="A96" s="15"/>
      <c r="B96" s="15"/>
      <c r="C96" s="177"/>
      <c r="D96" s="177"/>
      <c r="E96" s="177"/>
      <c r="F96" s="177"/>
      <c r="G96" s="177"/>
      <c r="H96" s="177"/>
      <c r="I96" s="177"/>
      <c r="J96" s="177"/>
      <c r="K96" s="177"/>
      <c r="L96" s="177"/>
      <c r="M96" s="177"/>
      <c r="N96" s="177"/>
      <c r="O96" s="177"/>
      <c r="P96" s="177" t="str">
        <f>IF(OR(A96&lt;&gt;"",B96&lt;&gt;""),(SUM(C96:N96)+O96)/12,"")</f>
        <v/>
      </c>
      <c r="Q96" s="177" t="str">
        <f>IF(OR(A96&lt;&gt;"",B96&lt;&gt;""),SUM(C96:N96)+O96,"")</f>
        <v/>
      </c>
      <c r="R96" s="123"/>
      <c r="S96" s="177" t="str">
        <f>IF(OR(A96&lt;&gt;"",B96&lt;&gt;""),IF(R96="Sim",Q96/Config!$B$6,Q96),"")</f>
        <v/>
      </c>
      <c r="T96" s="177" t="str">
        <f>IF(OR(A96&lt;&gt;"",B96&lt;&gt;""),IF(R96="Sim",P96/Config!$B$6,P96),"")</f>
        <v/>
      </c>
      <c r="U96" s="29"/>
      <c r="V96" s="15"/>
      <c r="W96" s="15"/>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c r="AW96" s="46"/>
      <c r="AX96" s="46"/>
      <c r="AY96" s="46"/>
      <c r="AZ96" s="46"/>
    </row>
    <row r="97" spans="1:52" hidden="1" x14ac:dyDescent="0.25">
      <c r="A97" s="15"/>
      <c r="B97" s="15"/>
      <c r="C97" s="177"/>
      <c r="D97" s="177"/>
      <c r="E97" s="177"/>
      <c r="F97" s="177"/>
      <c r="G97" s="177"/>
      <c r="H97" s="177"/>
      <c r="I97" s="177"/>
      <c r="J97" s="177"/>
      <c r="K97" s="177"/>
      <c r="L97" s="177"/>
      <c r="M97" s="177"/>
      <c r="N97" s="177"/>
      <c r="O97" s="177"/>
      <c r="P97" s="177" t="str">
        <f>IF(OR(A97&lt;&gt;"",B97&lt;&gt;""),(SUM(C97:N97)+O97)/12,"")</f>
        <v/>
      </c>
      <c r="Q97" s="177" t="str">
        <f>IF(OR(A97&lt;&gt;"",B97&lt;&gt;""),SUM(C97:N97)+O97,"")</f>
        <v/>
      </c>
      <c r="R97" s="123"/>
      <c r="S97" s="177" t="str">
        <f>IF(OR(A97&lt;&gt;"",B97&lt;&gt;""),IF(R97="Sim",Q97/Config!$B$6,Q97),"")</f>
        <v/>
      </c>
      <c r="T97" s="177" t="str">
        <f>IF(OR(A97&lt;&gt;"",B97&lt;&gt;""),IF(R97="Sim",P97/Config!$B$6,P97),"")</f>
        <v/>
      </c>
      <c r="U97" s="29"/>
      <c r="V97" s="15"/>
      <c r="W97" s="15"/>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c r="AW97" s="46"/>
      <c r="AX97" s="46"/>
      <c r="AY97" s="46"/>
      <c r="AZ97" s="46"/>
    </row>
    <row r="98" spans="1:52" hidden="1" x14ac:dyDescent="0.25">
      <c r="A98" s="15"/>
      <c r="B98" s="15"/>
      <c r="C98" s="177"/>
      <c r="D98" s="177"/>
      <c r="E98" s="177"/>
      <c r="F98" s="177"/>
      <c r="G98" s="177"/>
      <c r="H98" s="177"/>
      <c r="I98" s="177"/>
      <c r="J98" s="177"/>
      <c r="K98" s="177"/>
      <c r="L98" s="177"/>
      <c r="M98" s="177"/>
      <c r="N98" s="177"/>
      <c r="O98" s="177"/>
      <c r="P98" s="177" t="str">
        <f>IF(OR(A98&lt;&gt;"",B98&lt;&gt;""),(SUM(C98:N98)+O98)/12,"")</f>
        <v/>
      </c>
      <c r="Q98" s="177" t="str">
        <f>IF(OR(A98&lt;&gt;"",B98&lt;&gt;""),SUM(C98:N98)+O98,"")</f>
        <v/>
      </c>
      <c r="R98" s="123"/>
      <c r="S98" s="177" t="str">
        <f>IF(OR(A98&lt;&gt;"",B98&lt;&gt;""),IF(R98="Sim",Q98/Config!$B$6,Q98),"")</f>
        <v/>
      </c>
      <c r="T98" s="177" t="str">
        <f>IF(OR(A98&lt;&gt;"",B98&lt;&gt;""),IF(R98="Sim",P98/Config!$B$6,P98),"")</f>
        <v/>
      </c>
      <c r="U98" s="29"/>
      <c r="V98" s="15"/>
      <c r="W98" s="15"/>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c r="AW98" s="46"/>
      <c r="AX98" s="46"/>
      <c r="AY98" s="46"/>
      <c r="AZ98" s="46"/>
    </row>
    <row r="99" spans="1:52" hidden="1" x14ac:dyDescent="0.25">
      <c r="A99" s="15"/>
      <c r="B99" s="15"/>
      <c r="C99" s="177"/>
      <c r="D99" s="177"/>
      <c r="E99" s="177"/>
      <c r="F99" s="177"/>
      <c r="G99" s="177"/>
      <c r="H99" s="177"/>
      <c r="I99" s="177"/>
      <c r="J99" s="177"/>
      <c r="K99" s="177"/>
      <c r="L99" s="177"/>
      <c r="M99" s="177"/>
      <c r="N99" s="177"/>
      <c r="O99" s="177"/>
      <c r="P99" s="177" t="str">
        <f>IF(OR(A99&lt;&gt;"",B99&lt;&gt;""),(SUM(C99:N99)+O99)/12,"")</f>
        <v/>
      </c>
      <c r="Q99" s="177" t="str">
        <f>IF(OR(A99&lt;&gt;"",B99&lt;&gt;""),SUM(C99:N99)+O99,"")</f>
        <v/>
      </c>
      <c r="R99" s="123"/>
      <c r="S99" s="177" t="str">
        <f>IF(OR(A99&lt;&gt;"",B99&lt;&gt;""),IF(R99="Sim",Q99/Config!$B$6,Q99),"")</f>
        <v/>
      </c>
      <c r="T99" s="177" t="str">
        <f>IF(OR(A99&lt;&gt;"",B99&lt;&gt;""),IF(R99="Sim",P99/Config!$B$6,P99),"")</f>
        <v/>
      </c>
      <c r="U99" s="29"/>
      <c r="V99" s="15"/>
      <c r="W99" s="15"/>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row>
    <row r="100" spans="1:52" hidden="1" x14ac:dyDescent="0.25">
      <c r="A100" s="15"/>
      <c r="B100" s="15"/>
      <c r="C100" s="177"/>
      <c r="D100" s="177"/>
      <c r="E100" s="177"/>
      <c r="F100" s="177"/>
      <c r="G100" s="177"/>
      <c r="H100" s="177"/>
      <c r="I100" s="177"/>
      <c r="J100" s="177"/>
      <c r="K100" s="177"/>
      <c r="L100" s="177"/>
      <c r="M100" s="177"/>
      <c r="N100" s="177"/>
      <c r="O100" s="177"/>
      <c r="P100" s="177" t="str">
        <f>IF(OR(A100&lt;&gt;"",B100&lt;&gt;""),(SUM(C100:N100)+O100)/12,"")</f>
        <v/>
      </c>
      <c r="Q100" s="177" t="str">
        <f>IF(OR(A100&lt;&gt;"",B100&lt;&gt;""),SUM(C100:N100)+O100,"")</f>
        <v/>
      </c>
      <c r="R100" s="123"/>
      <c r="S100" s="177" t="str">
        <f>IF(OR(A100&lt;&gt;"",B100&lt;&gt;""),IF(R100="Sim",Q100/Config!$B$6,Q100),"")</f>
        <v/>
      </c>
      <c r="T100" s="177" t="str">
        <f>IF(OR(A100&lt;&gt;"",B100&lt;&gt;""),IF(R100="Sim",P100/Config!$B$6,P100),"")</f>
        <v/>
      </c>
      <c r="U100" s="29"/>
      <c r="V100" s="15"/>
      <c r="W100" s="15"/>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row>
    <row r="101" spans="1:52" hidden="1" x14ac:dyDescent="0.25">
      <c r="A101" s="15"/>
      <c r="B101" s="15"/>
      <c r="C101" s="177"/>
      <c r="D101" s="177"/>
      <c r="E101" s="177"/>
      <c r="F101" s="177"/>
      <c r="G101" s="177"/>
      <c r="H101" s="177"/>
      <c r="I101" s="177"/>
      <c r="J101" s="177"/>
      <c r="K101" s="177"/>
      <c r="L101" s="177"/>
      <c r="M101" s="177"/>
      <c r="N101" s="177"/>
      <c r="O101" s="177"/>
      <c r="P101" s="177" t="str">
        <f>IF(OR(A101&lt;&gt;"",B101&lt;&gt;""),(SUM(C101:N101)+O101)/12,"")</f>
        <v/>
      </c>
      <c r="Q101" s="177" t="str">
        <f>IF(OR(A101&lt;&gt;"",B101&lt;&gt;""),SUM(C101:N101)+O101,"")</f>
        <v/>
      </c>
      <c r="R101" s="123"/>
      <c r="S101" s="177" t="str">
        <f>IF(OR(A101&lt;&gt;"",B101&lt;&gt;""),IF(R101="Sim",Q101/Config!$B$6,Q101),"")</f>
        <v/>
      </c>
      <c r="T101" s="177" t="str">
        <f>IF(OR(A101&lt;&gt;"",B101&lt;&gt;""),IF(R101="Sim",P101/Config!$B$6,P101),"")</f>
        <v/>
      </c>
      <c r="U101" s="29"/>
      <c r="V101" s="15"/>
      <c r="W101" s="15"/>
      <c r="X101" s="46"/>
      <c r="Y101" s="46"/>
      <c r="Z101" s="46"/>
      <c r="AA101" s="46"/>
      <c r="AB101" s="46"/>
      <c r="AC101" s="46"/>
      <c r="AD101" s="46"/>
      <c r="AE101" s="46"/>
      <c r="AF101" s="46"/>
      <c r="AG101" s="46"/>
      <c r="AH101" s="46"/>
      <c r="AI101" s="46"/>
      <c r="AJ101" s="46"/>
      <c r="AK101" s="46"/>
      <c r="AL101" s="46"/>
      <c r="AM101" s="46"/>
      <c r="AN101" s="46"/>
      <c r="AO101" s="46"/>
      <c r="AP101" s="46"/>
      <c r="AQ101" s="46"/>
      <c r="AR101" s="46"/>
      <c r="AS101" s="46"/>
      <c r="AT101" s="46"/>
      <c r="AU101" s="46"/>
      <c r="AV101" s="46"/>
      <c r="AW101" s="46"/>
      <c r="AX101" s="46"/>
      <c r="AY101" s="46"/>
      <c r="AZ101" s="46"/>
    </row>
    <row r="102" spans="1:52" hidden="1" x14ac:dyDescent="0.25">
      <c r="A102" s="15"/>
      <c r="B102" s="15"/>
      <c r="C102" s="177"/>
      <c r="D102" s="177"/>
      <c r="E102" s="177"/>
      <c r="F102" s="177"/>
      <c r="G102" s="177"/>
      <c r="H102" s="177"/>
      <c r="I102" s="177"/>
      <c r="J102" s="177"/>
      <c r="K102" s="177"/>
      <c r="L102" s="177"/>
      <c r="M102" s="177"/>
      <c r="N102" s="177"/>
      <c r="O102" s="177"/>
      <c r="P102" s="177" t="str">
        <f>IF(OR(A102&lt;&gt;"",B102&lt;&gt;""),(SUM(C102:N102)+O102)/12,"")</f>
        <v/>
      </c>
      <c r="Q102" s="177" t="str">
        <f>IF(OR(A102&lt;&gt;"",B102&lt;&gt;""),SUM(C102:N102)+O102,"")</f>
        <v/>
      </c>
      <c r="R102" s="123"/>
      <c r="S102" s="177" t="str">
        <f>IF(OR(A102&lt;&gt;"",B102&lt;&gt;""),IF(R102="Sim",Q102/Config!$B$6,Q102),"")</f>
        <v/>
      </c>
      <c r="T102" s="177" t="str">
        <f>IF(OR(A102&lt;&gt;"",B102&lt;&gt;""),IF(R102="Sim",P102/Config!$B$6,P102),"")</f>
        <v/>
      </c>
      <c r="U102" s="29"/>
      <c r="V102" s="15"/>
      <c r="W102" s="15"/>
      <c r="X102" s="46"/>
      <c r="Y102" s="46"/>
      <c r="Z102" s="46"/>
      <c r="AA102" s="46"/>
      <c r="AB102" s="46"/>
      <c r="AC102" s="46"/>
      <c r="AD102" s="46"/>
      <c r="AE102" s="46"/>
      <c r="AF102" s="46"/>
      <c r="AG102" s="46"/>
      <c r="AH102" s="46"/>
      <c r="AI102" s="46"/>
      <c r="AJ102" s="46"/>
      <c r="AK102" s="46"/>
      <c r="AL102" s="46"/>
      <c r="AM102" s="46"/>
      <c r="AN102" s="46"/>
      <c r="AO102" s="46"/>
      <c r="AP102" s="46"/>
      <c r="AQ102" s="46"/>
      <c r="AR102" s="46"/>
      <c r="AS102" s="46"/>
      <c r="AT102" s="46"/>
      <c r="AU102" s="46"/>
      <c r="AV102" s="46"/>
      <c r="AW102" s="46"/>
      <c r="AX102" s="46"/>
      <c r="AY102" s="46"/>
      <c r="AZ102" s="46"/>
    </row>
    <row r="103" spans="1:52" hidden="1" x14ac:dyDescent="0.25">
      <c r="A103" s="15"/>
      <c r="B103" s="15"/>
      <c r="C103" s="177"/>
      <c r="D103" s="177"/>
      <c r="E103" s="177"/>
      <c r="F103" s="177"/>
      <c r="G103" s="177"/>
      <c r="H103" s="177"/>
      <c r="I103" s="177"/>
      <c r="J103" s="177"/>
      <c r="K103" s="177"/>
      <c r="L103" s="177"/>
      <c r="M103" s="177"/>
      <c r="N103" s="177"/>
      <c r="O103" s="177"/>
      <c r="P103" s="177" t="str">
        <f>IF(OR(A103&lt;&gt;"",B103&lt;&gt;""),(SUM(C103:N103)+O103)/12,"")</f>
        <v/>
      </c>
      <c r="Q103" s="177" t="str">
        <f>IF(OR(A103&lt;&gt;"",B103&lt;&gt;""),SUM(C103:N103)+O103,"")</f>
        <v/>
      </c>
      <c r="R103" s="123"/>
      <c r="S103" s="177" t="str">
        <f>IF(OR(A103&lt;&gt;"",B103&lt;&gt;""),IF(R103="Sim",Q103/Config!$B$6,Q103),"")</f>
        <v/>
      </c>
      <c r="T103" s="177" t="str">
        <f>IF(OR(A103&lt;&gt;"",B103&lt;&gt;""),IF(R103="Sim",P103/Config!$B$6,P103),"")</f>
        <v/>
      </c>
      <c r="U103" s="29"/>
      <c r="V103" s="15"/>
      <c r="W103" s="15"/>
      <c r="X103" s="46"/>
      <c r="Y103" s="46"/>
      <c r="Z103" s="46"/>
      <c r="AA103" s="46"/>
      <c r="AB103" s="46"/>
      <c r="AC103" s="46"/>
      <c r="AD103" s="46"/>
      <c r="AE103" s="46"/>
      <c r="AF103" s="46"/>
      <c r="AG103" s="46"/>
      <c r="AH103" s="46"/>
      <c r="AI103" s="46"/>
      <c r="AJ103" s="46"/>
      <c r="AK103" s="46"/>
      <c r="AL103" s="46"/>
      <c r="AM103" s="46"/>
      <c r="AN103" s="46"/>
      <c r="AO103" s="46"/>
      <c r="AP103" s="46"/>
      <c r="AQ103" s="46"/>
      <c r="AR103" s="46"/>
      <c r="AS103" s="46"/>
      <c r="AT103" s="46"/>
      <c r="AU103" s="46"/>
      <c r="AV103" s="46"/>
      <c r="AW103" s="46"/>
      <c r="AX103" s="46"/>
      <c r="AY103" s="46"/>
      <c r="AZ103" s="46"/>
    </row>
    <row r="104" spans="1:52" hidden="1" x14ac:dyDescent="0.25">
      <c r="A104" s="15"/>
      <c r="B104" s="15"/>
      <c r="C104" s="177"/>
      <c r="D104" s="177"/>
      <c r="E104" s="177"/>
      <c r="F104" s="177"/>
      <c r="G104" s="177"/>
      <c r="H104" s="177"/>
      <c r="I104" s="177"/>
      <c r="J104" s="177"/>
      <c r="K104" s="177"/>
      <c r="L104" s="177"/>
      <c r="M104" s="177"/>
      <c r="N104" s="177"/>
      <c r="O104" s="177"/>
      <c r="P104" s="177" t="str">
        <f>IF(OR(A104&lt;&gt;"",B104&lt;&gt;""),(SUM(C104:N104)+O104)/12,"")</f>
        <v/>
      </c>
      <c r="Q104" s="177" t="str">
        <f>IF(OR(A104&lt;&gt;"",B104&lt;&gt;""),SUM(C104:N104)+O104,"")</f>
        <v/>
      </c>
      <c r="R104" s="123"/>
      <c r="S104" s="177" t="str">
        <f>IF(OR(A104&lt;&gt;"",B104&lt;&gt;""),IF(R104="Sim",Q104/Config!$B$6,Q104),"")</f>
        <v/>
      </c>
      <c r="T104" s="177" t="str">
        <f>IF(OR(A104&lt;&gt;"",B104&lt;&gt;""),IF(R104="Sim",P104/Config!$B$6,P104),"")</f>
        <v/>
      </c>
      <c r="U104" s="29"/>
      <c r="V104" s="15"/>
      <c r="W104" s="15"/>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row>
    <row r="105" spans="1:52" hidden="1" x14ac:dyDescent="0.25">
      <c r="A105" s="15"/>
      <c r="B105" s="15"/>
      <c r="C105" s="177"/>
      <c r="D105" s="177"/>
      <c r="E105" s="177"/>
      <c r="F105" s="177"/>
      <c r="G105" s="177"/>
      <c r="H105" s="177"/>
      <c r="I105" s="177"/>
      <c r="J105" s="177"/>
      <c r="K105" s="177"/>
      <c r="L105" s="177"/>
      <c r="M105" s="177"/>
      <c r="N105" s="177"/>
      <c r="O105" s="177"/>
      <c r="P105" s="177" t="str">
        <f>IF(OR(A105&lt;&gt;"",B105&lt;&gt;""),(SUM(C105:N105)+O105)/12,"")</f>
        <v/>
      </c>
      <c r="Q105" s="177" t="str">
        <f>IF(OR(A105&lt;&gt;"",B105&lt;&gt;""),SUM(C105:N105)+O105,"")</f>
        <v/>
      </c>
      <c r="R105" s="123"/>
      <c r="S105" s="177" t="str">
        <f>IF(OR(A105&lt;&gt;"",B105&lt;&gt;""),IF(R105="Sim",Q105/Config!$B$6,Q105),"")</f>
        <v/>
      </c>
      <c r="T105" s="177" t="str">
        <f>IF(OR(A105&lt;&gt;"",B105&lt;&gt;""),IF(R105="Sim",P105/Config!$B$6,P105),"")</f>
        <v/>
      </c>
      <c r="U105" s="29"/>
      <c r="V105" s="15"/>
      <c r="W105" s="15"/>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row>
    <row r="106" spans="1:52" hidden="1" x14ac:dyDescent="0.25">
      <c r="A106" s="15"/>
      <c r="B106" s="15"/>
      <c r="C106" s="177"/>
      <c r="D106" s="177"/>
      <c r="E106" s="177"/>
      <c r="F106" s="177"/>
      <c r="G106" s="177"/>
      <c r="H106" s="177"/>
      <c r="I106" s="177"/>
      <c r="J106" s="177"/>
      <c r="K106" s="177"/>
      <c r="L106" s="177"/>
      <c r="M106" s="177"/>
      <c r="N106" s="177"/>
      <c r="O106" s="177"/>
      <c r="P106" s="177" t="str">
        <f>IF(OR(A106&lt;&gt;"",B106&lt;&gt;""),(SUM(C106:N106)+O106)/12,"")</f>
        <v/>
      </c>
      <c r="Q106" s="177" t="str">
        <f>IF(OR(A106&lt;&gt;"",B106&lt;&gt;""),SUM(C106:N106)+O106,"")</f>
        <v/>
      </c>
      <c r="R106" s="123"/>
      <c r="S106" s="177" t="str">
        <f>IF(OR(A106&lt;&gt;"",B106&lt;&gt;""),IF(R106="Sim",Q106/Config!$B$6,Q106),"")</f>
        <v/>
      </c>
      <c r="T106" s="177" t="str">
        <f>IF(OR(A106&lt;&gt;"",B106&lt;&gt;""),IF(R106="Sim",P106/Config!$B$6,P106),"")</f>
        <v/>
      </c>
      <c r="U106" s="29"/>
      <c r="V106" s="15"/>
      <c r="W106" s="15"/>
      <c r="X106" s="46"/>
      <c r="Y106" s="46"/>
      <c r="Z106" s="46"/>
      <c r="AA106" s="46"/>
      <c r="AB106" s="46"/>
      <c r="AC106" s="46"/>
      <c r="AD106" s="46"/>
      <c r="AE106" s="46"/>
      <c r="AF106" s="46"/>
      <c r="AG106" s="46"/>
      <c r="AH106" s="46"/>
      <c r="AI106" s="46"/>
      <c r="AJ106" s="46"/>
      <c r="AK106" s="46"/>
      <c r="AL106" s="46"/>
      <c r="AM106" s="46"/>
      <c r="AN106" s="46"/>
      <c r="AO106" s="46"/>
      <c r="AP106" s="46"/>
      <c r="AQ106" s="46"/>
      <c r="AR106" s="46"/>
      <c r="AS106" s="46"/>
      <c r="AT106" s="46"/>
      <c r="AU106" s="46"/>
      <c r="AV106" s="46"/>
      <c r="AW106" s="46"/>
      <c r="AX106" s="46"/>
      <c r="AY106" s="46"/>
      <c r="AZ106" s="46"/>
    </row>
    <row r="107" spans="1:52" hidden="1" x14ac:dyDescent="0.25">
      <c r="A107" s="15"/>
      <c r="B107" s="15"/>
      <c r="C107" s="177"/>
      <c r="D107" s="177"/>
      <c r="E107" s="177"/>
      <c r="F107" s="177"/>
      <c r="G107" s="177"/>
      <c r="H107" s="177"/>
      <c r="I107" s="177"/>
      <c r="J107" s="177"/>
      <c r="K107" s="177"/>
      <c r="L107" s="177"/>
      <c r="M107" s="177"/>
      <c r="N107" s="177"/>
      <c r="O107" s="177"/>
      <c r="P107" s="177" t="str">
        <f>IF(OR(A107&lt;&gt;"",B107&lt;&gt;""),(SUM(C107:N107)+O107)/12,"")</f>
        <v/>
      </c>
      <c r="Q107" s="177" t="str">
        <f>IF(OR(A107&lt;&gt;"",B107&lt;&gt;""),SUM(C107:N107)+O107,"")</f>
        <v/>
      </c>
      <c r="R107" s="123"/>
      <c r="S107" s="177" t="str">
        <f>IF(OR(A107&lt;&gt;"",B107&lt;&gt;""),IF(R107="Sim",Q107/Config!$B$6,Q107),"")</f>
        <v/>
      </c>
      <c r="T107" s="177" t="str">
        <f>IF(OR(A107&lt;&gt;"",B107&lt;&gt;""),IF(R107="Sim",P107/Config!$B$6,P107),"")</f>
        <v/>
      </c>
      <c r="U107" s="29"/>
      <c r="V107" s="15"/>
      <c r="W107" s="15"/>
      <c r="X107" s="46"/>
      <c r="Y107" s="46"/>
      <c r="Z107" s="46"/>
      <c r="AA107" s="46"/>
      <c r="AB107" s="46"/>
      <c r="AC107" s="46"/>
      <c r="AD107" s="46"/>
      <c r="AE107" s="46"/>
      <c r="AF107" s="46"/>
      <c r="AG107" s="46"/>
      <c r="AH107" s="46"/>
      <c r="AI107" s="46"/>
      <c r="AJ107" s="46"/>
      <c r="AK107" s="46"/>
      <c r="AL107" s="46"/>
      <c r="AM107" s="46"/>
      <c r="AN107" s="46"/>
      <c r="AO107" s="46"/>
      <c r="AP107" s="46"/>
      <c r="AQ107" s="46"/>
      <c r="AR107" s="46"/>
      <c r="AS107" s="46"/>
      <c r="AT107" s="46"/>
      <c r="AU107" s="46"/>
      <c r="AV107" s="46"/>
      <c r="AW107" s="46"/>
      <c r="AX107" s="46"/>
      <c r="AY107" s="46"/>
      <c r="AZ107" s="46"/>
    </row>
    <row r="108" spans="1:52" hidden="1" x14ac:dyDescent="0.25">
      <c r="A108" s="15"/>
      <c r="B108" s="15"/>
      <c r="C108" s="177"/>
      <c r="D108" s="177"/>
      <c r="E108" s="177"/>
      <c r="F108" s="177"/>
      <c r="G108" s="177"/>
      <c r="H108" s="177"/>
      <c r="I108" s="177"/>
      <c r="J108" s="177"/>
      <c r="K108" s="177"/>
      <c r="L108" s="177"/>
      <c r="M108" s="177"/>
      <c r="N108" s="177"/>
      <c r="O108" s="177"/>
      <c r="P108" s="177" t="str">
        <f>IF(OR(A108&lt;&gt;"",B108&lt;&gt;""),(SUM(C108:N108)+O108)/12,"")</f>
        <v/>
      </c>
      <c r="Q108" s="177" t="str">
        <f>IF(OR(A108&lt;&gt;"",B108&lt;&gt;""),SUM(C108:N108)+O108,"")</f>
        <v/>
      </c>
      <c r="R108" s="123"/>
      <c r="S108" s="177" t="str">
        <f>IF(OR(A108&lt;&gt;"",B108&lt;&gt;""),IF(R108="Sim",Q108/Config!$B$6,Q108),"")</f>
        <v/>
      </c>
      <c r="T108" s="177" t="str">
        <f>IF(OR(A108&lt;&gt;"",B108&lt;&gt;""),IF(R108="Sim",P108/Config!$B$6,P108),"")</f>
        <v/>
      </c>
      <c r="U108" s="29"/>
      <c r="V108" s="15"/>
      <c r="W108" s="15"/>
      <c r="X108" s="46"/>
      <c r="Y108" s="46"/>
      <c r="Z108" s="46"/>
      <c r="AA108" s="46"/>
      <c r="AB108" s="46"/>
      <c r="AC108" s="46"/>
      <c r="AD108" s="46"/>
      <c r="AE108" s="46"/>
      <c r="AF108" s="46"/>
      <c r="AG108" s="46"/>
      <c r="AH108" s="46"/>
      <c r="AI108" s="46"/>
      <c r="AJ108" s="46"/>
      <c r="AK108" s="46"/>
      <c r="AL108" s="46"/>
      <c r="AM108" s="46"/>
      <c r="AN108" s="46"/>
      <c r="AO108" s="46"/>
      <c r="AP108" s="46"/>
      <c r="AQ108" s="46"/>
      <c r="AR108" s="46"/>
      <c r="AS108" s="46"/>
      <c r="AT108" s="46"/>
      <c r="AU108" s="46"/>
      <c r="AV108" s="46"/>
      <c r="AW108" s="46"/>
      <c r="AX108" s="46"/>
      <c r="AY108" s="46"/>
      <c r="AZ108" s="46"/>
    </row>
    <row r="109" spans="1:52" hidden="1" x14ac:dyDescent="0.25">
      <c r="A109" s="15"/>
      <c r="B109" s="15"/>
      <c r="C109" s="177"/>
      <c r="D109" s="177"/>
      <c r="E109" s="177"/>
      <c r="F109" s="177"/>
      <c r="G109" s="177"/>
      <c r="H109" s="177"/>
      <c r="I109" s="177"/>
      <c r="J109" s="177"/>
      <c r="K109" s="177"/>
      <c r="L109" s="177"/>
      <c r="M109" s="177"/>
      <c r="N109" s="177"/>
      <c r="O109" s="177"/>
      <c r="P109" s="177" t="str">
        <f>IF(OR(A109&lt;&gt;"",B109&lt;&gt;""),(SUM(C109:N109)+O109)/12,"")</f>
        <v/>
      </c>
      <c r="Q109" s="177" t="str">
        <f>IF(OR(A109&lt;&gt;"",B109&lt;&gt;""),SUM(C109:N109)+O109,"")</f>
        <v/>
      </c>
      <c r="R109" s="123"/>
      <c r="S109" s="177" t="str">
        <f>IF(OR(A109&lt;&gt;"",B109&lt;&gt;""),IF(R109="Sim",Q109/Config!$B$6,Q109),"")</f>
        <v/>
      </c>
      <c r="T109" s="177" t="str">
        <f>IF(OR(A109&lt;&gt;"",B109&lt;&gt;""),IF(R109="Sim",P109/Config!$B$6,P109),"")</f>
        <v/>
      </c>
      <c r="U109" s="29"/>
      <c r="V109" s="15"/>
      <c r="W109" s="15"/>
      <c r="X109" s="46"/>
      <c r="Y109" s="46"/>
      <c r="Z109" s="46"/>
      <c r="AA109" s="46"/>
      <c r="AB109" s="46"/>
      <c r="AC109" s="46"/>
      <c r="AD109" s="46"/>
      <c r="AE109" s="46"/>
      <c r="AF109" s="46"/>
      <c r="AG109" s="46"/>
      <c r="AH109" s="46"/>
      <c r="AI109" s="46"/>
      <c r="AJ109" s="46"/>
      <c r="AK109" s="46"/>
      <c r="AL109" s="46"/>
      <c r="AM109" s="46"/>
      <c r="AN109" s="46"/>
      <c r="AO109" s="46"/>
      <c r="AP109" s="46"/>
      <c r="AQ109" s="46"/>
      <c r="AR109" s="46"/>
      <c r="AS109" s="46"/>
      <c r="AT109" s="46"/>
      <c r="AU109" s="46"/>
      <c r="AV109" s="46"/>
      <c r="AW109" s="46"/>
      <c r="AX109" s="46"/>
      <c r="AY109" s="46"/>
      <c r="AZ109" s="46"/>
    </row>
    <row r="110" spans="1:52" hidden="1" x14ac:dyDescent="0.25">
      <c r="A110" s="15"/>
      <c r="B110" s="15"/>
      <c r="C110" s="177"/>
      <c r="D110" s="177"/>
      <c r="E110" s="177"/>
      <c r="F110" s="177"/>
      <c r="G110" s="177"/>
      <c r="H110" s="177"/>
      <c r="I110" s="177"/>
      <c r="J110" s="177"/>
      <c r="K110" s="177"/>
      <c r="L110" s="177"/>
      <c r="M110" s="177"/>
      <c r="N110" s="177"/>
      <c r="O110" s="177"/>
      <c r="P110" s="177" t="str">
        <f>IF(OR(A110&lt;&gt;"",B110&lt;&gt;""),(SUM(C110:N110)+O110)/12,"")</f>
        <v/>
      </c>
      <c r="Q110" s="177" t="str">
        <f>IF(OR(A110&lt;&gt;"",B110&lt;&gt;""),SUM(C110:N110)+O110,"")</f>
        <v/>
      </c>
      <c r="R110" s="123"/>
      <c r="S110" s="177" t="str">
        <f>IF(OR(A110&lt;&gt;"",B110&lt;&gt;""),IF(R110="Sim",Q110/Config!$B$6,Q110),"")</f>
        <v/>
      </c>
      <c r="T110" s="177" t="str">
        <f>IF(OR(A110&lt;&gt;"",B110&lt;&gt;""),IF(R110="Sim",P110/Config!$B$6,P110),"")</f>
        <v/>
      </c>
      <c r="U110" s="29"/>
      <c r="V110" s="15"/>
      <c r="W110" s="15"/>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row>
    <row r="111" spans="1:52" hidden="1" x14ac:dyDescent="0.25">
      <c r="A111" s="15"/>
      <c r="B111" s="15"/>
      <c r="C111" s="177"/>
      <c r="D111" s="177"/>
      <c r="E111" s="177"/>
      <c r="F111" s="177"/>
      <c r="G111" s="177"/>
      <c r="H111" s="177"/>
      <c r="I111" s="177"/>
      <c r="J111" s="177"/>
      <c r="K111" s="177"/>
      <c r="L111" s="177"/>
      <c r="M111" s="177"/>
      <c r="N111" s="177"/>
      <c r="O111" s="177"/>
      <c r="P111" s="177" t="str">
        <f>IF(OR(A111&lt;&gt;"",B111&lt;&gt;""),(SUM(C111:N111)+O111)/12,"")</f>
        <v/>
      </c>
      <c r="Q111" s="177" t="str">
        <f>IF(OR(A111&lt;&gt;"",B111&lt;&gt;""),SUM(C111:N111)+O111,"")</f>
        <v/>
      </c>
      <c r="R111" s="123"/>
      <c r="S111" s="177" t="str">
        <f>IF(OR(A111&lt;&gt;"",B111&lt;&gt;""),IF(R111="Sim",Q111/Config!$B$6,Q111),"")</f>
        <v/>
      </c>
      <c r="T111" s="177" t="str">
        <f>IF(OR(A111&lt;&gt;"",B111&lt;&gt;""),IF(R111="Sim",P111/Config!$B$6,P111),"")</f>
        <v/>
      </c>
      <c r="U111" s="29"/>
      <c r="V111" s="15"/>
      <c r="W111" s="15"/>
      <c r="X111" s="46"/>
      <c r="Y111" s="46"/>
      <c r="Z111" s="46"/>
      <c r="AA111" s="46"/>
      <c r="AB111" s="46"/>
      <c r="AC111" s="46"/>
      <c r="AD111" s="46"/>
      <c r="AE111" s="46"/>
      <c r="AF111" s="46"/>
      <c r="AG111" s="46"/>
      <c r="AH111" s="46"/>
      <c r="AI111" s="46"/>
      <c r="AJ111" s="46"/>
      <c r="AK111" s="46"/>
      <c r="AL111" s="46"/>
      <c r="AM111" s="46"/>
      <c r="AN111" s="46"/>
      <c r="AO111" s="46"/>
      <c r="AP111" s="46"/>
      <c r="AQ111" s="46"/>
      <c r="AR111" s="46"/>
      <c r="AS111" s="46"/>
      <c r="AT111" s="46"/>
      <c r="AU111" s="46"/>
      <c r="AV111" s="46"/>
      <c r="AW111" s="46"/>
      <c r="AX111" s="46"/>
      <c r="AY111" s="46"/>
      <c r="AZ111" s="46"/>
    </row>
    <row r="112" spans="1:52" hidden="1" x14ac:dyDescent="0.25">
      <c r="A112" s="15"/>
      <c r="B112" s="15"/>
      <c r="C112" s="177"/>
      <c r="D112" s="177"/>
      <c r="E112" s="177"/>
      <c r="F112" s="177"/>
      <c r="G112" s="177"/>
      <c r="H112" s="177"/>
      <c r="I112" s="177"/>
      <c r="J112" s="177"/>
      <c r="K112" s="177"/>
      <c r="L112" s="177"/>
      <c r="M112" s="177"/>
      <c r="N112" s="177"/>
      <c r="O112" s="177"/>
      <c r="P112" s="177" t="str">
        <f>IF(OR(A112&lt;&gt;"",B112&lt;&gt;""),(SUM(C112:N112)+O112)/12,"")</f>
        <v/>
      </c>
      <c r="Q112" s="177" t="str">
        <f>IF(OR(A112&lt;&gt;"",B112&lt;&gt;""),SUM(C112:N112)+O112,"")</f>
        <v/>
      </c>
      <c r="R112" s="123"/>
      <c r="S112" s="177" t="str">
        <f>IF(OR(A112&lt;&gt;"",B112&lt;&gt;""),IF(R112="Sim",Q112/Config!$B$6,Q112),"")</f>
        <v/>
      </c>
      <c r="T112" s="177" t="str">
        <f>IF(OR(A112&lt;&gt;"",B112&lt;&gt;""),IF(R112="Sim",P112/Config!$B$6,P112),"")</f>
        <v/>
      </c>
      <c r="U112" s="29"/>
      <c r="V112" s="15"/>
      <c r="W112" s="15"/>
      <c r="X112" s="46"/>
      <c r="Y112" s="46"/>
      <c r="Z112" s="46"/>
      <c r="AA112" s="46"/>
      <c r="AB112" s="46"/>
      <c r="AC112" s="46"/>
      <c r="AD112" s="46"/>
      <c r="AE112" s="46"/>
      <c r="AF112" s="46"/>
      <c r="AG112" s="46"/>
      <c r="AH112" s="46"/>
      <c r="AI112" s="46"/>
      <c r="AJ112" s="46"/>
      <c r="AK112" s="46"/>
      <c r="AL112" s="46"/>
      <c r="AM112" s="46"/>
      <c r="AN112" s="46"/>
      <c r="AO112" s="46"/>
      <c r="AP112" s="46"/>
      <c r="AQ112" s="46"/>
      <c r="AR112" s="46"/>
      <c r="AS112" s="46"/>
      <c r="AT112" s="46"/>
      <c r="AU112" s="46"/>
      <c r="AV112" s="46"/>
      <c r="AW112" s="46"/>
      <c r="AX112" s="46"/>
      <c r="AY112" s="46"/>
      <c r="AZ112" s="46"/>
    </row>
    <row r="113" spans="1:52" hidden="1" x14ac:dyDescent="0.25">
      <c r="A113" s="15"/>
      <c r="B113" s="15"/>
      <c r="C113" s="177"/>
      <c r="D113" s="177"/>
      <c r="E113" s="177"/>
      <c r="F113" s="177"/>
      <c r="G113" s="177"/>
      <c r="H113" s="177"/>
      <c r="I113" s="177"/>
      <c r="J113" s="177"/>
      <c r="K113" s="177"/>
      <c r="L113" s="177"/>
      <c r="M113" s="177"/>
      <c r="N113" s="177"/>
      <c r="O113" s="177"/>
      <c r="P113" s="177" t="str">
        <f>IF(OR(A113&lt;&gt;"",B113&lt;&gt;""),(SUM(C113:N113)+O113)/12,"")</f>
        <v/>
      </c>
      <c r="Q113" s="177" t="str">
        <f>IF(OR(A113&lt;&gt;"",B113&lt;&gt;""),SUM(C113:N113)+O113,"")</f>
        <v/>
      </c>
      <c r="R113" s="123"/>
      <c r="S113" s="177" t="str">
        <f>IF(OR(A113&lt;&gt;"",B113&lt;&gt;""),IF(R113="Sim",Q113/Config!$B$6,Q113),"")</f>
        <v/>
      </c>
      <c r="T113" s="177" t="str">
        <f>IF(OR(A113&lt;&gt;"",B113&lt;&gt;""),IF(R113="Sim",P113/Config!$B$6,P113),"")</f>
        <v/>
      </c>
      <c r="U113" s="29"/>
      <c r="V113" s="15"/>
      <c r="W113" s="15"/>
      <c r="X113" s="46"/>
      <c r="Y113" s="46"/>
      <c r="Z113" s="46"/>
      <c r="AA113" s="46"/>
      <c r="AB113" s="46"/>
      <c r="AC113" s="46"/>
      <c r="AD113" s="46"/>
      <c r="AE113" s="46"/>
      <c r="AF113" s="46"/>
      <c r="AG113" s="46"/>
      <c r="AH113" s="46"/>
      <c r="AI113" s="46"/>
      <c r="AJ113" s="46"/>
      <c r="AK113" s="46"/>
      <c r="AL113" s="46"/>
      <c r="AM113" s="46"/>
      <c r="AN113" s="46"/>
      <c r="AO113" s="46"/>
      <c r="AP113" s="46"/>
      <c r="AQ113" s="46"/>
      <c r="AR113" s="46"/>
      <c r="AS113" s="46"/>
      <c r="AT113" s="46"/>
      <c r="AU113" s="46"/>
      <c r="AV113" s="46"/>
      <c r="AW113" s="46"/>
      <c r="AX113" s="46"/>
      <c r="AY113" s="46"/>
      <c r="AZ113" s="46"/>
    </row>
    <row r="114" spans="1:52" hidden="1" x14ac:dyDescent="0.25">
      <c r="A114" s="15"/>
      <c r="B114" s="15"/>
      <c r="C114" s="177"/>
      <c r="D114" s="177"/>
      <c r="E114" s="177"/>
      <c r="F114" s="177"/>
      <c r="G114" s="177"/>
      <c r="H114" s="177"/>
      <c r="I114" s="177"/>
      <c r="J114" s="177"/>
      <c r="K114" s="177"/>
      <c r="L114" s="177"/>
      <c r="M114" s="177"/>
      <c r="N114" s="177"/>
      <c r="O114" s="177"/>
      <c r="P114" s="177" t="str">
        <f>IF(OR(A114&lt;&gt;"",B114&lt;&gt;""),(SUM(C114:N114)+O114)/12,"")</f>
        <v/>
      </c>
      <c r="Q114" s="177" t="str">
        <f>IF(OR(A114&lt;&gt;"",B114&lt;&gt;""),SUM(C114:N114)+O114,"")</f>
        <v/>
      </c>
      <c r="R114" s="123"/>
      <c r="S114" s="177" t="str">
        <f>IF(OR(A114&lt;&gt;"",B114&lt;&gt;""),IF(R114="Sim",Q114/Config!$B$6,Q114),"")</f>
        <v/>
      </c>
      <c r="T114" s="177" t="str">
        <f>IF(OR(A114&lt;&gt;"",B114&lt;&gt;""),IF(R114="Sim",P114/Config!$B$6,P114),"")</f>
        <v/>
      </c>
      <c r="U114" s="29"/>
      <c r="V114" s="15"/>
      <c r="W114" s="15"/>
      <c r="X114" s="46"/>
      <c r="Y114" s="46"/>
      <c r="Z114" s="46"/>
      <c r="AA114" s="46"/>
      <c r="AB114" s="46"/>
      <c r="AC114" s="46"/>
      <c r="AD114" s="46"/>
      <c r="AE114" s="46"/>
      <c r="AF114" s="46"/>
      <c r="AG114" s="46"/>
      <c r="AH114" s="46"/>
      <c r="AI114" s="46"/>
      <c r="AJ114" s="46"/>
      <c r="AK114" s="46"/>
      <c r="AL114" s="46"/>
      <c r="AM114" s="46"/>
      <c r="AN114" s="46"/>
      <c r="AO114" s="46"/>
      <c r="AP114" s="46"/>
      <c r="AQ114" s="46"/>
      <c r="AR114" s="46"/>
      <c r="AS114" s="46"/>
      <c r="AT114" s="46"/>
      <c r="AU114" s="46"/>
      <c r="AV114" s="46"/>
      <c r="AW114" s="46"/>
      <c r="AX114" s="46"/>
      <c r="AY114" s="46"/>
      <c r="AZ114" s="46"/>
    </row>
    <row r="115" spans="1:52" hidden="1" x14ac:dyDescent="0.25">
      <c r="A115" s="15"/>
      <c r="B115" s="15"/>
      <c r="C115" s="177"/>
      <c r="D115" s="177"/>
      <c r="E115" s="177"/>
      <c r="F115" s="177"/>
      <c r="G115" s="177"/>
      <c r="H115" s="177"/>
      <c r="I115" s="177"/>
      <c r="J115" s="177"/>
      <c r="K115" s="177"/>
      <c r="L115" s="177"/>
      <c r="M115" s="177"/>
      <c r="N115" s="177"/>
      <c r="O115" s="177"/>
      <c r="P115" s="177" t="str">
        <f>IF(OR(A115&lt;&gt;"",B115&lt;&gt;""),(SUM(C115:N115)+O115)/12,"")</f>
        <v/>
      </c>
      <c r="Q115" s="177" t="str">
        <f>IF(OR(A115&lt;&gt;"",B115&lt;&gt;""),SUM(C115:N115)+O115,"")</f>
        <v/>
      </c>
      <c r="R115" s="123"/>
      <c r="S115" s="177" t="str">
        <f>IF(OR(A115&lt;&gt;"",B115&lt;&gt;""),IF(R115="Sim",Q115/Config!$B$6,Q115),"")</f>
        <v/>
      </c>
      <c r="T115" s="177" t="str">
        <f>IF(OR(A115&lt;&gt;"",B115&lt;&gt;""),IF(R115="Sim",P115/Config!$B$6,P115),"")</f>
        <v/>
      </c>
      <c r="U115" s="29"/>
      <c r="V115" s="15"/>
      <c r="W115" s="15"/>
      <c r="X115" s="46"/>
      <c r="Y115" s="46"/>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row>
    <row r="116" spans="1:52" hidden="1" x14ac:dyDescent="0.25">
      <c r="A116" s="15"/>
      <c r="B116" s="15"/>
      <c r="C116" s="177"/>
      <c r="D116" s="177"/>
      <c r="E116" s="177"/>
      <c r="F116" s="177"/>
      <c r="G116" s="177"/>
      <c r="H116" s="177"/>
      <c r="I116" s="177"/>
      <c r="J116" s="177"/>
      <c r="K116" s="177"/>
      <c r="L116" s="177"/>
      <c r="M116" s="177"/>
      <c r="N116" s="177"/>
      <c r="O116" s="177"/>
      <c r="P116" s="177" t="str">
        <f>IF(OR(A116&lt;&gt;"",B116&lt;&gt;""),(SUM(C116:N116)+O116)/12,"")</f>
        <v/>
      </c>
      <c r="Q116" s="177" t="str">
        <f>IF(OR(A116&lt;&gt;"",B116&lt;&gt;""),SUM(C116:N116)+O116,"")</f>
        <v/>
      </c>
      <c r="R116" s="123"/>
      <c r="S116" s="177" t="str">
        <f>IF(OR(A116&lt;&gt;"",B116&lt;&gt;""),IF(R116="Sim",Q116/Config!$B$6,Q116),"")</f>
        <v/>
      </c>
      <c r="T116" s="177" t="str">
        <f>IF(OR(A116&lt;&gt;"",B116&lt;&gt;""),IF(R116="Sim",P116/Config!$B$6,P116),"")</f>
        <v/>
      </c>
      <c r="U116" s="29"/>
      <c r="V116" s="15"/>
      <c r="W116" s="15"/>
      <c r="X116" s="46"/>
      <c r="Y116" s="46"/>
      <c r="Z116" s="46"/>
      <c r="AA116" s="46"/>
      <c r="AB116" s="46"/>
      <c r="AC116" s="46"/>
      <c r="AD116" s="46"/>
      <c r="AE116" s="46"/>
      <c r="AF116" s="46"/>
      <c r="AG116" s="46"/>
      <c r="AH116" s="46"/>
      <c r="AI116" s="46"/>
      <c r="AJ116" s="46"/>
      <c r="AK116" s="46"/>
      <c r="AL116" s="46"/>
      <c r="AM116" s="46"/>
      <c r="AN116" s="46"/>
      <c r="AO116" s="46"/>
      <c r="AP116" s="46"/>
      <c r="AQ116" s="46"/>
      <c r="AR116" s="46"/>
      <c r="AS116" s="46"/>
      <c r="AT116" s="46"/>
      <c r="AU116" s="46"/>
      <c r="AV116" s="46"/>
      <c r="AW116" s="46"/>
      <c r="AX116" s="46"/>
      <c r="AY116" s="46"/>
      <c r="AZ116" s="46"/>
    </row>
    <row r="117" spans="1:52" hidden="1" x14ac:dyDescent="0.25">
      <c r="A117" s="15"/>
      <c r="B117" s="15"/>
      <c r="C117" s="177"/>
      <c r="D117" s="177"/>
      <c r="E117" s="177"/>
      <c r="F117" s="177"/>
      <c r="G117" s="177"/>
      <c r="H117" s="177"/>
      <c r="I117" s="177"/>
      <c r="J117" s="177"/>
      <c r="K117" s="177"/>
      <c r="L117" s="177"/>
      <c r="M117" s="177"/>
      <c r="N117" s="177"/>
      <c r="O117" s="177"/>
      <c r="P117" s="177" t="str">
        <f>IF(OR(A117&lt;&gt;"",B117&lt;&gt;""),(SUM(C117:N117)+O117)/12,"")</f>
        <v/>
      </c>
      <c r="Q117" s="177" t="str">
        <f>IF(OR(A117&lt;&gt;"",B117&lt;&gt;""),SUM(C117:N117)+O117,"")</f>
        <v/>
      </c>
      <c r="R117" s="123"/>
      <c r="S117" s="177" t="str">
        <f>IF(OR(A117&lt;&gt;"",B117&lt;&gt;""),IF(R117="Sim",Q117/Config!$B$6,Q117),"")</f>
        <v/>
      </c>
      <c r="T117" s="177" t="str">
        <f>IF(OR(A117&lt;&gt;"",B117&lt;&gt;""),IF(R117="Sim",P117/Config!$B$6,P117),"")</f>
        <v/>
      </c>
      <c r="U117" s="29"/>
      <c r="V117" s="15"/>
      <c r="W117" s="15"/>
      <c r="X117" s="46"/>
      <c r="Y117" s="46"/>
      <c r="Z117" s="46"/>
      <c r="AA117" s="46"/>
      <c r="AB117" s="46"/>
      <c r="AC117" s="46"/>
      <c r="AD117" s="46"/>
      <c r="AE117" s="46"/>
      <c r="AF117" s="46"/>
      <c r="AG117" s="46"/>
      <c r="AH117" s="46"/>
      <c r="AI117" s="46"/>
      <c r="AJ117" s="46"/>
      <c r="AK117" s="46"/>
      <c r="AL117" s="46"/>
      <c r="AM117" s="46"/>
      <c r="AN117" s="46"/>
      <c r="AO117" s="46"/>
      <c r="AP117" s="46"/>
      <c r="AQ117" s="46"/>
      <c r="AR117" s="46"/>
      <c r="AS117" s="46"/>
      <c r="AT117" s="46"/>
      <c r="AU117" s="46"/>
      <c r="AV117" s="46"/>
      <c r="AW117" s="46"/>
      <c r="AX117" s="46"/>
      <c r="AY117" s="46"/>
      <c r="AZ117" s="46"/>
    </row>
    <row r="118" spans="1:52" hidden="1" x14ac:dyDescent="0.25">
      <c r="A118" s="15"/>
      <c r="B118" s="15"/>
      <c r="C118" s="177"/>
      <c r="D118" s="177"/>
      <c r="E118" s="177"/>
      <c r="F118" s="177"/>
      <c r="G118" s="177"/>
      <c r="H118" s="177"/>
      <c r="I118" s="177"/>
      <c r="J118" s="177"/>
      <c r="K118" s="177"/>
      <c r="L118" s="177"/>
      <c r="M118" s="177"/>
      <c r="N118" s="177"/>
      <c r="O118" s="177"/>
      <c r="P118" s="177" t="str">
        <f>IF(OR(A118&lt;&gt;"",B118&lt;&gt;""),(SUM(C118:N118)+O118)/12,"")</f>
        <v/>
      </c>
      <c r="Q118" s="177" t="str">
        <f>IF(OR(A118&lt;&gt;"",B118&lt;&gt;""),SUM(C118:N118)+O118,"")</f>
        <v/>
      </c>
      <c r="R118" s="123"/>
      <c r="S118" s="177" t="str">
        <f>IF(OR(A118&lt;&gt;"",B118&lt;&gt;""),IF(R118="Sim",Q118/Config!$B$6,Q118),"")</f>
        <v/>
      </c>
      <c r="T118" s="177" t="str">
        <f>IF(OR(A118&lt;&gt;"",B118&lt;&gt;""),IF(R118="Sim",P118/Config!$B$6,P118),"")</f>
        <v/>
      </c>
      <c r="U118" s="29"/>
      <c r="V118" s="15"/>
      <c r="W118" s="15"/>
      <c r="X118" s="46"/>
      <c r="Y118" s="46"/>
      <c r="Z118" s="46"/>
      <c r="AA118" s="46"/>
      <c r="AB118" s="46"/>
      <c r="AC118" s="46"/>
      <c r="AD118" s="46"/>
      <c r="AE118" s="46"/>
      <c r="AF118" s="46"/>
      <c r="AG118" s="46"/>
      <c r="AH118" s="46"/>
      <c r="AI118" s="46"/>
      <c r="AJ118" s="46"/>
      <c r="AK118" s="46"/>
      <c r="AL118" s="46"/>
      <c r="AM118" s="46"/>
      <c r="AN118" s="46"/>
      <c r="AO118" s="46"/>
      <c r="AP118" s="46"/>
      <c r="AQ118" s="46"/>
      <c r="AR118" s="46"/>
      <c r="AS118" s="46"/>
      <c r="AT118" s="46"/>
      <c r="AU118" s="46"/>
      <c r="AV118" s="46"/>
      <c r="AW118" s="46"/>
      <c r="AX118" s="46"/>
      <c r="AY118" s="46"/>
      <c r="AZ118" s="46"/>
    </row>
    <row r="119" spans="1:52" hidden="1" x14ac:dyDescent="0.25">
      <c r="A119" s="15"/>
      <c r="B119" s="15"/>
      <c r="C119" s="177"/>
      <c r="D119" s="177"/>
      <c r="E119" s="177"/>
      <c r="F119" s="177"/>
      <c r="G119" s="177"/>
      <c r="H119" s="177"/>
      <c r="I119" s="177"/>
      <c r="J119" s="177"/>
      <c r="K119" s="177"/>
      <c r="L119" s="177"/>
      <c r="M119" s="177"/>
      <c r="N119" s="177"/>
      <c r="O119" s="177"/>
      <c r="P119" s="177" t="str">
        <f>IF(OR(A119&lt;&gt;"",B119&lt;&gt;""),(SUM(C119:N119)+O119)/12,"")</f>
        <v/>
      </c>
      <c r="Q119" s="177" t="str">
        <f>IF(OR(A119&lt;&gt;"",B119&lt;&gt;""),SUM(C119:N119)+O119,"")</f>
        <v/>
      </c>
      <c r="R119" s="123"/>
      <c r="S119" s="177" t="str">
        <f>IF(OR(A119&lt;&gt;"",B119&lt;&gt;""),IF(R119="Sim",Q119/Config!$B$6,Q119),"")</f>
        <v/>
      </c>
      <c r="T119" s="177" t="str">
        <f>IF(OR(A119&lt;&gt;"",B119&lt;&gt;""),IF(R119="Sim",P119/Config!$B$6,P119),"")</f>
        <v/>
      </c>
      <c r="U119" s="29"/>
      <c r="V119" s="15"/>
      <c r="W119" s="15"/>
      <c r="X119" s="46"/>
      <c r="Y119" s="46"/>
      <c r="Z119" s="46"/>
      <c r="AA119" s="46"/>
      <c r="AB119" s="46"/>
      <c r="AC119" s="46"/>
      <c r="AD119" s="46"/>
      <c r="AE119" s="46"/>
      <c r="AF119" s="46"/>
      <c r="AG119" s="46"/>
      <c r="AH119" s="46"/>
      <c r="AI119" s="46"/>
      <c r="AJ119" s="46"/>
      <c r="AK119" s="46"/>
      <c r="AL119" s="46"/>
      <c r="AM119" s="46"/>
      <c r="AN119" s="46"/>
      <c r="AO119" s="46"/>
      <c r="AP119" s="46"/>
      <c r="AQ119" s="46"/>
      <c r="AR119" s="46"/>
      <c r="AS119" s="46"/>
      <c r="AT119" s="46"/>
      <c r="AU119" s="46"/>
      <c r="AV119" s="46"/>
      <c r="AW119" s="46"/>
      <c r="AX119" s="46"/>
      <c r="AY119" s="46"/>
      <c r="AZ119" s="46"/>
    </row>
    <row r="120" spans="1:52" hidden="1" x14ac:dyDescent="0.25">
      <c r="A120" s="15"/>
      <c r="B120" s="15"/>
      <c r="C120" s="177"/>
      <c r="D120" s="177"/>
      <c r="E120" s="177"/>
      <c r="F120" s="177"/>
      <c r="G120" s="177"/>
      <c r="H120" s="177"/>
      <c r="I120" s="177"/>
      <c r="J120" s="177"/>
      <c r="K120" s="177"/>
      <c r="L120" s="177"/>
      <c r="M120" s="177"/>
      <c r="N120" s="177"/>
      <c r="O120" s="177"/>
      <c r="P120" s="177" t="str">
        <f>IF(OR(A120&lt;&gt;"",B120&lt;&gt;""),(SUM(C120:N120)+O120)/12,"")</f>
        <v/>
      </c>
      <c r="Q120" s="177" t="str">
        <f>IF(OR(A120&lt;&gt;"",B120&lt;&gt;""),SUM(C120:N120)+O120,"")</f>
        <v/>
      </c>
      <c r="R120" s="123"/>
      <c r="S120" s="177" t="str">
        <f>IF(OR(A120&lt;&gt;"",B120&lt;&gt;""),IF(R120="Sim",Q120/Config!$B$6,Q120),"")</f>
        <v/>
      </c>
      <c r="T120" s="177" t="str">
        <f>IF(OR(A120&lt;&gt;"",B120&lt;&gt;""),IF(R120="Sim",P120/Config!$B$6,P120),"")</f>
        <v/>
      </c>
      <c r="U120" s="29"/>
      <c r="V120" s="15"/>
      <c r="W120" s="15"/>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row>
    <row r="121" spans="1:52" x14ac:dyDescent="0.25">
      <c r="A121" s="32"/>
      <c r="B121" s="32"/>
      <c r="C121" s="178"/>
      <c r="D121" s="178"/>
      <c r="E121" s="178"/>
      <c r="F121" s="178"/>
      <c r="G121" s="178"/>
      <c r="H121" s="178"/>
      <c r="I121" s="178"/>
      <c r="J121" s="178"/>
      <c r="K121" s="178"/>
      <c r="L121" s="178"/>
      <c r="M121" s="178"/>
      <c r="N121" s="178"/>
      <c r="O121" s="178"/>
      <c r="P121" s="178"/>
      <c r="Q121" s="178"/>
      <c r="R121" s="178"/>
      <c r="S121" s="178"/>
      <c r="T121" s="178"/>
      <c r="U121" s="33"/>
      <c r="V121" s="32"/>
      <c r="W121" s="32"/>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c r="AW121" s="47"/>
      <c r="AX121" s="47"/>
      <c r="AY121" s="47"/>
      <c r="AZ121" s="47"/>
    </row>
    <row r="122" spans="1:52" x14ac:dyDescent="0.25">
      <c r="A122" s="30"/>
      <c r="B122" s="30"/>
      <c r="C122" s="179"/>
      <c r="D122" s="179"/>
      <c r="E122" s="179"/>
      <c r="F122" s="179"/>
      <c r="G122" s="179"/>
      <c r="H122" s="179"/>
      <c r="I122" s="179"/>
      <c r="J122" s="179"/>
      <c r="K122" s="179"/>
      <c r="L122" s="179"/>
      <c r="M122" s="179"/>
      <c r="N122" s="179"/>
      <c r="O122" s="179"/>
      <c r="P122" s="179">
        <f>SUM(P5:P120)</f>
        <v>5559.3575000000001</v>
      </c>
      <c r="Q122" s="179">
        <f>SUM(Q5:Q120)</f>
        <v>66712.290000000008</v>
      </c>
      <c r="R122" s="179"/>
      <c r="S122" s="179">
        <f>SUM(S5:S120)</f>
        <v>51934.074999999997</v>
      </c>
      <c r="T122" s="179">
        <f>SUM(T5:T120)</f>
        <v>4327.8395833333343</v>
      </c>
      <c r="U122" s="31"/>
      <c r="V122" s="30"/>
      <c r="W122" s="30"/>
      <c r="X122" s="46"/>
      <c r="Y122" s="46"/>
      <c r="Z122" s="46"/>
      <c r="AA122" s="46"/>
      <c r="AB122" s="46"/>
      <c r="AC122" s="46"/>
      <c r="AD122" s="46"/>
      <c r="AE122" s="46"/>
      <c r="AF122" s="46"/>
      <c r="AG122" s="46"/>
      <c r="AH122" s="46"/>
      <c r="AI122" s="46"/>
      <c r="AJ122" s="46"/>
      <c r="AK122" s="46"/>
      <c r="AL122" s="46"/>
      <c r="AM122" s="46"/>
      <c r="AN122" s="46"/>
      <c r="AO122" s="46"/>
      <c r="AP122" s="46"/>
      <c r="AQ122" s="46"/>
      <c r="AR122" s="46"/>
      <c r="AS122" s="46"/>
      <c r="AT122" s="46"/>
      <c r="AU122" s="46"/>
      <c r="AV122" s="46"/>
      <c r="AW122" s="46"/>
      <c r="AX122" s="46"/>
      <c r="AY122" s="46"/>
      <c r="AZ122" s="46"/>
    </row>
    <row r="123" spans="1:52" x14ac:dyDescent="0.25">
      <c r="A123" s="45"/>
      <c r="B123" s="45"/>
      <c r="C123" s="46"/>
      <c r="D123" s="46"/>
      <c r="E123" s="46"/>
      <c r="F123" s="46"/>
      <c r="G123" s="46"/>
      <c r="H123" s="46"/>
      <c r="I123" s="46"/>
      <c r="J123" s="46"/>
      <c r="K123" s="46"/>
      <c r="L123" s="46"/>
      <c r="M123" s="46"/>
      <c r="N123" s="46"/>
      <c r="O123" s="46"/>
      <c r="P123" s="46"/>
      <c r="Q123" s="46"/>
      <c r="R123" s="46"/>
      <c r="S123" s="46"/>
      <c r="T123" s="46"/>
      <c r="U123" s="46"/>
      <c r="V123" s="45"/>
      <c r="W123" s="45"/>
      <c r="X123" s="46"/>
      <c r="Y123" s="46"/>
      <c r="Z123" s="46"/>
      <c r="AA123" s="46"/>
      <c r="AB123" s="46"/>
      <c r="AC123" s="46"/>
      <c r="AD123" s="46"/>
      <c r="AE123" s="46"/>
      <c r="AF123" s="46"/>
      <c r="AG123" s="46"/>
      <c r="AH123" s="46"/>
      <c r="AI123" s="46"/>
      <c r="AJ123" s="46"/>
      <c r="AK123" s="46"/>
      <c r="AL123" s="46"/>
      <c r="AM123" s="46"/>
      <c r="AN123" s="46"/>
      <c r="AO123" s="46"/>
      <c r="AP123" s="46"/>
      <c r="AQ123" s="46"/>
      <c r="AR123" s="46"/>
      <c r="AS123" s="46"/>
      <c r="AT123" s="46"/>
      <c r="AU123" s="46"/>
      <c r="AV123" s="46"/>
      <c r="AW123" s="46"/>
      <c r="AX123" s="46"/>
      <c r="AY123" s="46"/>
      <c r="AZ123" s="46"/>
    </row>
    <row r="124" spans="1:52" x14ac:dyDescent="0.25">
      <c r="A124" s="45"/>
      <c r="B124" s="45"/>
      <c r="C124" s="46"/>
      <c r="D124" s="46"/>
      <c r="E124" s="46"/>
      <c r="F124" s="46"/>
      <c r="G124" s="46"/>
      <c r="H124" s="46"/>
      <c r="I124" s="46"/>
      <c r="J124" s="46"/>
      <c r="K124" s="46"/>
      <c r="L124" s="46"/>
      <c r="M124" s="46"/>
      <c r="N124" s="46"/>
      <c r="O124" s="46"/>
      <c r="P124" s="46"/>
      <c r="Q124" s="46"/>
      <c r="R124" s="46"/>
      <c r="S124" s="46"/>
      <c r="T124" s="46"/>
      <c r="U124" s="46"/>
      <c r="V124" s="46"/>
      <c r="W124" s="46"/>
      <c r="X124" s="46"/>
      <c r="Y124" s="46"/>
      <c r="Z124" s="46"/>
      <c r="AA124" s="46"/>
      <c r="AB124" s="46"/>
      <c r="AC124" s="46"/>
      <c r="AD124" s="46"/>
      <c r="AE124" s="46"/>
      <c r="AF124" s="46"/>
      <c r="AG124" s="46"/>
      <c r="AH124" s="46"/>
      <c r="AI124" s="46"/>
      <c r="AJ124" s="46"/>
      <c r="AK124" s="46"/>
      <c r="AL124" s="46"/>
      <c r="AM124" s="46"/>
      <c r="AN124" s="46"/>
      <c r="AO124" s="46"/>
      <c r="AP124" s="46"/>
      <c r="AQ124" s="46"/>
      <c r="AR124" s="46"/>
      <c r="AS124" s="46"/>
      <c r="AT124" s="46"/>
      <c r="AU124" s="46"/>
      <c r="AV124" s="46"/>
      <c r="AW124" s="46"/>
      <c r="AX124" s="46"/>
      <c r="AY124" s="46"/>
      <c r="AZ124" s="46"/>
    </row>
    <row r="125" spans="1:52" x14ac:dyDescent="0.25">
      <c r="A125" s="45"/>
      <c r="B125" s="45"/>
      <c r="C125" s="46"/>
      <c r="D125" s="46"/>
      <c r="E125" s="46"/>
      <c r="F125" s="46"/>
      <c r="G125" s="46"/>
      <c r="H125" s="46"/>
      <c r="I125" s="46"/>
      <c r="J125" s="46"/>
      <c r="K125" s="46"/>
      <c r="L125" s="46"/>
      <c r="M125" s="46"/>
      <c r="N125" s="46"/>
      <c r="O125" s="46"/>
      <c r="P125" s="46"/>
      <c r="Q125" s="46"/>
      <c r="R125" s="46"/>
      <c r="S125" s="46"/>
      <c r="T125" s="46"/>
      <c r="U125" s="46"/>
      <c r="V125" s="46"/>
      <c r="W125" s="46"/>
      <c r="X125" s="46"/>
      <c r="Y125" s="46"/>
      <c r="Z125" s="46"/>
      <c r="AA125" s="46"/>
      <c r="AB125" s="46"/>
      <c r="AC125" s="46"/>
      <c r="AD125" s="46"/>
      <c r="AE125" s="46"/>
      <c r="AF125" s="46"/>
      <c r="AG125" s="46"/>
      <c r="AH125" s="46"/>
      <c r="AI125" s="46"/>
      <c r="AJ125" s="46"/>
      <c r="AK125" s="46"/>
      <c r="AL125" s="46"/>
      <c r="AM125" s="46"/>
      <c r="AN125" s="46"/>
      <c r="AO125" s="46"/>
      <c r="AP125" s="46"/>
      <c r="AQ125" s="46"/>
      <c r="AR125" s="46"/>
      <c r="AS125" s="46"/>
      <c r="AT125" s="46"/>
      <c r="AU125" s="46"/>
      <c r="AV125" s="46"/>
      <c r="AW125" s="46"/>
      <c r="AX125" s="46"/>
      <c r="AY125" s="46"/>
      <c r="AZ125" s="46"/>
    </row>
    <row r="126" spans="1:52" x14ac:dyDescent="0.25">
      <c r="A126" s="45"/>
      <c r="B126" s="45"/>
      <c r="C126" s="46"/>
      <c r="D126" s="46"/>
      <c r="E126" s="46"/>
      <c r="F126" s="46"/>
      <c r="G126" s="46"/>
      <c r="H126" s="46"/>
      <c r="I126" s="46"/>
      <c r="J126" s="46"/>
      <c r="K126" s="46"/>
      <c r="L126" s="46"/>
      <c r="M126" s="46"/>
      <c r="N126" s="46"/>
      <c r="O126" s="46"/>
      <c r="P126" s="46"/>
      <c r="Q126" s="46"/>
      <c r="R126" s="46"/>
      <c r="S126" s="46"/>
      <c r="T126" s="46"/>
      <c r="U126" s="46"/>
      <c r="V126" s="46"/>
      <c r="W126" s="46"/>
      <c r="X126" s="46"/>
      <c r="Y126" s="46"/>
      <c r="Z126" s="46"/>
      <c r="AA126" s="46"/>
      <c r="AB126" s="46"/>
      <c r="AC126" s="46"/>
      <c r="AD126" s="46"/>
      <c r="AE126" s="46"/>
      <c r="AF126" s="46"/>
      <c r="AG126" s="46"/>
      <c r="AH126" s="46"/>
      <c r="AI126" s="46"/>
      <c r="AJ126" s="46"/>
      <c r="AK126" s="46"/>
      <c r="AL126" s="46"/>
      <c r="AM126" s="46"/>
      <c r="AN126" s="46"/>
      <c r="AO126" s="46"/>
      <c r="AP126" s="46"/>
      <c r="AQ126" s="46"/>
      <c r="AR126" s="46"/>
      <c r="AS126" s="46"/>
      <c r="AT126" s="46"/>
      <c r="AU126" s="46"/>
      <c r="AV126" s="46"/>
      <c r="AW126" s="46"/>
      <c r="AX126" s="46"/>
      <c r="AY126" s="46"/>
      <c r="AZ126" s="46"/>
    </row>
    <row r="127" spans="1:52" x14ac:dyDescent="0.25">
      <c r="A127" s="45"/>
      <c r="B127" s="45"/>
      <c r="C127" s="46"/>
      <c r="D127" s="46"/>
      <c r="E127" s="46"/>
      <c r="F127" s="46"/>
      <c r="G127" s="46"/>
      <c r="H127" s="46"/>
      <c r="I127" s="46"/>
      <c r="J127" s="46"/>
      <c r="K127" s="46"/>
      <c r="L127" s="46"/>
      <c r="M127" s="46"/>
      <c r="N127" s="46"/>
      <c r="O127" s="46"/>
      <c r="P127" s="46"/>
      <c r="Q127" s="46"/>
      <c r="R127" s="46"/>
      <c r="S127" s="46"/>
      <c r="T127" s="46"/>
      <c r="U127" s="46"/>
      <c r="V127" s="46"/>
      <c r="W127" s="46"/>
      <c r="X127" s="46"/>
      <c r="Y127" s="46"/>
      <c r="Z127" s="46"/>
      <c r="AA127" s="46"/>
      <c r="AB127" s="46"/>
      <c r="AC127" s="46"/>
      <c r="AD127" s="46"/>
      <c r="AE127" s="46"/>
      <c r="AF127" s="46"/>
      <c r="AG127" s="46"/>
      <c r="AH127" s="46"/>
      <c r="AI127" s="46"/>
      <c r="AJ127" s="46"/>
      <c r="AK127" s="46"/>
      <c r="AL127" s="46"/>
      <c r="AM127" s="46"/>
      <c r="AN127" s="46"/>
      <c r="AO127" s="46"/>
      <c r="AP127" s="46"/>
      <c r="AQ127" s="46"/>
      <c r="AR127" s="46"/>
      <c r="AS127" s="46"/>
      <c r="AT127" s="46"/>
      <c r="AU127" s="46"/>
      <c r="AV127" s="46"/>
      <c r="AW127" s="46"/>
      <c r="AX127" s="46"/>
      <c r="AY127" s="46"/>
      <c r="AZ127" s="46"/>
    </row>
    <row r="128" spans="1:52" x14ac:dyDescent="0.25">
      <c r="A128" s="45"/>
      <c r="B128" s="45"/>
      <c r="C128" s="46"/>
      <c r="D128" s="46"/>
      <c r="E128" s="46"/>
      <c r="F128" s="46"/>
      <c r="G128" s="46"/>
      <c r="H128" s="46"/>
      <c r="I128" s="46"/>
      <c r="J128" s="46"/>
      <c r="K128" s="46"/>
      <c r="L128" s="46"/>
      <c r="M128" s="46"/>
      <c r="N128" s="46"/>
      <c r="O128" s="46"/>
      <c r="P128" s="46"/>
      <c r="Q128" s="46"/>
      <c r="R128" s="46"/>
      <c r="S128" s="46"/>
      <c r="T128" s="46"/>
      <c r="U128" s="46"/>
      <c r="V128" s="46"/>
      <c r="W128" s="46"/>
      <c r="X128" s="46"/>
      <c r="Y128" s="46"/>
      <c r="Z128" s="46"/>
      <c r="AA128" s="46"/>
      <c r="AB128" s="46"/>
      <c r="AC128" s="46"/>
      <c r="AD128" s="46"/>
      <c r="AE128" s="46"/>
      <c r="AF128" s="46"/>
      <c r="AG128" s="46"/>
      <c r="AH128" s="46"/>
      <c r="AI128" s="46"/>
      <c r="AJ128" s="46"/>
      <c r="AK128" s="46"/>
      <c r="AL128" s="46"/>
      <c r="AM128" s="46"/>
      <c r="AN128" s="46"/>
      <c r="AO128" s="46"/>
      <c r="AP128" s="46"/>
      <c r="AQ128" s="46"/>
      <c r="AR128" s="46"/>
      <c r="AS128" s="46"/>
      <c r="AT128" s="46"/>
      <c r="AU128" s="46"/>
      <c r="AV128" s="46"/>
      <c r="AW128" s="46"/>
      <c r="AX128" s="46"/>
      <c r="AY128" s="46"/>
      <c r="AZ128" s="46"/>
    </row>
    <row r="129" spans="1:52" x14ac:dyDescent="0.25">
      <c r="A129" s="45"/>
      <c r="B129" s="45"/>
      <c r="C129" s="46"/>
      <c r="D129" s="46"/>
      <c r="E129" s="46"/>
      <c r="F129" s="46"/>
      <c r="G129" s="46"/>
      <c r="H129" s="46"/>
      <c r="I129" s="46"/>
      <c r="J129" s="46"/>
      <c r="K129" s="46"/>
      <c r="L129" s="46"/>
      <c r="M129" s="46"/>
      <c r="N129" s="46"/>
      <c r="O129" s="46"/>
      <c r="P129" s="46"/>
      <c r="Q129" s="46"/>
      <c r="R129" s="46"/>
      <c r="S129" s="46"/>
      <c r="T129" s="46"/>
      <c r="U129" s="46"/>
      <c r="V129" s="46"/>
      <c r="W129" s="46"/>
      <c r="X129" s="46"/>
      <c r="Y129" s="46"/>
      <c r="Z129" s="46"/>
      <c r="AA129" s="46"/>
      <c r="AB129" s="46"/>
      <c r="AC129" s="46"/>
      <c r="AD129" s="46"/>
      <c r="AE129" s="46"/>
      <c r="AF129" s="46"/>
      <c r="AG129" s="46"/>
      <c r="AH129" s="46"/>
      <c r="AI129" s="46"/>
      <c r="AJ129" s="46"/>
      <c r="AK129" s="46"/>
      <c r="AL129" s="46"/>
      <c r="AM129" s="46"/>
      <c r="AN129" s="46"/>
      <c r="AO129" s="46"/>
      <c r="AP129" s="46"/>
      <c r="AQ129" s="46"/>
      <c r="AR129" s="46"/>
      <c r="AS129" s="46"/>
      <c r="AT129" s="46"/>
      <c r="AU129" s="46"/>
      <c r="AV129" s="46"/>
      <c r="AW129" s="46"/>
      <c r="AX129" s="46"/>
      <c r="AY129" s="46"/>
      <c r="AZ129" s="46"/>
    </row>
    <row r="130" spans="1:52" x14ac:dyDescent="0.25">
      <c r="A130" s="45"/>
      <c r="B130" s="45"/>
      <c r="C130" s="46"/>
      <c r="D130" s="46"/>
      <c r="E130" s="46"/>
      <c r="F130" s="46"/>
      <c r="G130" s="46"/>
      <c r="H130" s="46"/>
      <c r="I130" s="46"/>
      <c r="J130" s="46"/>
      <c r="K130" s="46"/>
      <c r="L130" s="46"/>
      <c r="M130" s="46"/>
      <c r="N130" s="46"/>
      <c r="O130" s="46"/>
      <c r="P130" s="46"/>
      <c r="Q130" s="46"/>
      <c r="R130" s="46"/>
      <c r="S130" s="46"/>
      <c r="T130" s="46"/>
      <c r="U130" s="46"/>
      <c r="V130" s="46"/>
      <c r="W130" s="46"/>
      <c r="X130" s="46"/>
      <c r="Y130" s="46"/>
      <c r="Z130" s="46"/>
      <c r="AA130" s="46"/>
      <c r="AB130" s="46"/>
      <c r="AC130" s="46"/>
      <c r="AD130" s="46"/>
      <c r="AE130" s="46"/>
      <c r="AF130" s="46"/>
      <c r="AG130" s="46"/>
      <c r="AH130" s="46"/>
      <c r="AI130" s="46"/>
      <c r="AJ130" s="46"/>
      <c r="AK130" s="46"/>
      <c r="AL130" s="46"/>
      <c r="AM130" s="46"/>
      <c r="AN130" s="46"/>
      <c r="AO130" s="46"/>
      <c r="AP130" s="46"/>
      <c r="AQ130" s="46"/>
      <c r="AR130" s="46"/>
      <c r="AS130" s="46"/>
      <c r="AT130" s="46"/>
      <c r="AU130" s="46"/>
      <c r="AV130" s="46"/>
      <c r="AW130" s="46"/>
      <c r="AX130" s="46"/>
      <c r="AY130" s="46"/>
      <c r="AZ130" s="46"/>
    </row>
    <row r="131" spans="1:52" x14ac:dyDescent="0.25">
      <c r="A131" s="45"/>
      <c r="B131" s="45"/>
      <c r="C131" s="46"/>
      <c r="D131" s="46"/>
      <c r="E131" s="46"/>
      <c r="F131" s="46"/>
      <c r="G131" s="46"/>
      <c r="H131" s="46"/>
      <c r="I131" s="46"/>
      <c r="J131" s="46"/>
      <c r="K131" s="46"/>
      <c r="L131" s="46"/>
      <c r="M131" s="46"/>
      <c r="N131" s="46"/>
      <c r="O131" s="46"/>
      <c r="P131" s="46"/>
      <c r="Q131" s="46"/>
      <c r="R131" s="46"/>
      <c r="S131" s="46"/>
      <c r="T131" s="46"/>
      <c r="U131" s="46"/>
      <c r="V131" s="46"/>
      <c r="W131" s="46"/>
      <c r="X131" s="46"/>
      <c r="Y131" s="46"/>
      <c r="Z131" s="46"/>
      <c r="AA131" s="46"/>
      <c r="AB131" s="46"/>
      <c r="AC131" s="46"/>
      <c r="AD131" s="46"/>
      <c r="AE131" s="46"/>
      <c r="AF131" s="46"/>
      <c r="AG131" s="46"/>
      <c r="AH131" s="46"/>
      <c r="AI131" s="46"/>
      <c r="AJ131" s="46"/>
      <c r="AK131" s="46"/>
      <c r="AL131" s="46"/>
      <c r="AM131" s="46"/>
      <c r="AN131" s="46"/>
      <c r="AO131" s="46"/>
      <c r="AP131" s="46"/>
      <c r="AQ131" s="46"/>
      <c r="AR131" s="46"/>
      <c r="AS131" s="46"/>
      <c r="AT131" s="46"/>
      <c r="AU131" s="46"/>
      <c r="AV131" s="46"/>
      <c r="AW131" s="46"/>
      <c r="AX131" s="46"/>
      <c r="AY131" s="46"/>
      <c r="AZ131" s="46"/>
    </row>
    <row r="132" spans="1:52" x14ac:dyDescent="0.25">
      <c r="A132" s="45"/>
      <c r="B132" s="45"/>
      <c r="C132" s="46"/>
      <c r="D132" s="46"/>
      <c r="E132" s="46"/>
      <c r="F132" s="46"/>
      <c r="G132" s="46"/>
      <c r="H132" s="46"/>
      <c r="I132" s="46"/>
      <c r="J132" s="46"/>
      <c r="K132" s="46"/>
      <c r="L132" s="46"/>
      <c r="M132" s="46"/>
      <c r="N132" s="46"/>
      <c r="O132" s="46"/>
      <c r="P132" s="46"/>
      <c r="Q132" s="46"/>
      <c r="R132" s="46"/>
      <c r="S132" s="46"/>
      <c r="T132" s="46"/>
      <c r="U132" s="46"/>
      <c r="V132" s="46"/>
      <c r="W132" s="46"/>
      <c r="X132" s="46"/>
      <c r="Y132" s="46"/>
      <c r="Z132" s="46"/>
      <c r="AA132" s="46"/>
      <c r="AB132" s="46"/>
      <c r="AC132" s="46"/>
      <c r="AD132" s="46"/>
      <c r="AE132" s="46"/>
      <c r="AF132" s="46"/>
      <c r="AG132" s="46"/>
      <c r="AH132" s="46"/>
      <c r="AI132" s="46"/>
      <c r="AJ132" s="46"/>
      <c r="AK132" s="46"/>
      <c r="AL132" s="46"/>
      <c r="AM132" s="46"/>
      <c r="AN132" s="46"/>
      <c r="AO132" s="46"/>
      <c r="AP132" s="46"/>
      <c r="AQ132" s="46"/>
      <c r="AR132" s="46"/>
      <c r="AS132" s="46"/>
      <c r="AT132" s="46"/>
      <c r="AU132" s="46"/>
      <c r="AV132" s="46"/>
      <c r="AW132" s="46"/>
      <c r="AX132" s="46"/>
      <c r="AY132" s="46"/>
      <c r="AZ132" s="46"/>
    </row>
    <row r="133" spans="1:52" x14ac:dyDescent="0.25">
      <c r="A133" s="45"/>
      <c r="B133" s="45"/>
      <c r="C133" s="46"/>
      <c r="D133" s="46"/>
      <c r="E133" s="46"/>
      <c r="F133" s="46"/>
      <c r="G133" s="46"/>
      <c r="H133" s="46"/>
      <c r="I133" s="46"/>
      <c r="J133" s="46"/>
      <c r="K133" s="46"/>
      <c r="L133" s="46"/>
      <c r="M133" s="46"/>
      <c r="N133" s="46"/>
      <c r="O133" s="46"/>
      <c r="P133" s="46"/>
      <c r="Q133" s="46"/>
      <c r="R133" s="46"/>
      <c r="S133" s="46"/>
      <c r="T133" s="46"/>
      <c r="U133" s="46"/>
      <c r="V133" s="46"/>
      <c r="W133" s="46"/>
      <c r="X133" s="46"/>
      <c r="Y133" s="46"/>
      <c r="Z133" s="46"/>
      <c r="AA133" s="46"/>
      <c r="AB133" s="46"/>
      <c r="AC133" s="46"/>
      <c r="AD133" s="46"/>
      <c r="AE133" s="46"/>
      <c r="AF133" s="46"/>
      <c r="AG133" s="46"/>
      <c r="AH133" s="46"/>
      <c r="AI133" s="46"/>
      <c r="AJ133" s="46"/>
      <c r="AK133" s="46"/>
      <c r="AL133" s="46"/>
      <c r="AM133" s="46"/>
      <c r="AN133" s="46"/>
      <c r="AO133" s="46"/>
      <c r="AP133" s="46"/>
      <c r="AQ133" s="46"/>
      <c r="AR133" s="46"/>
      <c r="AS133" s="46"/>
      <c r="AT133" s="46"/>
      <c r="AU133" s="46"/>
      <c r="AV133" s="46"/>
      <c r="AW133" s="46"/>
      <c r="AX133" s="46"/>
      <c r="AY133" s="46"/>
      <c r="AZ133" s="46"/>
    </row>
    <row r="134" spans="1:52" x14ac:dyDescent="0.25">
      <c r="A134" s="45"/>
      <c r="B134" s="45"/>
      <c r="C134" s="46"/>
      <c r="D134" s="46"/>
      <c r="E134" s="46"/>
      <c r="F134" s="46"/>
      <c r="G134" s="46"/>
      <c r="H134" s="46"/>
      <c r="I134" s="46"/>
      <c r="J134" s="46"/>
      <c r="K134" s="46"/>
      <c r="L134" s="46"/>
      <c r="M134" s="46"/>
      <c r="N134" s="46"/>
      <c r="O134" s="46"/>
      <c r="P134" s="46"/>
      <c r="Q134" s="46"/>
      <c r="R134" s="46"/>
      <c r="S134" s="46"/>
      <c r="T134" s="46"/>
      <c r="U134" s="46"/>
      <c r="V134" s="46"/>
      <c r="W134" s="46"/>
      <c r="X134" s="46"/>
      <c r="Y134" s="46"/>
      <c r="Z134" s="46"/>
      <c r="AA134" s="46"/>
      <c r="AB134" s="46"/>
      <c r="AC134" s="46"/>
      <c r="AD134" s="46"/>
      <c r="AE134" s="46"/>
      <c r="AF134" s="46"/>
      <c r="AG134" s="46"/>
      <c r="AH134" s="46"/>
      <c r="AI134" s="46"/>
      <c r="AJ134" s="46"/>
      <c r="AK134" s="46"/>
      <c r="AL134" s="46"/>
      <c r="AM134" s="46"/>
      <c r="AN134" s="46"/>
      <c r="AO134" s="46"/>
      <c r="AP134" s="46"/>
      <c r="AQ134" s="46"/>
      <c r="AR134" s="46"/>
      <c r="AS134" s="46"/>
      <c r="AT134" s="46"/>
      <c r="AU134" s="46"/>
      <c r="AV134" s="46"/>
      <c r="AW134" s="46"/>
      <c r="AX134" s="46"/>
      <c r="AY134" s="46"/>
      <c r="AZ134" s="46"/>
    </row>
    <row r="135" spans="1:52" x14ac:dyDescent="0.25">
      <c r="A135" s="45"/>
      <c r="B135" s="45"/>
      <c r="C135" s="46"/>
      <c r="D135" s="46"/>
      <c r="E135" s="46"/>
      <c r="F135" s="46"/>
      <c r="G135" s="46"/>
      <c r="H135" s="46"/>
      <c r="I135" s="46"/>
      <c r="J135" s="46"/>
      <c r="K135" s="46"/>
      <c r="L135" s="46"/>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c r="AW135" s="46"/>
      <c r="AX135" s="46"/>
      <c r="AY135" s="46"/>
      <c r="AZ135" s="46"/>
    </row>
    <row r="136" spans="1:52" x14ac:dyDescent="0.25">
      <c r="A136" s="45"/>
      <c r="B136" s="45"/>
      <c r="C136" s="46"/>
      <c r="D136" s="46"/>
      <c r="E136" s="46"/>
      <c r="F136" s="46"/>
      <c r="G136" s="46"/>
      <c r="H136" s="46"/>
      <c r="I136" s="46"/>
      <c r="J136" s="46"/>
      <c r="K136" s="46"/>
      <c r="L136" s="46"/>
      <c r="M136" s="46"/>
      <c r="N136" s="46"/>
      <c r="O136" s="46"/>
      <c r="P136" s="46"/>
      <c r="Q136" s="46"/>
      <c r="R136" s="46"/>
      <c r="S136" s="46"/>
      <c r="T136" s="46"/>
      <c r="U136" s="46"/>
      <c r="V136" s="46"/>
      <c r="W136" s="46"/>
      <c r="X136" s="46"/>
      <c r="Y136" s="46"/>
      <c r="Z136" s="46"/>
      <c r="AA136" s="46"/>
      <c r="AB136" s="46"/>
      <c r="AC136" s="46"/>
      <c r="AD136" s="46"/>
      <c r="AE136" s="46"/>
      <c r="AF136" s="46"/>
      <c r="AG136" s="46"/>
      <c r="AH136" s="46"/>
      <c r="AI136" s="46"/>
      <c r="AJ136" s="46"/>
      <c r="AK136" s="46"/>
      <c r="AL136" s="46"/>
      <c r="AM136" s="46"/>
      <c r="AN136" s="46"/>
      <c r="AO136" s="46"/>
      <c r="AP136" s="46"/>
      <c r="AQ136" s="46"/>
      <c r="AR136" s="46"/>
      <c r="AS136" s="46"/>
      <c r="AT136" s="46"/>
      <c r="AU136" s="46"/>
      <c r="AV136" s="46"/>
      <c r="AW136" s="46"/>
      <c r="AX136" s="46"/>
      <c r="AY136" s="46"/>
      <c r="AZ136" s="46"/>
    </row>
    <row r="137" spans="1:52" x14ac:dyDescent="0.25">
      <c r="A137" s="45"/>
      <c r="B137" s="45"/>
      <c r="C137" s="46"/>
      <c r="D137" s="46"/>
      <c r="E137" s="46"/>
      <c r="F137" s="46"/>
      <c r="G137" s="46"/>
      <c r="H137" s="46"/>
      <c r="I137" s="46"/>
      <c r="J137" s="46"/>
      <c r="K137" s="46"/>
      <c r="L137" s="46"/>
      <c r="M137" s="46"/>
      <c r="N137" s="46"/>
      <c r="O137" s="46"/>
      <c r="P137" s="46"/>
      <c r="Q137" s="46"/>
      <c r="R137" s="46"/>
      <c r="S137" s="46"/>
      <c r="T137" s="46"/>
      <c r="U137" s="46"/>
      <c r="V137" s="46"/>
      <c r="W137" s="46"/>
      <c r="X137" s="46"/>
      <c r="Y137" s="46"/>
      <c r="Z137" s="46"/>
      <c r="AA137" s="46"/>
      <c r="AB137" s="46"/>
      <c r="AC137" s="46"/>
      <c r="AD137" s="46"/>
      <c r="AE137" s="46"/>
      <c r="AF137" s="46"/>
      <c r="AG137" s="46"/>
      <c r="AH137" s="46"/>
      <c r="AI137" s="46"/>
      <c r="AJ137" s="46"/>
      <c r="AK137" s="46"/>
      <c r="AL137" s="46"/>
      <c r="AM137" s="46"/>
      <c r="AN137" s="46"/>
      <c r="AO137" s="46"/>
      <c r="AP137" s="46"/>
      <c r="AQ137" s="46"/>
      <c r="AR137" s="46"/>
      <c r="AS137" s="46"/>
      <c r="AT137" s="46"/>
      <c r="AU137" s="46"/>
      <c r="AV137" s="46"/>
      <c r="AW137" s="46"/>
      <c r="AX137" s="46"/>
      <c r="AY137" s="46"/>
      <c r="AZ137" s="46"/>
    </row>
    <row r="138" spans="1:52" x14ac:dyDescent="0.25">
      <c r="A138" s="45"/>
      <c r="B138" s="45"/>
      <c r="C138" s="46"/>
      <c r="D138" s="46"/>
      <c r="E138" s="46"/>
      <c r="F138" s="46"/>
      <c r="G138" s="46"/>
      <c r="H138" s="46"/>
      <c r="I138" s="46"/>
      <c r="J138" s="46"/>
      <c r="K138" s="46"/>
      <c r="L138" s="46"/>
      <c r="M138" s="46"/>
      <c r="N138" s="46"/>
      <c r="O138" s="46"/>
      <c r="P138" s="46"/>
      <c r="Q138" s="46"/>
      <c r="R138" s="46"/>
      <c r="S138" s="46"/>
      <c r="T138" s="46"/>
      <c r="U138" s="46"/>
      <c r="V138" s="46"/>
      <c r="W138" s="46"/>
      <c r="X138" s="46"/>
      <c r="Y138" s="46"/>
      <c r="Z138" s="46"/>
      <c r="AA138" s="46"/>
      <c r="AB138" s="46"/>
      <c r="AC138" s="46"/>
      <c r="AD138" s="46"/>
      <c r="AE138" s="46"/>
      <c r="AF138" s="46"/>
      <c r="AG138" s="46"/>
      <c r="AH138" s="46"/>
      <c r="AI138" s="46"/>
      <c r="AJ138" s="46"/>
      <c r="AK138" s="46"/>
      <c r="AL138" s="46"/>
      <c r="AM138" s="46"/>
      <c r="AN138" s="46"/>
      <c r="AO138" s="46"/>
      <c r="AP138" s="46"/>
      <c r="AQ138" s="46"/>
      <c r="AR138" s="46"/>
      <c r="AS138" s="46"/>
      <c r="AT138" s="46"/>
      <c r="AU138" s="46"/>
      <c r="AV138" s="46"/>
      <c r="AW138" s="46"/>
      <c r="AX138" s="46"/>
      <c r="AY138" s="46"/>
      <c r="AZ138" s="46"/>
    </row>
    <row r="139" spans="1:52" x14ac:dyDescent="0.25">
      <c r="A139" s="45"/>
      <c r="B139" s="45"/>
      <c r="C139" s="46"/>
      <c r="D139" s="46"/>
      <c r="E139" s="46"/>
      <c r="F139" s="46"/>
      <c r="G139" s="46"/>
      <c r="H139" s="46"/>
      <c r="I139" s="46"/>
      <c r="J139" s="46"/>
      <c r="K139" s="46"/>
      <c r="L139" s="46"/>
      <c r="M139" s="46"/>
      <c r="N139" s="46"/>
      <c r="O139" s="46"/>
      <c r="P139" s="46"/>
      <c r="Q139" s="46"/>
      <c r="R139" s="46"/>
      <c r="S139" s="46"/>
      <c r="T139" s="46"/>
      <c r="U139" s="46"/>
      <c r="V139" s="46"/>
      <c r="W139" s="46"/>
      <c r="X139" s="46"/>
      <c r="Y139" s="46"/>
      <c r="Z139" s="46"/>
      <c r="AA139" s="46"/>
      <c r="AB139" s="46"/>
      <c r="AC139" s="46"/>
      <c r="AD139" s="46"/>
      <c r="AE139" s="46"/>
      <c r="AF139" s="46"/>
      <c r="AG139" s="46"/>
      <c r="AH139" s="46"/>
      <c r="AI139" s="46"/>
      <c r="AJ139" s="46"/>
      <c r="AK139" s="46"/>
      <c r="AL139" s="46"/>
      <c r="AM139" s="46"/>
      <c r="AN139" s="46"/>
      <c r="AO139" s="46"/>
      <c r="AP139" s="46"/>
      <c r="AQ139" s="46"/>
      <c r="AR139" s="46"/>
      <c r="AS139" s="46"/>
      <c r="AT139" s="46"/>
      <c r="AU139" s="46"/>
      <c r="AV139" s="46"/>
      <c r="AW139" s="46"/>
      <c r="AX139" s="46"/>
      <c r="AY139" s="46"/>
      <c r="AZ139" s="46"/>
    </row>
    <row r="140" spans="1:52" x14ac:dyDescent="0.25">
      <c r="A140" s="45"/>
      <c r="B140" s="45"/>
      <c r="C140" s="46"/>
      <c r="D140" s="46"/>
      <c r="E140" s="46"/>
      <c r="F140" s="46"/>
      <c r="G140" s="46"/>
      <c r="H140" s="46"/>
      <c r="I140" s="46"/>
      <c r="J140" s="46"/>
      <c r="K140" s="46"/>
      <c r="L140" s="46"/>
      <c r="M140" s="46"/>
      <c r="N140" s="46"/>
      <c r="O140" s="46"/>
      <c r="P140" s="46"/>
      <c r="Q140" s="46"/>
      <c r="R140" s="46"/>
      <c r="S140" s="46"/>
      <c r="T140" s="46"/>
      <c r="U140" s="46"/>
      <c r="V140" s="46"/>
      <c r="W140" s="46"/>
      <c r="X140" s="46"/>
      <c r="Y140" s="46"/>
      <c r="Z140" s="46"/>
      <c r="AA140" s="46"/>
      <c r="AB140" s="46"/>
      <c r="AC140" s="46"/>
      <c r="AD140" s="46"/>
      <c r="AE140" s="46"/>
      <c r="AF140" s="46"/>
      <c r="AG140" s="46"/>
      <c r="AH140" s="46"/>
      <c r="AI140" s="46"/>
      <c r="AJ140" s="46"/>
      <c r="AK140" s="46"/>
      <c r="AL140" s="46"/>
      <c r="AM140" s="46"/>
      <c r="AN140" s="46"/>
      <c r="AO140" s="46"/>
      <c r="AP140" s="46"/>
      <c r="AQ140" s="46"/>
      <c r="AR140" s="46"/>
      <c r="AS140" s="46"/>
      <c r="AT140" s="46"/>
      <c r="AU140" s="46"/>
      <c r="AV140" s="46"/>
      <c r="AW140" s="46"/>
      <c r="AX140" s="46"/>
      <c r="AY140" s="46"/>
      <c r="AZ140" s="46"/>
    </row>
    <row r="141" spans="1:52" x14ac:dyDescent="0.25">
      <c r="A141" s="45"/>
      <c r="B141" s="45"/>
      <c r="C141" s="46"/>
      <c r="D141" s="46"/>
      <c r="E141" s="46"/>
      <c r="F141" s="46"/>
      <c r="G141" s="46"/>
      <c r="H141" s="46"/>
      <c r="I141" s="46"/>
      <c r="J141" s="46"/>
      <c r="K141" s="46"/>
      <c r="L141" s="46"/>
      <c r="M141" s="46"/>
      <c r="N141" s="46"/>
      <c r="O141" s="46"/>
      <c r="P141" s="46"/>
      <c r="Q141" s="46"/>
      <c r="R141" s="46"/>
      <c r="S141" s="46"/>
      <c r="T141" s="46"/>
      <c r="U141" s="46"/>
      <c r="V141" s="46"/>
      <c r="W141" s="46"/>
      <c r="X141" s="46"/>
      <c r="Y141" s="46"/>
      <c r="Z141" s="46"/>
      <c r="AA141" s="46"/>
      <c r="AB141" s="46"/>
      <c r="AC141" s="46"/>
      <c r="AD141" s="46"/>
      <c r="AE141" s="46"/>
      <c r="AF141" s="46"/>
      <c r="AG141" s="46"/>
      <c r="AH141" s="46"/>
      <c r="AI141" s="46"/>
      <c r="AJ141" s="46"/>
      <c r="AK141" s="46"/>
      <c r="AL141" s="46"/>
      <c r="AM141" s="46"/>
      <c r="AN141" s="46"/>
      <c r="AO141" s="46"/>
      <c r="AP141" s="46"/>
      <c r="AQ141" s="46"/>
      <c r="AR141" s="46"/>
      <c r="AS141" s="46"/>
      <c r="AT141" s="46"/>
      <c r="AU141" s="46"/>
      <c r="AV141" s="46"/>
      <c r="AW141" s="46"/>
      <c r="AX141" s="46"/>
      <c r="AY141" s="46"/>
      <c r="AZ141" s="46"/>
    </row>
    <row r="142" spans="1:52" x14ac:dyDescent="0.25">
      <c r="A142" s="45"/>
      <c r="B142" s="45"/>
      <c r="C142" s="46"/>
      <c r="D142" s="46"/>
      <c r="E142" s="46"/>
      <c r="F142" s="46"/>
      <c r="G142" s="46"/>
      <c r="H142" s="46"/>
      <c r="I142" s="46"/>
      <c r="J142" s="46"/>
      <c r="K142" s="46"/>
      <c r="L142" s="46"/>
      <c r="M142" s="46"/>
      <c r="N142" s="46"/>
      <c r="O142" s="46"/>
      <c r="P142" s="46"/>
      <c r="Q142" s="46"/>
      <c r="R142" s="46"/>
      <c r="S142" s="46"/>
      <c r="T142" s="46"/>
      <c r="U142" s="46"/>
      <c r="V142" s="46"/>
      <c r="W142" s="46"/>
      <c r="X142" s="46"/>
      <c r="Y142" s="46"/>
      <c r="Z142" s="46"/>
      <c r="AA142" s="46"/>
      <c r="AB142" s="46"/>
      <c r="AC142" s="46"/>
      <c r="AD142" s="46"/>
      <c r="AE142" s="46"/>
      <c r="AF142" s="46"/>
      <c r="AG142" s="46"/>
      <c r="AH142" s="46"/>
      <c r="AI142" s="46"/>
      <c r="AJ142" s="46"/>
      <c r="AK142" s="46"/>
      <c r="AL142" s="46"/>
      <c r="AM142" s="46"/>
      <c r="AN142" s="46"/>
      <c r="AO142" s="46"/>
      <c r="AP142" s="46"/>
      <c r="AQ142" s="46"/>
      <c r="AR142" s="46"/>
      <c r="AS142" s="46"/>
      <c r="AT142" s="46"/>
      <c r="AU142" s="46"/>
      <c r="AV142" s="46"/>
      <c r="AW142" s="46"/>
      <c r="AX142" s="46"/>
      <c r="AY142" s="46"/>
      <c r="AZ142" s="46"/>
    </row>
    <row r="143" spans="1:52" x14ac:dyDescent="0.25">
      <c r="A143" s="45"/>
      <c r="B143" s="45"/>
      <c r="C143" s="46"/>
      <c r="D143" s="46"/>
      <c r="E143" s="46"/>
      <c r="F143" s="46"/>
      <c r="G143" s="46"/>
      <c r="H143" s="46"/>
      <c r="I143" s="46"/>
      <c r="J143" s="46"/>
      <c r="K143" s="46"/>
      <c r="L143" s="46"/>
      <c r="M143" s="46"/>
      <c r="N143" s="46"/>
      <c r="O143" s="46"/>
      <c r="P143" s="46"/>
      <c r="Q143" s="46"/>
      <c r="R143" s="46"/>
      <c r="S143" s="46"/>
      <c r="T143" s="46"/>
      <c r="U143" s="46"/>
      <c r="V143" s="46"/>
      <c r="W143" s="46"/>
      <c r="X143" s="46"/>
      <c r="Y143" s="46"/>
      <c r="Z143" s="46"/>
      <c r="AA143" s="46"/>
      <c r="AB143" s="46"/>
      <c r="AC143" s="46"/>
      <c r="AD143" s="46"/>
      <c r="AE143" s="46"/>
      <c r="AF143" s="46"/>
      <c r="AG143" s="46"/>
      <c r="AH143" s="46"/>
      <c r="AI143" s="46"/>
      <c r="AJ143" s="46"/>
      <c r="AK143" s="46"/>
      <c r="AL143" s="46"/>
      <c r="AM143" s="46"/>
      <c r="AN143" s="46"/>
      <c r="AO143" s="46"/>
      <c r="AP143" s="46"/>
      <c r="AQ143" s="46"/>
      <c r="AR143" s="46"/>
      <c r="AS143" s="46"/>
      <c r="AT143" s="46"/>
      <c r="AU143" s="46"/>
      <c r="AV143" s="46"/>
      <c r="AW143" s="46"/>
      <c r="AX143" s="46"/>
      <c r="AY143" s="46"/>
      <c r="AZ143" s="46"/>
    </row>
    <row r="144" spans="1:52" x14ac:dyDescent="0.25">
      <c r="A144" s="45"/>
      <c r="B144" s="45"/>
      <c r="C144" s="46"/>
      <c r="D144" s="46"/>
      <c r="E144" s="46"/>
      <c r="F144" s="46"/>
      <c r="G144" s="46"/>
      <c r="H144" s="46"/>
      <c r="I144" s="46"/>
      <c r="J144" s="46"/>
      <c r="K144" s="46"/>
      <c r="L144" s="46"/>
      <c r="M144" s="46"/>
      <c r="N144" s="46"/>
      <c r="O144" s="46"/>
      <c r="P144" s="46"/>
      <c r="Q144" s="46"/>
      <c r="R144" s="46"/>
      <c r="S144" s="46"/>
      <c r="T144" s="46"/>
      <c r="U144" s="46"/>
      <c r="V144" s="46"/>
      <c r="W144" s="46"/>
      <c r="X144" s="46"/>
      <c r="Y144" s="46"/>
      <c r="Z144" s="46"/>
      <c r="AA144" s="46"/>
      <c r="AB144" s="46"/>
      <c r="AC144" s="46"/>
      <c r="AD144" s="46"/>
      <c r="AE144" s="46"/>
      <c r="AF144" s="46"/>
      <c r="AG144" s="46"/>
      <c r="AH144" s="46"/>
      <c r="AI144" s="46"/>
      <c r="AJ144" s="46"/>
      <c r="AK144" s="46"/>
      <c r="AL144" s="46"/>
      <c r="AM144" s="46"/>
      <c r="AN144" s="46"/>
      <c r="AO144" s="46"/>
      <c r="AP144" s="46"/>
      <c r="AQ144" s="46"/>
      <c r="AR144" s="46"/>
      <c r="AS144" s="46"/>
      <c r="AT144" s="46"/>
      <c r="AU144" s="46"/>
      <c r="AV144" s="46"/>
      <c r="AW144" s="46"/>
      <c r="AX144" s="46"/>
      <c r="AY144" s="46"/>
      <c r="AZ144" s="46"/>
    </row>
    <row r="145" spans="1:52" x14ac:dyDescent="0.25">
      <c r="A145" s="45"/>
      <c r="B145" s="45"/>
      <c r="C145" s="46"/>
      <c r="D145" s="46"/>
      <c r="E145" s="46"/>
      <c r="F145" s="46"/>
      <c r="G145" s="46"/>
      <c r="H145" s="46"/>
      <c r="I145" s="46"/>
      <c r="J145" s="46"/>
      <c r="K145" s="46"/>
      <c r="L145" s="46"/>
      <c r="M145" s="46"/>
      <c r="N145" s="46"/>
      <c r="O145" s="46"/>
      <c r="P145" s="46"/>
      <c r="Q145" s="46"/>
      <c r="R145" s="46"/>
      <c r="S145" s="46"/>
      <c r="T145" s="46"/>
      <c r="U145" s="46"/>
      <c r="V145" s="46"/>
      <c r="W145" s="46"/>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c r="AW145" s="46"/>
      <c r="AX145" s="46"/>
      <c r="AY145" s="46"/>
      <c r="AZ145" s="46"/>
    </row>
    <row r="146" spans="1:52" x14ac:dyDescent="0.25">
      <c r="A146" s="45"/>
      <c r="B146" s="45"/>
      <c r="C146" s="46"/>
      <c r="D146" s="46"/>
      <c r="E146" s="46"/>
      <c r="F146" s="46"/>
      <c r="G146" s="46"/>
      <c r="H146" s="46"/>
      <c r="I146" s="46"/>
      <c r="J146" s="46"/>
      <c r="K146" s="46"/>
      <c r="L146" s="46"/>
      <c r="M146" s="46"/>
      <c r="N146" s="46"/>
      <c r="O146" s="46"/>
      <c r="P146" s="46"/>
      <c r="Q146" s="46"/>
      <c r="R146" s="46"/>
      <c r="S146" s="46"/>
      <c r="T146" s="46"/>
      <c r="U146" s="46"/>
      <c r="V146" s="46"/>
      <c r="W146" s="46"/>
      <c r="X146" s="46"/>
      <c r="Y146" s="46"/>
      <c r="Z146" s="46"/>
      <c r="AA146" s="46"/>
      <c r="AB146" s="46"/>
      <c r="AC146" s="46"/>
      <c r="AD146" s="46"/>
      <c r="AE146" s="46"/>
      <c r="AF146" s="46"/>
      <c r="AG146" s="46"/>
      <c r="AH146" s="46"/>
      <c r="AI146" s="46"/>
      <c r="AJ146" s="46"/>
      <c r="AK146" s="46"/>
      <c r="AL146" s="46"/>
      <c r="AM146" s="46"/>
      <c r="AN146" s="46"/>
      <c r="AO146" s="46"/>
      <c r="AP146" s="46"/>
      <c r="AQ146" s="46"/>
      <c r="AR146" s="46"/>
      <c r="AS146" s="46"/>
      <c r="AT146" s="46"/>
      <c r="AU146" s="46"/>
      <c r="AV146" s="46"/>
      <c r="AW146" s="46"/>
      <c r="AX146" s="46"/>
      <c r="AY146" s="46"/>
      <c r="AZ146" s="46"/>
    </row>
    <row r="147" spans="1:52" x14ac:dyDescent="0.25">
      <c r="A147" s="45"/>
      <c r="B147" s="45"/>
      <c r="C147" s="46"/>
      <c r="D147" s="46"/>
      <c r="E147" s="46"/>
      <c r="F147" s="46"/>
      <c r="G147" s="46"/>
      <c r="H147" s="46"/>
      <c r="I147" s="46"/>
      <c r="J147" s="46"/>
      <c r="K147" s="46"/>
      <c r="L147" s="46"/>
      <c r="M147" s="46"/>
      <c r="N147" s="46"/>
      <c r="O147" s="46"/>
      <c r="P147" s="46"/>
      <c r="Q147" s="46"/>
      <c r="R147" s="46"/>
      <c r="S147" s="46"/>
      <c r="T147" s="46"/>
      <c r="U147" s="46"/>
      <c r="V147" s="46"/>
      <c r="W147" s="46"/>
      <c r="X147" s="46"/>
      <c r="Y147" s="46"/>
      <c r="Z147" s="46"/>
      <c r="AA147" s="46"/>
      <c r="AB147" s="46"/>
      <c r="AC147" s="46"/>
      <c r="AD147" s="46"/>
      <c r="AE147" s="46"/>
      <c r="AF147" s="46"/>
      <c r="AG147" s="46"/>
      <c r="AH147" s="46"/>
      <c r="AI147" s="46"/>
      <c r="AJ147" s="46"/>
      <c r="AK147" s="46"/>
      <c r="AL147" s="46"/>
      <c r="AM147" s="46"/>
      <c r="AN147" s="46"/>
      <c r="AO147" s="46"/>
      <c r="AP147" s="46"/>
      <c r="AQ147" s="46"/>
      <c r="AR147" s="46"/>
      <c r="AS147" s="46"/>
      <c r="AT147" s="46"/>
      <c r="AU147" s="46"/>
      <c r="AV147" s="46"/>
      <c r="AW147" s="46"/>
      <c r="AX147" s="46"/>
      <c r="AY147" s="46"/>
      <c r="AZ147" s="46"/>
    </row>
    <row r="148" spans="1:52" x14ac:dyDescent="0.25">
      <c r="A148" s="45"/>
      <c r="B148" s="45"/>
      <c r="C148" s="46"/>
      <c r="D148" s="46"/>
      <c r="E148" s="46"/>
      <c r="F148" s="46"/>
      <c r="G148" s="46"/>
      <c r="H148" s="46"/>
      <c r="I148" s="46"/>
      <c r="J148" s="46"/>
      <c r="K148" s="46"/>
      <c r="L148" s="46"/>
      <c r="M148" s="46"/>
      <c r="N148" s="46"/>
      <c r="O148" s="46"/>
      <c r="P148" s="46"/>
      <c r="Q148" s="46"/>
      <c r="R148" s="46"/>
      <c r="S148" s="46"/>
      <c r="T148" s="46"/>
      <c r="U148" s="46"/>
      <c r="V148" s="46"/>
      <c r="W148" s="46"/>
      <c r="X148" s="46"/>
      <c r="Y148" s="46"/>
      <c r="Z148" s="46"/>
      <c r="AA148" s="46"/>
      <c r="AB148" s="46"/>
      <c r="AC148" s="46"/>
      <c r="AD148" s="46"/>
      <c r="AE148" s="46"/>
      <c r="AF148" s="46"/>
      <c r="AG148" s="46"/>
      <c r="AH148" s="46"/>
      <c r="AI148" s="46"/>
      <c r="AJ148" s="46"/>
      <c r="AK148" s="46"/>
      <c r="AL148" s="46"/>
      <c r="AM148" s="46"/>
      <c r="AN148" s="46"/>
      <c r="AO148" s="46"/>
      <c r="AP148" s="46"/>
      <c r="AQ148" s="46"/>
      <c r="AR148" s="46"/>
      <c r="AS148" s="46"/>
      <c r="AT148" s="46"/>
      <c r="AU148" s="46"/>
      <c r="AV148" s="46"/>
      <c r="AW148" s="46"/>
      <c r="AX148" s="46"/>
      <c r="AY148" s="46"/>
      <c r="AZ148" s="46"/>
    </row>
    <row r="149" spans="1:52" x14ac:dyDescent="0.25">
      <c r="A149" s="45"/>
      <c r="B149" s="45"/>
      <c r="C149" s="46"/>
      <c r="D149" s="46"/>
      <c r="E149" s="46"/>
      <c r="F149" s="46"/>
      <c r="G149" s="46"/>
      <c r="H149" s="46"/>
      <c r="I149" s="46"/>
      <c r="J149" s="46"/>
      <c r="K149" s="46"/>
      <c r="L149" s="46"/>
      <c r="M149" s="46"/>
      <c r="N149" s="46"/>
      <c r="O149" s="46"/>
      <c r="P149" s="46"/>
      <c r="Q149" s="46"/>
      <c r="R149" s="46"/>
      <c r="S149" s="46"/>
      <c r="T149" s="46"/>
      <c r="U149" s="46"/>
      <c r="V149" s="46"/>
      <c r="W149" s="46"/>
      <c r="X149" s="46"/>
      <c r="Y149" s="46"/>
      <c r="Z149" s="46"/>
      <c r="AA149" s="46"/>
      <c r="AB149" s="46"/>
      <c r="AC149" s="46"/>
      <c r="AD149" s="46"/>
      <c r="AE149" s="46"/>
      <c r="AF149" s="46"/>
      <c r="AG149" s="46"/>
      <c r="AH149" s="46"/>
      <c r="AI149" s="46"/>
      <c r="AJ149" s="46"/>
      <c r="AK149" s="46"/>
      <c r="AL149" s="46"/>
      <c r="AM149" s="46"/>
      <c r="AN149" s="46"/>
      <c r="AO149" s="46"/>
      <c r="AP149" s="46"/>
      <c r="AQ149" s="46"/>
      <c r="AR149" s="46"/>
      <c r="AS149" s="46"/>
      <c r="AT149" s="46"/>
      <c r="AU149" s="46"/>
      <c r="AV149" s="46"/>
      <c r="AW149" s="46"/>
      <c r="AX149" s="46"/>
      <c r="AY149" s="46"/>
      <c r="AZ149" s="46"/>
    </row>
    <row r="150" spans="1:52" x14ac:dyDescent="0.25">
      <c r="A150" s="45"/>
      <c r="B150" s="45"/>
      <c r="C150" s="46"/>
      <c r="D150" s="46"/>
      <c r="E150" s="46"/>
      <c r="F150" s="46"/>
      <c r="G150" s="46"/>
      <c r="H150" s="46"/>
      <c r="I150" s="46"/>
      <c r="J150" s="46"/>
      <c r="K150" s="46"/>
      <c r="L150" s="46"/>
      <c r="M150" s="46"/>
      <c r="N150" s="46"/>
      <c r="O150" s="46"/>
      <c r="P150" s="46"/>
      <c r="Q150" s="46"/>
      <c r="R150" s="46"/>
      <c r="S150" s="46"/>
      <c r="T150" s="46"/>
      <c r="U150" s="46"/>
      <c r="V150" s="46"/>
      <c r="W150" s="46"/>
      <c r="X150" s="46"/>
      <c r="Y150" s="46"/>
      <c r="Z150" s="46"/>
      <c r="AA150" s="46"/>
      <c r="AB150" s="46"/>
      <c r="AC150" s="46"/>
      <c r="AD150" s="46"/>
      <c r="AE150" s="46"/>
      <c r="AF150" s="46"/>
      <c r="AG150" s="46"/>
      <c r="AH150" s="46"/>
      <c r="AI150" s="46"/>
      <c r="AJ150" s="46"/>
      <c r="AK150" s="46"/>
      <c r="AL150" s="46"/>
      <c r="AM150" s="46"/>
      <c r="AN150" s="46"/>
      <c r="AO150" s="46"/>
      <c r="AP150" s="46"/>
      <c r="AQ150" s="46"/>
      <c r="AR150" s="46"/>
      <c r="AS150" s="46"/>
      <c r="AT150" s="46"/>
      <c r="AU150" s="46"/>
      <c r="AV150" s="46"/>
      <c r="AW150" s="46"/>
      <c r="AX150" s="46"/>
      <c r="AY150" s="46"/>
      <c r="AZ150" s="46"/>
    </row>
    <row r="151" spans="1:52" x14ac:dyDescent="0.25">
      <c r="A151" s="45"/>
      <c r="B151" s="45"/>
      <c r="C151" s="46"/>
      <c r="D151" s="46"/>
      <c r="E151" s="46"/>
      <c r="F151" s="46"/>
      <c r="G151" s="46"/>
      <c r="H151" s="46"/>
      <c r="I151" s="46"/>
      <c r="J151" s="46"/>
      <c r="K151" s="46"/>
      <c r="L151" s="46"/>
      <c r="M151" s="46"/>
      <c r="N151" s="46"/>
      <c r="O151" s="46"/>
      <c r="P151" s="46"/>
      <c r="Q151" s="46"/>
      <c r="R151" s="46"/>
      <c r="S151" s="46"/>
      <c r="T151" s="46"/>
      <c r="U151" s="46"/>
      <c r="V151" s="46"/>
      <c r="W151" s="46"/>
      <c r="X151" s="46"/>
      <c r="Y151" s="46"/>
      <c r="Z151" s="46"/>
      <c r="AA151" s="46"/>
      <c r="AB151" s="46"/>
      <c r="AC151" s="46"/>
      <c r="AD151" s="46"/>
      <c r="AE151" s="46"/>
      <c r="AF151" s="46"/>
      <c r="AG151" s="46"/>
      <c r="AH151" s="46"/>
      <c r="AI151" s="46"/>
      <c r="AJ151" s="46"/>
      <c r="AK151" s="46"/>
      <c r="AL151" s="46"/>
      <c r="AM151" s="46"/>
      <c r="AN151" s="46"/>
      <c r="AO151" s="46"/>
      <c r="AP151" s="46"/>
      <c r="AQ151" s="46"/>
      <c r="AR151" s="46"/>
      <c r="AS151" s="46"/>
      <c r="AT151" s="46"/>
      <c r="AU151" s="46"/>
      <c r="AV151" s="46"/>
      <c r="AW151" s="46"/>
      <c r="AX151" s="46"/>
      <c r="AY151" s="46"/>
      <c r="AZ151" s="46"/>
    </row>
    <row r="152" spans="1:52" x14ac:dyDescent="0.25">
      <c r="A152" s="45"/>
      <c r="B152" s="45"/>
      <c r="C152" s="46"/>
      <c r="D152" s="46"/>
      <c r="E152" s="46"/>
      <c r="F152" s="46"/>
      <c r="G152" s="46"/>
      <c r="H152" s="46"/>
      <c r="I152" s="46"/>
      <c r="J152" s="46"/>
      <c r="K152" s="46"/>
      <c r="L152" s="46"/>
      <c r="M152" s="46"/>
      <c r="N152" s="46"/>
      <c r="O152" s="46"/>
      <c r="P152" s="46"/>
      <c r="Q152" s="46"/>
      <c r="R152" s="46"/>
      <c r="S152" s="46"/>
      <c r="T152" s="46"/>
      <c r="U152" s="46"/>
      <c r="V152" s="46"/>
      <c r="W152" s="46"/>
      <c r="X152" s="46"/>
      <c r="Y152" s="46"/>
      <c r="Z152" s="46"/>
      <c r="AA152" s="46"/>
      <c r="AB152" s="46"/>
      <c r="AC152" s="46"/>
      <c r="AD152" s="46"/>
      <c r="AE152" s="46"/>
      <c r="AF152" s="46"/>
      <c r="AG152" s="46"/>
      <c r="AH152" s="46"/>
      <c r="AI152" s="46"/>
      <c r="AJ152" s="46"/>
      <c r="AK152" s="46"/>
      <c r="AL152" s="46"/>
      <c r="AM152" s="46"/>
      <c r="AN152" s="46"/>
      <c r="AO152" s="46"/>
      <c r="AP152" s="46"/>
      <c r="AQ152" s="46"/>
      <c r="AR152" s="46"/>
      <c r="AS152" s="46"/>
      <c r="AT152" s="46"/>
      <c r="AU152" s="46"/>
      <c r="AV152" s="46"/>
      <c r="AW152" s="46"/>
      <c r="AX152" s="46"/>
      <c r="AY152" s="46"/>
      <c r="AZ152" s="46"/>
    </row>
    <row r="153" spans="1:52" x14ac:dyDescent="0.25">
      <c r="A153" s="45"/>
      <c r="B153" s="45"/>
      <c r="C153" s="46"/>
      <c r="D153" s="46"/>
      <c r="E153" s="46"/>
      <c r="F153" s="46"/>
      <c r="G153" s="46"/>
      <c r="H153" s="46"/>
      <c r="I153" s="46"/>
      <c r="J153" s="46"/>
      <c r="K153" s="46"/>
      <c r="L153" s="46"/>
      <c r="M153" s="46"/>
      <c r="N153" s="46"/>
      <c r="O153" s="46"/>
      <c r="P153" s="46"/>
      <c r="Q153" s="46"/>
      <c r="R153" s="46"/>
      <c r="S153" s="46"/>
      <c r="T153" s="46"/>
      <c r="U153" s="46"/>
      <c r="V153" s="46"/>
      <c r="W153" s="46"/>
      <c r="X153" s="46"/>
      <c r="Y153" s="46"/>
      <c r="Z153" s="46"/>
      <c r="AA153" s="46"/>
      <c r="AB153" s="46"/>
      <c r="AC153" s="46"/>
      <c r="AD153" s="46"/>
      <c r="AE153" s="46"/>
      <c r="AF153" s="46"/>
      <c r="AG153" s="46"/>
      <c r="AH153" s="46"/>
      <c r="AI153" s="46"/>
      <c r="AJ153" s="46"/>
      <c r="AK153" s="46"/>
      <c r="AL153" s="46"/>
      <c r="AM153" s="46"/>
      <c r="AN153" s="46"/>
      <c r="AO153" s="46"/>
      <c r="AP153" s="46"/>
      <c r="AQ153" s="46"/>
      <c r="AR153" s="46"/>
      <c r="AS153" s="46"/>
      <c r="AT153" s="46"/>
      <c r="AU153" s="46"/>
      <c r="AV153" s="46"/>
      <c r="AW153" s="46"/>
      <c r="AX153" s="46"/>
      <c r="AY153" s="46"/>
      <c r="AZ153" s="46"/>
    </row>
    <row r="154" spans="1:52" x14ac:dyDescent="0.25">
      <c r="A154" s="45"/>
      <c r="B154" s="45"/>
      <c r="C154" s="46"/>
      <c r="D154" s="46"/>
      <c r="E154" s="46"/>
      <c r="F154" s="46"/>
      <c r="G154" s="46"/>
      <c r="H154" s="46"/>
      <c r="I154" s="46"/>
      <c r="J154" s="46"/>
      <c r="K154" s="46"/>
      <c r="L154" s="46"/>
      <c r="M154" s="46"/>
      <c r="N154" s="46"/>
      <c r="O154" s="46"/>
      <c r="P154" s="46"/>
      <c r="Q154" s="46"/>
      <c r="R154" s="46"/>
      <c r="S154" s="46"/>
      <c r="T154" s="46"/>
      <c r="U154" s="46"/>
      <c r="V154" s="46"/>
      <c r="W154" s="46"/>
      <c r="X154" s="46"/>
      <c r="Y154" s="46"/>
      <c r="Z154" s="46"/>
      <c r="AA154" s="46"/>
      <c r="AB154" s="46"/>
      <c r="AC154" s="46"/>
      <c r="AD154" s="46"/>
      <c r="AE154" s="46"/>
      <c r="AF154" s="46"/>
      <c r="AG154" s="46"/>
      <c r="AH154" s="46"/>
      <c r="AI154" s="46"/>
      <c r="AJ154" s="46"/>
      <c r="AK154" s="46"/>
      <c r="AL154" s="46"/>
      <c r="AM154" s="46"/>
      <c r="AN154" s="46"/>
      <c r="AO154" s="46"/>
      <c r="AP154" s="46"/>
      <c r="AQ154" s="46"/>
      <c r="AR154" s="46"/>
      <c r="AS154" s="46"/>
      <c r="AT154" s="46"/>
      <c r="AU154" s="46"/>
      <c r="AV154" s="46"/>
      <c r="AW154" s="46"/>
      <c r="AX154" s="46"/>
      <c r="AY154" s="46"/>
      <c r="AZ154" s="46"/>
    </row>
    <row r="155" spans="1:52" x14ac:dyDescent="0.25">
      <c r="A155" s="45"/>
      <c r="B155" s="45"/>
      <c r="C155" s="46"/>
      <c r="D155" s="46"/>
      <c r="E155" s="46"/>
      <c r="F155" s="46"/>
      <c r="G155" s="46"/>
      <c r="H155" s="46"/>
      <c r="I155" s="46"/>
      <c r="J155" s="46"/>
      <c r="K155" s="46"/>
      <c r="L155" s="46"/>
      <c r="M155" s="46"/>
      <c r="N155" s="46"/>
      <c r="O155" s="46"/>
      <c r="P155" s="46"/>
      <c r="Q155" s="46"/>
      <c r="R155" s="46"/>
      <c r="S155" s="46"/>
      <c r="T155" s="46"/>
      <c r="U155" s="46"/>
      <c r="V155" s="46"/>
      <c r="W155" s="46"/>
      <c r="X155" s="46"/>
      <c r="Y155" s="46"/>
      <c r="Z155" s="46"/>
      <c r="AA155" s="46"/>
      <c r="AB155" s="46"/>
      <c r="AC155" s="46"/>
      <c r="AD155" s="46"/>
      <c r="AE155" s="46"/>
      <c r="AF155" s="46"/>
      <c r="AG155" s="46"/>
      <c r="AH155" s="46"/>
      <c r="AI155" s="46"/>
      <c r="AJ155" s="46"/>
      <c r="AK155" s="46"/>
      <c r="AL155" s="46"/>
      <c r="AM155" s="46"/>
      <c r="AN155" s="46"/>
      <c r="AO155" s="46"/>
      <c r="AP155" s="46"/>
      <c r="AQ155" s="46"/>
      <c r="AR155" s="46"/>
      <c r="AS155" s="46"/>
      <c r="AT155" s="46"/>
      <c r="AU155" s="46"/>
      <c r="AV155" s="46"/>
      <c r="AW155" s="46"/>
      <c r="AX155" s="46"/>
      <c r="AY155" s="46"/>
      <c r="AZ155" s="46"/>
    </row>
    <row r="156" spans="1:52" x14ac:dyDescent="0.25">
      <c r="A156" s="45"/>
      <c r="B156" s="45"/>
      <c r="C156" s="46"/>
      <c r="D156" s="46"/>
      <c r="E156" s="46"/>
      <c r="F156" s="46"/>
      <c r="G156" s="46"/>
      <c r="H156" s="46"/>
      <c r="I156" s="46"/>
      <c r="J156" s="46"/>
      <c r="K156" s="46"/>
      <c r="L156" s="46"/>
      <c r="M156" s="46"/>
      <c r="N156" s="46"/>
      <c r="O156" s="46"/>
      <c r="P156" s="46"/>
      <c r="Q156" s="46"/>
      <c r="R156" s="46"/>
      <c r="S156" s="46"/>
      <c r="T156" s="46"/>
      <c r="U156" s="46"/>
      <c r="V156" s="46"/>
      <c r="W156" s="46"/>
      <c r="X156" s="46"/>
      <c r="Y156" s="46"/>
      <c r="Z156" s="46"/>
      <c r="AA156" s="46"/>
      <c r="AB156" s="46"/>
      <c r="AC156" s="46"/>
      <c r="AD156" s="46"/>
      <c r="AE156" s="46"/>
      <c r="AF156" s="46"/>
      <c r="AG156" s="46"/>
      <c r="AH156" s="46"/>
      <c r="AI156" s="46"/>
      <c r="AJ156" s="46"/>
      <c r="AK156" s="46"/>
      <c r="AL156" s="46"/>
      <c r="AM156" s="46"/>
      <c r="AN156" s="46"/>
      <c r="AO156" s="46"/>
      <c r="AP156" s="46"/>
      <c r="AQ156" s="46"/>
      <c r="AR156" s="46"/>
      <c r="AS156" s="46"/>
      <c r="AT156" s="46"/>
      <c r="AU156" s="46"/>
      <c r="AV156" s="46"/>
      <c r="AW156" s="46"/>
      <c r="AX156" s="46"/>
      <c r="AY156" s="46"/>
      <c r="AZ156" s="46"/>
    </row>
    <row r="157" spans="1:52" x14ac:dyDescent="0.25">
      <c r="A157" s="45"/>
      <c r="B157" s="45"/>
      <c r="C157" s="46"/>
      <c r="D157" s="46"/>
      <c r="E157" s="46"/>
      <c r="F157" s="46"/>
      <c r="G157" s="46"/>
      <c r="H157" s="46"/>
      <c r="I157" s="46"/>
      <c r="J157" s="46"/>
      <c r="K157" s="46"/>
      <c r="L157" s="46"/>
      <c r="M157" s="46"/>
      <c r="N157" s="46"/>
      <c r="O157" s="46"/>
      <c r="P157" s="46"/>
      <c r="Q157" s="46"/>
      <c r="R157" s="46"/>
      <c r="S157" s="46"/>
      <c r="T157" s="46"/>
      <c r="U157" s="46"/>
      <c r="V157" s="46"/>
      <c r="W157" s="46"/>
      <c r="X157" s="46"/>
      <c r="Y157" s="46"/>
      <c r="Z157" s="46"/>
      <c r="AA157" s="46"/>
      <c r="AB157" s="46"/>
      <c r="AC157" s="46"/>
      <c r="AD157" s="46"/>
      <c r="AE157" s="46"/>
      <c r="AF157" s="46"/>
      <c r="AG157" s="46"/>
      <c r="AH157" s="46"/>
      <c r="AI157" s="46"/>
      <c r="AJ157" s="46"/>
      <c r="AK157" s="46"/>
      <c r="AL157" s="46"/>
      <c r="AM157" s="46"/>
      <c r="AN157" s="46"/>
      <c r="AO157" s="46"/>
      <c r="AP157" s="46"/>
      <c r="AQ157" s="46"/>
      <c r="AR157" s="46"/>
      <c r="AS157" s="46"/>
      <c r="AT157" s="46"/>
      <c r="AU157" s="46"/>
      <c r="AV157" s="46"/>
      <c r="AW157" s="46"/>
      <c r="AX157" s="46"/>
      <c r="AY157" s="46"/>
      <c r="AZ157" s="46"/>
    </row>
    <row r="158" spans="1:52" x14ac:dyDescent="0.25">
      <c r="A158" s="45"/>
      <c r="B158" s="45"/>
      <c r="C158" s="46"/>
      <c r="D158" s="46"/>
      <c r="E158" s="46"/>
      <c r="F158" s="46"/>
      <c r="G158" s="46"/>
      <c r="H158" s="46"/>
      <c r="I158" s="46"/>
      <c r="J158" s="46"/>
      <c r="K158" s="46"/>
      <c r="L158" s="46"/>
      <c r="M158" s="46"/>
      <c r="N158" s="46"/>
      <c r="O158" s="46"/>
      <c r="P158" s="46"/>
      <c r="Q158" s="46"/>
      <c r="R158" s="46"/>
      <c r="S158" s="46"/>
      <c r="T158" s="46"/>
      <c r="U158" s="46"/>
      <c r="V158" s="46"/>
      <c r="W158" s="46"/>
      <c r="X158" s="46"/>
      <c r="Y158" s="46"/>
      <c r="Z158" s="46"/>
      <c r="AA158" s="46"/>
      <c r="AB158" s="46"/>
      <c r="AC158" s="46"/>
      <c r="AD158" s="46"/>
      <c r="AE158" s="46"/>
      <c r="AF158" s="46"/>
      <c r="AG158" s="46"/>
      <c r="AH158" s="46"/>
      <c r="AI158" s="46"/>
      <c r="AJ158" s="46"/>
      <c r="AK158" s="46"/>
      <c r="AL158" s="46"/>
      <c r="AM158" s="46"/>
      <c r="AN158" s="46"/>
      <c r="AO158" s="46"/>
      <c r="AP158" s="46"/>
      <c r="AQ158" s="46"/>
      <c r="AR158" s="46"/>
      <c r="AS158" s="46"/>
      <c r="AT158" s="46"/>
      <c r="AU158" s="46"/>
      <c r="AV158" s="46"/>
      <c r="AW158" s="46"/>
      <c r="AX158" s="46"/>
      <c r="AY158" s="46"/>
      <c r="AZ158" s="46"/>
    </row>
    <row r="159" spans="1:52" x14ac:dyDescent="0.25">
      <c r="A159" s="45"/>
      <c r="B159" s="45"/>
      <c r="C159" s="46"/>
      <c r="D159" s="46"/>
      <c r="E159" s="46"/>
      <c r="F159" s="46"/>
      <c r="G159" s="46"/>
      <c r="H159" s="46"/>
      <c r="I159" s="46"/>
      <c r="J159" s="46"/>
      <c r="K159" s="46"/>
      <c r="L159" s="46"/>
      <c r="M159" s="46"/>
      <c r="N159" s="46"/>
      <c r="O159" s="46"/>
      <c r="P159" s="46"/>
      <c r="Q159" s="46"/>
      <c r="R159" s="46"/>
      <c r="S159" s="46"/>
      <c r="T159" s="46"/>
      <c r="U159" s="46"/>
      <c r="V159" s="46"/>
      <c r="W159" s="46"/>
      <c r="X159" s="46"/>
      <c r="Y159" s="46"/>
      <c r="Z159" s="46"/>
      <c r="AA159" s="46"/>
      <c r="AB159" s="46"/>
      <c r="AC159" s="46"/>
      <c r="AD159" s="46"/>
      <c r="AE159" s="46"/>
      <c r="AF159" s="46"/>
      <c r="AG159" s="46"/>
      <c r="AH159" s="46"/>
      <c r="AI159" s="46"/>
      <c r="AJ159" s="46"/>
      <c r="AK159" s="46"/>
      <c r="AL159" s="46"/>
      <c r="AM159" s="46"/>
      <c r="AN159" s="46"/>
      <c r="AO159" s="46"/>
      <c r="AP159" s="46"/>
      <c r="AQ159" s="46"/>
      <c r="AR159" s="46"/>
      <c r="AS159" s="46"/>
      <c r="AT159" s="46"/>
      <c r="AU159" s="46"/>
      <c r="AV159" s="46"/>
      <c r="AW159" s="46"/>
      <c r="AX159" s="46"/>
      <c r="AY159" s="46"/>
      <c r="AZ159" s="46"/>
    </row>
    <row r="160" spans="1:52" x14ac:dyDescent="0.25">
      <c r="A160" s="45"/>
      <c r="B160" s="45"/>
      <c r="C160" s="46"/>
      <c r="D160" s="46"/>
      <c r="E160" s="46"/>
      <c r="F160" s="46"/>
      <c r="G160" s="46"/>
      <c r="H160" s="46"/>
      <c r="I160" s="46"/>
      <c r="J160" s="46"/>
      <c r="K160" s="46"/>
      <c r="L160" s="46"/>
      <c r="M160" s="46"/>
      <c r="N160" s="46"/>
      <c r="O160" s="46"/>
      <c r="P160" s="46"/>
      <c r="Q160" s="46"/>
      <c r="R160" s="46"/>
      <c r="S160" s="46"/>
      <c r="T160" s="46"/>
      <c r="U160" s="46"/>
      <c r="V160" s="46"/>
      <c r="W160" s="46"/>
      <c r="X160" s="46"/>
      <c r="Y160" s="46"/>
      <c r="Z160" s="46"/>
      <c r="AA160" s="46"/>
      <c r="AB160" s="46"/>
      <c r="AC160" s="46"/>
      <c r="AD160" s="46"/>
      <c r="AE160" s="46"/>
      <c r="AF160" s="46"/>
      <c r="AG160" s="46"/>
      <c r="AH160" s="46"/>
      <c r="AI160" s="46"/>
      <c r="AJ160" s="46"/>
      <c r="AK160" s="46"/>
      <c r="AL160" s="46"/>
      <c r="AM160" s="46"/>
      <c r="AN160" s="46"/>
      <c r="AO160" s="46"/>
      <c r="AP160" s="46"/>
      <c r="AQ160" s="46"/>
      <c r="AR160" s="46"/>
      <c r="AS160" s="46"/>
      <c r="AT160" s="46"/>
      <c r="AU160" s="46"/>
      <c r="AV160" s="46"/>
      <c r="AW160" s="46"/>
      <c r="AX160" s="46"/>
      <c r="AY160" s="46"/>
      <c r="AZ160" s="46"/>
    </row>
    <row r="161" spans="1:52" x14ac:dyDescent="0.25">
      <c r="A161" s="45"/>
      <c r="B161" s="45"/>
      <c r="C161" s="46"/>
      <c r="D161" s="46"/>
      <c r="E161" s="46"/>
      <c r="F161" s="46"/>
      <c r="G161" s="46"/>
      <c r="H161" s="46"/>
      <c r="I161" s="46"/>
      <c r="J161" s="46"/>
      <c r="K161" s="46"/>
      <c r="L161" s="46"/>
      <c r="M161" s="46"/>
      <c r="N161" s="46"/>
      <c r="O161" s="46"/>
      <c r="P161" s="46"/>
      <c r="Q161" s="46"/>
      <c r="R161" s="46"/>
      <c r="S161" s="46"/>
      <c r="T161" s="46"/>
      <c r="U161" s="46"/>
      <c r="V161" s="46"/>
      <c r="W161" s="46"/>
      <c r="X161" s="46"/>
      <c r="Y161" s="46"/>
      <c r="Z161" s="46"/>
      <c r="AA161" s="46"/>
      <c r="AB161" s="46"/>
      <c r="AC161" s="46"/>
      <c r="AD161" s="46"/>
      <c r="AE161" s="46"/>
      <c r="AF161" s="46"/>
      <c r="AG161" s="46"/>
      <c r="AH161" s="46"/>
      <c r="AI161" s="46"/>
      <c r="AJ161" s="46"/>
      <c r="AK161" s="46"/>
      <c r="AL161" s="46"/>
      <c r="AM161" s="46"/>
      <c r="AN161" s="46"/>
      <c r="AO161" s="46"/>
      <c r="AP161" s="46"/>
      <c r="AQ161" s="46"/>
      <c r="AR161" s="46"/>
      <c r="AS161" s="46"/>
      <c r="AT161" s="46"/>
      <c r="AU161" s="46"/>
      <c r="AV161" s="46"/>
      <c r="AW161" s="46"/>
      <c r="AX161" s="46"/>
      <c r="AY161" s="46"/>
      <c r="AZ161" s="46"/>
    </row>
    <row r="162" spans="1:52" x14ac:dyDescent="0.25">
      <c r="A162" s="45"/>
      <c r="B162" s="45"/>
      <c r="C162" s="46"/>
      <c r="D162" s="46"/>
      <c r="E162" s="46"/>
      <c r="F162" s="46"/>
      <c r="G162" s="46"/>
      <c r="H162" s="46"/>
      <c r="I162" s="46"/>
      <c r="J162" s="46"/>
      <c r="K162" s="46"/>
      <c r="L162" s="46"/>
      <c r="M162" s="46"/>
      <c r="N162" s="46"/>
      <c r="O162" s="46"/>
      <c r="P162" s="46"/>
      <c r="Q162" s="46"/>
      <c r="R162" s="46"/>
      <c r="S162" s="46"/>
      <c r="T162" s="46"/>
      <c r="U162" s="46"/>
      <c r="V162" s="46"/>
      <c r="W162" s="46"/>
      <c r="X162" s="46"/>
      <c r="Y162" s="46"/>
      <c r="Z162" s="46"/>
      <c r="AA162" s="46"/>
      <c r="AB162" s="46"/>
      <c r="AC162" s="46"/>
      <c r="AD162" s="46"/>
      <c r="AE162" s="46"/>
      <c r="AF162" s="46"/>
      <c r="AG162" s="46"/>
      <c r="AH162" s="46"/>
      <c r="AI162" s="46"/>
      <c r="AJ162" s="46"/>
      <c r="AK162" s="46"/>
      <c r="AL162" s="46"/>
      <c r="AM162" s="46"/>
      <c r="AN162" s="46"/>
      <c r="AO162" s="46"/>
      <c r="AP162" s="46"/>
      <c r="AQ162" s="46"/>
      <c r="AR162" s="46"/>
      <c r="AS162" s="46"/>
      <c r="AT162" s="46"/>
      <c r="AU162" s="46"/>
      <c r="AV162" s="46"/>
      <c r="AW162" s="46"/>
      <c r="AX162" s="46"/>
      <c r="AY162" s="46"/>
      <c r="AZ162" s="46"/>
    </row>
    <row r="163" spans="1:52" x14ac:dyDescent="0.25">
      <c r="A163" s="45"/>
      <c r="B163" s="45"/>
      <c r="C163" s="46"/>
      <c r="D163" s="46"/>
      <c r="E163" s="46"/>
      <c r="F163" s="46"/>
      <c r="G163" s="46"/>
      <c r="H163" s="46"/>
      <c r="I163" s="46"/>
      <c r="J163" s="46"/>
      <c r="K163" s="46"/>
      <c r="L163" s="46"/>
      <c r="M163" s="46"/>
      <c r="N163" s="46"/>
      <c r="O163" s="46"/>
      <c r="P163" s="46"/>
      <c r="Q163" s="46"/>
      <c r="R163" s="46"/>
      <c r="S163" s="46"/>
      <c r="T163" s="46"/>
      <c r="U163" s="46"/>
      <c r="V163" s="46"/>
      <c r="W163" s="46"/>
      <c r="X163" s="46"/>
      <c r="Y163" s="46"/>
      <c r="Z163" s="46"/>
      <c r="AA163" s="46"/>
      <c r="AB163" s="46"/>
      <c r="AC163" s="46"/>
      <c r="AD163" s="46"/>
      <c r="AE163" s="46"/>
      <c r="AF163" s="46"/>
      <c r="AG163" s="46"/>
      <c r="AH163" s="46"/>
      <c r="AI163" s="46"/>
      <c r="AJ163" s="46"/>
      <c r="AK163" s="46"/>
      <c r="AL163" s="46"/>
      <c r="AM163" s="46"/>
      <c r="AN163" s="46"/>
      <c r="AO163" s="46"/>
      <c r="AP163" s="46"/>
      <c r="AQ163" s="46"/>
      <c r="AR163" s="46"/>
      <c r="AS163" s="46"/>
      <c r="AT163" s="46"/>
      <c r="AU163" s="46"/>
      <c r="AV163" s="46"/>
      <c r="AW163" s="46"/>
      <c r="AX163" s="46"/>
      <c r="AY163" s="46"/>
      <c r="AZ163" s="46"/>
    </row>
    <row r="164" spans="1:52" x14ac:dyDescent="0.25">
      <c r="A164" s="45"/>
      <c r="B164" s="45"/>
      <c r="C164" s="46"/>
      <c r="D164" s="46"/>
      <c r="E164" s="46"/>
      <c r="F164" s="46"/>
      <c r="G164" s="46"/>
      <c r="H164" s="46"/>
      <c r="I164" s="46"/>
      <c r="J164" s="46"/>
      <c r="K164" s="46"/>
      <c r="L164" s="46"/>
      <c r="M164" s="46"/>
      <c r="N164" s="46"/>
      <c r="O164" s="46"/>
      <c r="P164" s="46"/>
      <c r="Q164" s="46"/>
      <c r="R164" s="46"/>
      <c r="S164" s="46"/>
      <c r="T164" s="46"/>
      <c r="U164" s="46"/>
      <c r="V164" s="46"/>
      <c r="W164" s="46"/>
      <c r="X164" s="46"/>
      <c r="Y164" s="46"/>
      <c r="Z164" s="46"/>
      <c r="AA164" s="46"/>
      <c r="AB164" s="46"/>
      <c r="AC164" s="46"/>
      <c r="AD164" s="46"/>
      <c r="AE164" s="46"/>
      <c r="AF164" s="46"/>
      <c r="AG164" s="46"/>
      <c r="AH164" s="46"/>
      <c r="AI164" s="46"/>
      <c r="AJ164" s="46"/>
      <c r="AK164" s="46"/>
      <c r="AL164" s="46"/>
      <c r="AM164" s="46"/>
      <c r="AN164" s="46"/>
      <c r="AO164" s="46"/>
      <c r="AP164" s="46"/>
      <c r="AQ164" s="46"/>
      <c r="AR164" s="46"/>
      <c r="AS164" s="46"/>
      <c r="AT164" s="46"/>
      <c r="AU164" s="46"/>
      <c r="AV164" s="46"/>
      <c r="AW164" s="46"/>
      <c r="AX164" s="46"/>
      <c r="AY164" s="46"/>
      <c r="AZ164" s="46"/>
    </row>
    <row r="165" spans="1:52" x14ac:dyDescent="0.25">
      <c r="A165" s="45"/>
      <c r="B165" s="45"/>
      <c r="C165" s="46"/>
      <c r="D165" s="46"/>
      <c r="E165" s="46"/>
      <c r="F165" s="46"/>
      <c r="G165" s="46"/>
      <c r="H165" s="46"/>
      <c r="I165" s="46"/>
      <c r="J165" s="46"/>
      <c r="K165" s="46"/>
      <c r="L165" s="46"/>
      <c r="M165" s="46"/>
      <c r="N165" s="46"/>
      <c r="O165" s="46"/>
      <c r="P165" s="46"/>
      <c r="Q165" s="46"/>
      <c r="R165" s="46"/>
      <c r="S165" s="46"/>
      <c r="T165" s="46"/>
      <c r="U165" s="46"/>
      <c r="V165" s="46"/>
      <c r="W165" s="46"/>
      <c r="X165" s="46"/>
      <c r="Y165" s="46"/>
      <c r="Z165" s="46"/>
      <c r="AA165" s="46"/>
      <c r="AB165" s="46"/>
      <c r="AC165" s="46"/>
      <c r="AD165" s="46"/>
      <c r="AE165" s="46"/>
      <c r="AF165" s="46"/>
      <c r="AG165" s="46"/>
      <c r="AH165" s="46"/>
      <c r="AI165" s="46"/>
      <c r="AJ165" s="46"/>
      <c r="AK165" s="46"/>
      <c r="AL165" s="46"/>
      <c r="AM165" s="46"/>
      <c r="AN165" s="46"/>
      <c r="AO165" s="46"/>
      <c r="AP165" s="46"/>
      <c r="AQ165" s="46"/>
      <c r="AR165" s="46"/>
      <c r="AS165" s="46"/>
      <c r="AT165" s="46"/>
      <c r="AU165" s="46"/>
      <c r="AV165" s="46"/>
      <c r="AW165" s="46"/>
      <c r="AX165" s="46"/>
      <c r="AY165" s="46"/>
      <c r="AZ165" s="46"/>
    </row>
    <row r="166" spans="1:52" x14ac:dyDescent="0.25">
      <c r="A166" s="45"/>
      <c r="B166" s="45"/>
      <c r="C166" s="46"/>
      <c r="D166" s="46"/>
      <c r="E166" s="46"/>
      <c r="F166" s="46"/>
      <c r="G166" s="46"/>
      <c r="H166" s="46"/>
      <c r="I166" s="46"/>
      <c r="J166" s="46"/>
      <c r="K166" s="46"/>
      <c r="L166" s="46"/>
      <c r="M166" s="46"/>
      <c r="N166" s="46"/>
      <c r="O166" s="46"/>
      <c r="P166" s="46"/>
      <c r="Q166" s="46"/>
      <c r="R166" s="46"/>
      <c r="S166" s="46"/>
      <c r="T166" s="46"/>
      <c r="U166" s="46"/>
      <c r="V166" s="46"/>
      <c r="W166" s="46"/>
      <c r="X166" s="46"/>
      <c r="Y166" s="46"/>
      <c r="Z166" s="46"/>
      <c r="AA166" s="46"/>
      <c r="AB166" s="46"/>
      <c r="AC166" s="46"/>
      <c r="AD166" s="46"/>
      <c r="AE166" s="46"/>
      <c r="AF166" s="46"/>
      <c r="AG166" s="46"/>
      <c r="AH166" s="46"/>
      <c r="AI166" s="46"/>
      <c r="AJ166" s="46"/>
      <c r="AK166" s="46"/>
      <c r="AL166" s="46"/>
      <c r="AM166" s="46"/>
      <c r="AN166" s="46"/>
      <c r="AO166" s="46"/>
      <c r="AP166" s="46"/>
      <c r="AQ166" s="46"/>
      <c r="AR166" s="46"/>
      <c r="AS166" s="46"/>
      <c r="AT166" s="46"/>
      <c r="AU166" s="46"/>
      <c r="AV166" s="46"/>
      <c r="AW166" s="46"/>
      <c r="AX166" s="46"/>
      <c r="AY166" s="46"/>
      <c r="AZ166" s="46"/>
    </row>
    <row r="167" spans="1:52" x14ac:dyDescent="0.25">
      <c r="A167" s="45"/>
      <c r="B167" s="45"/>
      <c r="C167" s="46"/>
      <c r="D167" s="46"/>
      <c r="E167" s="46"/>
      <c r="F167" s="46"/>
      <c r="G167" s="46"/>
      <c r="H167" s="46"/>
      <c r="I167" s="46"/>
      <c r="J167" s="46"/>
      <c r="K167" s="46"/>
      <c r="L167" s="46"/>
      <c r="M167" s="46"/>
      <c r="N167" s="46"/>
      <c r="O167" s="46"/>
      <c r="P167" s="46"/>
      <c r="Q167" s="46"/>
      <c r="R167" s="46"/>
      <c r="S167" s="46"/>
      <c r="T167" s="46"/>
      <c r="U167" s="46"/>
      <c r="V167" s="46"/>
      <c r="W167" s="46"/>
      <c r="X167" s="46"/>
      <c r="Y167" s="46"/>
      <c r="Z167" s="46"/>
      <c r="AA167" s="46"/>
      <c r="AB167" s="46"/>
      <c r="AC167" s="46"/>
      <c r="AD167" s="46"/>
      <c r="AE167" s="46"/>
      <c r="AF167" s="46"/>
      <c r="AG167" s="46"/>
      <c r="AH167" s="46"/>
      <c r="AI167" s="46"/>
      <c r="AJ167" s="46"/>
      <c r="AK167" s="46"/>
      <c r="AL167" s="46"/>
      <c r="AM167" s="46"/>
      <c r="AN167" s="46"/>
      <c r="AO167" s="46"/>
      <c r="AP167" s="46"/>
      <c r="AQ167" s="46"/>
      <c r="AR167" s="46"/>
      <c r="AS167" s="46"/>
      <c r="AT167" s="46"/>
      <c r="AU167" s="46"/>
      <c r="AV167" s="46"/>
      <c r="AW167" s="46"/>
      <c r="AX167" s="46"/>
      <c r="AY167" s="46"/>
      <c r="AZ167" s="46"/>
    </row>
    <row r="168" spans="1:52" x14ac:dyDescent="0.25">
      <c r="A168" s="45"/>
      <c r="B168" s="45"/>
      <c r="C168" s="46"/>
      <c r="D168" s="46"/>
      <c r="E168" s="46"/>
      <c r="F168" s="46"/>
      <c r="G168" s="46"/>
      <c r="H168" s="46"/>
      <c r="I168" s="46"/>
      <c r="J168" s="46"/>
      <c r="K168" s="46"/>
      <c r="L168" s="46"/>
      <c r="M168" s="46"/>
      <c r="N168" s="46"/>
      <c r="O168" s="46"/>
      <c r="P168" s="46"/>
      <c r="Q168" s="46"/>
      <c r="R168" s="46"/>
      <c r="S168" s="46"/>
      <c r="T168" s="46"/>
      <c r="U168" s="46"/>
      <c r="V168" s="46"/>
      <c r="W168" s="46"/>
      <c r="X168" s="46"/>
      <c r="Y168" s="46"/>
      <c r="Z168" s="46"/>
      <c r="AA168" s="46"/>
      <c r="AB168" s="46"/>
      <c r="AC168" s="46"/>
      <c r="AD168" s="46"/>
      <c r="AE168" s="46"/>
      <c r="AF168" s="46"/>
      <c r="AG168" s="46"/>
      <c r="AH168" s="46"/>
      <c r="AI168" s="46"/>
      <c r="AJ168" s="46"/>
      <c r="AK168" s="46"/>
      <c r="AL168" s="46"/>
      <c r="AM168" s="46"/>
      <c r="AN168" s="46"/>
      <c r="AO168" s="46"/>
      <c r="AP168" s="46"/>
      <c r="AQ168" s="46"/>
      <c r="AR168" s="46"/>
      <c r="AS168" s="46"/>
      <c r="AT168" s="46"/>
      <c r="AU168" s="46"/>
      <c r="AV168" s="46"/>
      <c r="AW168" s="46"/>
      <c r="AX168" s="46"/>
      <c r="AY168" s="46"/>
      <c r="AZ168" s="46"/>
    </row>
    <row r="169" spans="1:52" x14ac:dyDescent="0.25">
      <c r="A169" s="45"/>
      <c r="B169" s="45"/>
      <c r="C169" s="46"/>
      <c r="D169" s="46"/>
      <c r="E169" s="46"/>
      <c r="F169" s="46"/>
      <c r="G169" s="46"/>
      <c r="H169" s="46"/>
      <c r="I169" s="46"/>
      <c r="J169" s="46"/>
      <c r="K169" s="46"/>
      <c r="L169" s="46"/>
      <c r="M169" s="46"/>
      <c r="N169" s="46"/>
      <c r="O169" s="46"/>
      <c r="P169" s="46"/>
      <c r="Q169" s="46"/>
      <c r="R169" s="46"/>
      <c r="S169" s="46"/>
      <c r="T169" s="46"/>
      <c r="U169" s="46"/>
      <c r="V169" s="46"/>
      <c r="W169" s="46"/>
      <c r="X169" s="46"/>
      <c r="Y169" s="46"/>
      <c r="Z169" s="46"/>
      <c r="AA169" s="46"/>
      <c r="AB169" s="46"/>
      <c r="AC169" s="46"/>
      <c r="AD169" s="46"/>
      <c r="AE169" s="46"/>
      <c r="AF169" s="46"/>
      <c r="AG169" s="46"/>
      <c r="AH169" s="46"/>
      <c r="AI169" s="46"/>
      <c r="AJ169" s="46"/>
      <c r="AK169" s="46"/>
      <c r="AL169" s="46"/>
      <c r="AM169" s="46"/>
      <c r="AN169" s="46"/>
      <c r="AO169" s="46"/>
      <c r="AP169" s="46"/>
      <c r="AQ169" s="46"/>
      <c r="AR169" s="46"/>
      <c r="AS169" s="46"/>
      <c r="AT169" s="46"/>
      <c r="AU169" s="46"/>
      <c r="AV169" s="46"/>
      <c r="AW169" s="46"/>
      <c r="AX169" s="46"/>
      <c r="AY169" s="46"/>
      <c r="AZ169" s="46"/>
    </row>
    <row r="170" spans="1:52" x14ac:dyDescent="0.25">
      <c r="A170" s="45"/>
      <c r="B170" s="45"/>
      <c r="C170" s="46"/>
      <c r="D170" s="46"/>
      <c r="E170" s="46"/>
      <c r="F170" s="46"/>
      <c r="G170" s="46"/>
      <c r="H170" s="46"/>
      <c r="I170" s="46"/>
      <c r="J170" s="46"/>
      <c r="K170" s="46"/>
      <c r="L170" s="46"/>
      <c r="M170" s="46"/>
      <c r="N170" s="46"/>
      <c r="O170" s="46"/>
      <c r="P170" s="46"/>
      <c r="Q170" s="46"/>
      <c r="R170" s="46"/>
      <c r="S170" s="46"/>
      <c r="T170" s="46"/>
      <c r="U170" s="46"/>
      <c r="V170" s="46"/>
      <c r="W170" s="46"/>
      <c r="X170" s="46"/>
      <c r="Y170" s="46"/>
      <c r="Z170" s="46"/>
      <c r="AA170" s="46"/>
      <c r="AB170" s="46"/>
      <c r="AC170" s="46"/>
      <c r="AD170" s="46"/>
      <c r="AE170" s="46"/>
      <c r="AF170" s="46"/>
      <c r="AG170" s="46"/>
      <c r="AH170" s="46"/>
      <c r="AI170" s="46"/>
      <c r="AJ170" s="46"/>
      <c r="AK170" s="46"/>
      <c r="AL170" s="46"/>
      <c r="AM170" s="46"/>
      <c r="AN170" s="46"/>
      <c r="AO170" s="46"/>
      <c r="AP170" s="46"/>
      <c r="AQ170" s="46"/>
      <c r="AR170" s="46"/>
      <c r="AS170" s="46"/>
      <c r="AT170" s="46"/>
      <c r="AU170" s="46"/>
      <c r="AV170" s="46"/>
      <c r="AW170" s="46"/>
      <c r="AX170" s="46"/>
      <c r="AY170" s="46"/>
      <c r="AZ170" s="46"/>
    </row>
    <row r="171" spans="1:52" x14ac:dyDescent="0.25">
      <c r="A171" s="45"/>
      <c r="B171" s="45"/>
      <c r="C171" s="46"/>
      <c r="D171" s="46"/>
      <c r="E171" s="46"/>
      <c r="F171" s="46"/>
      <c r="G171" s="46"/>
      <c r="H171" s="46"/>
      <c r="I171" s="46"/>
      <c r="J171" s="46"/>
      <c r="K171" s="46"/>
      <c r="L171" s="46"/>
      <c r="M171" s="46"/>
      <c r="N171" s="46"/>
      <c r="O171" s="46"/>
      <c r="P171" s="46"/>
      <c r="Q171" s="46"/>
      <c r="R171" s="46"/>
      <c r="S171" s="46"/>
      <c r="T171" s="46"/>
      <c r="U171" s="46"/>
      <c r="V171" s="46"/>
      <c r="W171" s="46"/>
      <c r="X171" s="46"/>
      <c r="Y171" s="46"/>
      <c r="Z171" s="46"/>
      <c r="AA171" s="46"/>
      <c r="AB171" s="46"/>
      <c r="AC171" s="46"/>
      <c r="AD171" s="46"/>
      <c r="AE171" s="46"/>
      <c r="AF171" s="46"/>
      <c r="AG171" s="46"/>
      <c r="AH171" s="46"/>
      <c r="AI171" s="46"/>
      <c r="AJ171" s="46"/>
      <c r="AK171" s="46"/>
      <c r="AL171" s="46"/>
      <c r="AM171" s="46"/>
      <c r="AN171" s="46"/>
      <c r="AO171" s="46"/>
      <c r="AP171" s="46"/>
      <c r="AQ171" s="46"/>
      <c r="AR171" s="46"/>
      <c r="AS171" s="46"/>
      <c r="AT171" s="46"/>
      <c r="AU171" s="46"/>
      <c r="AV171" s="46"/>
      <c r="AW171" s="46"/>
      <c r="AX171" s="46"/>
      <c r="AY171" s="46"/>
      <c r="AZ171" s="46"/>
    </row>
    <row r="172" spans="1:52" x14ac:dyDescent="0.25">
      <c r="A172" s="45"/>
      <c r="B172" s="45"/>
      <c r="C172" s="46"/>
      <c r="D172" s="46"/>
      <c r="E172" s="46"/>
      <c r="F172" s="46"/>
      <c r="G172" s="46"/>
      <c r="H172" s="46"/>
      <c r="I172" s="46"/>
      <c r="J172" s="46"/>
      <c r="K172" s="46"/>
      <c r="L172" s="46"/>
      <c r="M172" s="46"/>
      <c r="N172" s="46"/>
      <c r="O172" s="46"/>
      <c r="P172" s="46"/>
      <c r="Q172" s="46"/>
      <c r="R172" s="46"/>
      <c r="S172" s="46"/>
      <c r="T172" s="46"/>
      <c r="U172" s="46"/>
      <c r="V172" s="46"/>
      <c r="W172" s="46"/>
      <c r="X172" s="46"/>
      <c r="Y172" s="46"/>
      <c r="Z172" s="46"/>
      <c r="AA172" s="46"/>
      <c r="AB172" s="46"/>
      <c r="AC172" s="46"/>
      <c r="AD172" s="46"/>
      <c r="AE172" s="46"/>
      <c r="AF172" s="46"/>
      <c r="AG172" s="46"/>
      <c r="AH172" s="46"/>
      <c r="AI172" s="46"/>
      <c r="AJ172" s="46"/>
      <c r="AK172" s="46"/>
      <c r="AL172" s="46"/>
      <c r="AM172" s="46"/>
      <c r="AN172" s="46"/>
      <c r="AO172" s="46"/>
      <c r="AP172" s="46"/>
      <c r="AQ172" s="46"/>
      <c r="AR172" s="46"/>
      <c r="AS172" s="46"/>
      <c r="AT172" s="46"/>
      <c r="AU172" s="46"/>
      <c r="AV172" s="46"/>
      <c r="AW172" s="46"/>
      <c r="AX172" s="46"/>
      <c r="AY172" s="46"/>
      <c r="AZ172" s="46"/>
    </row>
    <row r="173" spans="1:52" x14ac:dyDescent="0.25">
      <c r="A173" s="45"/>
      <c r="B173" s="45"/>
      <c r="C173" s="46"/>
      <c r="D173" s="46"/>
      <c r="E173" s="46"/>
      <c r="F173" s="46"/>
      <c r="G173" s="46"/>
      <c r="H173" s="46"/>
      <c r="I173" s="46"/>
      <c r="J173" s="46"/>
      <c r="K173" s="46"/>
      <c r="L173" s="46"/>
      <c r="M173" s="46"/>
      <c r="N173" s="46"/>
      <c r="O173" s="46"/>
      <c r="P173" s="46"/>
      <c r="Q173" s="46"/>
      <c r="R173" s="46"/>
      <c r="S173" s="46"/>
      <c r="T173" s="46"/>
      <c r="U173" s="46"/>
      <c r="V173" s="46"/>
      <c r="W173" s="46"/>
      <c r="X173" s="46"/>
      <c r="Y173" s="46"/>
      <c r="Z173" s="46"/>
      <c r="AA173" s="46"/>
      <c r="AB173" s="46"/>
      <c r="AC173" s="46"/>
      <c r="AD173" s="46"/>
      <c r="AE173" s="46"/>
      <c r="AF173" s="46"/>
      <c r="AG173" s="46"/>
      <c r="AH173" s="46"/>
      <c r="AI173" s="46"/>
      <c r="AJ173" s="46"/>
      <c r="AK173" s="46"/>
      <c r="AL173" s="46"/>
      <c r="AM173" s="46"/>
      <c r="AN173" s="46"/>
      <c r="AO173" s="46"/>
      <c r="AP173" s="46"/>
      <c r="AQ173" s="46"/>
      <c r="AR173" s="46"/>
      <c r="AS173" s="46"/>
      <c r="AT173" s="46"/>
      <c r="AU173" s="46"/>
      <c r="AV173" s="46"/>
      <c r="AW173" s="46"/>
      <c r="AX173" s="46"/>
      <c r="AY173" s="46"/>
      <c r="AZ173" s="46"/>
    </row>
    <row r="174" spans="1:52" x14ac:dyDescent="0.25">
      <c r="A174" s="45"/>
      <c r="B174" s="45"/>
      <c r="C174" s="46"/>
      <c r="D174" s="46"/>
      <c r="E174" s="46"/>
      <c r="F174" s="46"/>
      <c r="G174" s="46"/>
      <c r="H174" s="46"/>
      <c r="I174" s="46"/>
      <c r="J174" s="46"/>
      <c r="K174" s="46"/>
      <c r="L174" s="46"/>
      <c r="M174" s="46"/>
      <c r="N174" s="46"/>
      <c r="O174" s="46"/>
      <c r="P174" s="46"/>
      <c r="Q174" s="46"/>
      <c r="R174" s="46"/>
      <c r="S174" s="46"/>
      <c r="T174" s="46"/>
      <c r="U174" s="46"/>
      <c r="V174" s="46"/>
      <c r="W174" s="46"/>
      <c r="X174" s="46"/>
      <c r="Y174" s="46"/>
      <c r="Z174" s="46"/>
      <c r="AA174" s="46"/>
      <c r="AB174" s="46"/>
      <c r="AC174" s="46"/>
      <c r="AD174" s="46"/>
      <c r="AE174" s="46"/>
      <c r="AF174" s="46"/>
      <c r="AG174" s="46"/>
      <c r="AH174" s="46"/>
      <c r="AI174" s="46"/>
      <c r="AJ174" s="46"/>
      <c r="AK174" s="46"/>
      <c r="AL174" s="46"/>
      <c r="AM174" s="46"/>
      <c r="AN174" s="46"/>
      <c r="AO174" s="46"/>
      <c r="AP174" s="46"/>
      <c r="AQ174" s="46"/>
      <c r="AR174" s="46"/>
      <c r="AS174" s="46"/>
      <c r="AT174" s="46"/>
      <c r="AU174" s="46"/>
      <c r="AV174" s="46"/>
      <c r="AW174" s="46"/>
      <c r="AX174" s="46"/>
      <c r="AY174" s="46"/>
      <c r="AZ174" s="46"/>
    </row>
    <row r="175" spans="1:52" x14ac:dyDescent="0.25">
      <c r="A175" s="45"/>
      <c r="B175" s="45"/>
      <c r="C175" s="46"/>
      <c r="D175" s="46"/>
      <c r="E175" s="46"/>
      <c r="F175" s="46"/>
      <c r="G175" s="46"/>
      <c r="H175" s="46"/>
      <c r="I175" s="46"/>
      <c r="J175" s="46"/>
      <c r="K175" s="46"/>
      <c r="L175" s="46"/>
      <c r="M175" s="46"/>
      <c r="N175" s="46"/>
      <c r="O175" s="46"/>
      <c r="P175" s="46"/>
      <c r="Q175" s="46"/>
      <c r="R175" s="46"/>
      <c r="S175" s="46"/>
      <c r="T175" s="46"/>
      <c r="U175" s="46"/>
      <c r="V175" s="46"/>
      <c r="W175" s="46"/>
      <c r="X175" s="46"/>
      <c r="Y175" s="46"/>
      <c r="Z175" s="46"/>
      <c r="AA175" s="46"/>
      <c r="AB175" s="46"/>
      <c r="AC175" s="46"/>
      <c r="AD175" s="46"/>
      <c r="AE175" s="46"/>
      <c r="AF175" s="46"/>
      <c r="AG175" s="46"/>
      <c r="AH175" s="46"/>
      <c r="AI175" s="46"/>
      <c r="AJ175" s="46"/>
      <c r="AK175" s="46"/>
      <c r="AL175" s="46"/>
      <c r="AM175" s="46"/>
      <c r="AN175" s="46"/>
      <c r="AO175" s="46"/>
      <c r="AP175" s="46"/>
      <c r="AQ175" s="46"/>
      <c r="AR175" s="46"/>
      <c r="AS175" s="46"/>
      <c r="AT175" s="46"/>
      <c r="AU175" s="46"/>
      <c r="AV175" s="46"/>
      <c r="AW175" s="46"/>
      <c r="AX175" s="46"/>
      <c r="AY175" s="46"/>
      <c r="AZ175" s="46"/>
    </row>
    <row r="176" spans="1:52" x14ac:dyDescent="0.25">
      <c r="A176" s="45"/>
      <c r="B176" s="45"/>
      <c r="C176" s="46"/>
      <c r="D176" s="46"/>
      <c r="E176" s="46"/>
      <c r="F176" s="46"/>
      <c r="G176" s="46"/>
      <c r="H176" s="46"/>
      <c r="I176" s="46"/>
      <c r="J176" s="46"/>
      <c r="K176" s="46"/>
      <c r="L176" s="46"/>
      <c r="M176" s="46"/>
      <c r="N176" s="46"/>
      <c r="O176" s="46"/>
      <c r="P176" s="46"/>
      <c r="Q176" s="46"/>
      <c r="R176" s="46"/>
      <c r="S176" s="46"/>
      <c r="T176" s="46"/>
      <c r="U176" s="46"/>
      <c r="V176" s="46"/>
      <c r="W176" s="46"/>
      <c r="X176" s="46"/>
      <c r="Y176" s="46"/>
      <c r="Z176" s="46"/>
      <c r="AA176" s="46"/>
      <c r="AB176" s="46"/>
      <c r="AC176" s="46"/>
      <c r="AD176" s="46"/>
      <c r="AE176" s="46"/>
      <c r="AF176" s="46"/>
      <c r="AG176" s="46"/>
      <c r="AH176" s="46"/>
      <c r="AI176" s="46"/>
      <c r="AJ176" s="46"/>
      <c r="AK176" s="46"/>
      <c r="AL176" s="46"/>
      <c r="AM176" s="46"/>
      <c r="AN176" s="46"/>
      <c r="AO176" s="46"/>
      <c r="AP176" s="46"/>
      <c r="AQ176" s="46"/>
      <c r="AR176" s="46"/>
      <c r="AS176" s="46"/>
      <c r="AT176" s="46"/>
      <c r="AU176" s="46"/>
      <c r="AV176" s="46"/>
      <c r="AW176" s="46"/>
      <c r="AX176" s="46"/>
      <c r="AY176" s="46"/>
      <c r="AZ176" s="46"/>
    </row>
    <row r="177" spans="1:52" x14ac:dyDescent="0.25">
      <c r="A177" s="45"/>
      <c r="B177" s="45"/>
      <c r="C177" s="46"/>
      <c r="D177" s="46"/>
      <c r="E177" s="46"/>
      <c r="F177" s="46"/>
      <c r="G177" s="46"/>
      <c r="H177" s="46"/>
      <c r="I177" s="46"/>
      <c r="J177" s="46"/>
      <c r="K177" s="46"/>
      <c r="L177" s="46"/>
      <c r="M177" s="46"/>
      <c r="N177" s="46"/>
      <c r="O177" s="46"/>
      <c r="P177" s="46"/>
      <c r="Q177" s="46"/>
      <c r="R177" s="46"/>
      <c r="S177" s="46"/>
      <c r="T177" s="46"/>
      <c r="U177" s="46"/>
      <c r="V177" s="46"/>
      <c r="W177" s="46"/>
      <c r="X177" s="46"/>
      <c r="Y177" s="46"/>
      <c r="Z177" s="46"/>
      <c r="AA177" s="46"/>
      <c r="AB177" s="46"/>
      <c r="AC177" s="46"/>
      <c r="AD177" s="46"/>
      <c r="AE177" s="46"/>
      <c r="AF177" s="46"/>
      <c r="AG177" s="46"/>
      <c r="AH177" s="46"/>
      <c r="AI177" s="46"/>
      <c r="AJ177" s="46"/>
      <c r="AK177" s="46"/>
      <c r="AL177" s="46"/>
      <c r="AM177" s="46"/>
      <c r="AN177" s="46"/>
      <c r="AO177" s="46"/>
      <c r="AP177" s="46"/>
      <c r="AQ177" s="46"/>
      <c r="AR177" s="46"/>
      <c r="AS177" s="46"/>
      <c r="AT177" s="46"/>
      <c r="AU177" s="46"/>
      <c r="AV177" s="46"/>
      <c r="AW177" s="46"/>
      <c r="AX177" s="46"/>
      <c r="AY177" s="46"/>
      <c r="AZ177" s="46"/>
    </row>
    <row r="178" spans="1:52" x14ac:dyDescent="0.25">
      <c r="A178" s="45"/>
      <c r="B178" s="45"/>
      <c r="C178" s="46"/>
      <c r="D178" s="46"/>
      <c r="E178" s="46"/>
      <c r="F178" s="46"/>
      <c r="G178" s="46"/>
      <c r="H178" s="46"/>
      <c r="I178" s="46"/>
      <c r="J178" s="46"/>
      <c r="K178" s="46"/>
      <c r="L178" s="46"/>
      <c r="M178" s="46"/>
      <c r="N178" s="46"/>
      <c r="O178" s="46"/>
      <c r="P178" s="46"/>
      <c r="Q178" s="46"/>
      <c r="R178" s="46"/>
      <c r="S178" s="46"/>
      <c r="T178" s="46"/>
      <c r="U178" s="46"/>
      <c r="V178" s="46"/>
      <c r="W178" s="46"/>
      <c r="X178" s="46"/>
      <c r="Y178" s="46"/>
      <c r="Z178" s="46"/>
      <c r="AA178" s="46"/>
      <c r="AB178" s="46"/>
      <c r="AC178" s="46"/>
      <c r="AD178" s="46"/>
      <c r="AE178" s="46"/>
      <c r="AF178" s="46"/>
      <c r="AG178" s="46"/>
      <c r="AH178" s="46"/>
      <c r="AI178" s="46"/>
      <c r="AJ178" s="46"/>
      <c r="AK178" s="46"/>
      <c r="AL178" s="46"/>
      <c r="AM178" s="46"/>
      <c r="AN178" s="46"/>
      <c r="AO178" s="46"/>
      <c r="AP178" s="46"/>
      <c r="AQ178" s="46"/>
      <c r="AR178" s="46"/>
      <c r="AS178" s="46"/>
      <c r="AT178" s="46"/>
      <c r="AU178" s="46"/>
      <c r="AV178" s="46"/>
      <c r="AW178" s="46"/>
      <c r="AX178" s="46"/>
      <c r="AY178" s="46"/>
      <c r="AZ178" s="46"/>
    </row>
    <row r="179" spans="1:52" x14ac:dyDescent="0.25">
      <c r="A179" s="45"/>
      <c r="B179" s="45"/>
      <c r="C179" s="46"/>
      <c r="D179" s="46"/>
      <c r="E179" s="46"/>
      <c r="F179" s="46"/>
      <c r="G179" s="46"/>
      <c r="H179" s="46"/>
      <c r="I179" s="46"/>
      <c r="J179" s="46"/>
      <c r="K179" s="46"/>
      <c r="L179" s="46"/>
      <c r="M179" s="46"/>
      <c r="N179" s="46"/>
      <c r="O179" s="46"/>
      <c r="P179" s="46"/>
      <c r="Q179" s="46"/>
      <c r="R179" s="46"/>
      <c r="S179" s="46"/>
      <c r="T179" s="46"/>
      <c r="U179" s="46"/>
      <c r="V179" s="46"/>
      <c r="W179" s="46"/>
      <c r="X179" s="46"/>
      <c r="Y179" s="46"/>
      <c r="Z179" s="46"/>
      <c r="AA179" s="46"/>
      <c r="AB179" s="46"/>
      <c r="AC179" s="46"/>
      <c r="AD179" s="46"/>
      <c r="AE179" s="46"/>
      <c r="AF179" s="46"/>
      <c r="AG179" s="46"/>
      <c r="AH179" s="46"/>
      <c r="AI179" s="46"/>
      <c r="AJ179" s="46"/>
      <c r="AK179" s="46"/>
      <c r="AL179" s="46"/>
      <c r="AM179" s="46"/>
      <c r="AN179" s="46"/>
      <c r="AO179" s="46"/>
      <c r="AP179" s="46"/>
      <c r="AQ179" s="46"/>
      <c r="AR179" s="46"/>
      <c r="AS179" s="46"/>
      <c r="AT179" s="46"/>
      <c r="AU179" s="46"/>
      <c r="AV179" s="46"/>
      <c r="AW179" s="46"/>
      <c r="AX179" s="46"/>
      <c r="AY179" s="46"/>
      <c r="AZ179" s="46"/>
    </row>
    <row r="180" spans="1:52" x14ac:dyDescent="0.25">
      <c r="A180" s="45"/>
      <c r="B180" s="45"/>
      <c r="C180" s="46"/>
      <c r="D180" s="46"/>
      <c r="E180" s="46"/>
      <c r="F180" s="46"/>
      <c r="G180" s="46"/>
      <c r="H180" s="46"/>
      <c r="I180" s="46"/>
      <c r="J180" s="46"/>
      <c r="K180" s="46"/>
      <c r="L180" s="46"/>
      <c r="M180" s="46"/>
      <c r="N180" s="46"/>
      <c r="O180" s="46"/>
      <c r="P180" s="46"/>
      <c r="Q180" s="46"/>
      <c r="R180" s="46"/>
      <c r="S180" s="46"/>
      <c r="T180" s="46"/>
      <c r="U180" s="46"/>
      <c r="V180" s="46"/>
      <c r="W180" s="46"/>
      <c r="X180" s="46"/>
      <c r="Y180" s="46"/>
      <c r="Z180" s="46"/>
      <c r="AA180" s="46"/>
      <c r="AB180" s="46"/>
      <c r="AC180" s="46"/>
      <c r="AD180" s="46"/>
      <c r="AE180" s="46"/>
      <c r="AF180" s="46"/>
      <c r="AG180" s="46"/>
      <c r="AH180" s="46"/>
      <c r="AI180" s="46"/>
      <c r="AJ180" s="46"/>
      <c r="AK180" s="46"/>
      <c r="AL180" s="46"/>
      <c r="AM180" s="46"/>
      <c r="AN180" s="46"/>
      <c r="AO180" s="46"/>
      <c r="AP180" s="46"/>
      <c r="AQ180" s="46"/>
      <c r="AR180" s="46"/>
      <c r="AS180" s="46"/>
      <c r="AT180" s="46"/>
      <c r="AU180" s="46"/>
      <c r="AV180" s="46"/>
      <c r="AW180" s="46"/>
      <c r="AX180" s="46"/>
      <c r="AY180" s="46"/>
      <c r="AZ180" s="46"/>
    </row>
    <row r="181" spans="1:52" x14ac:dyDescent="0.25">
      <c r="A181" s="45"/>
      <c r="B181" s="45"/>
      <c r="C181" s="46"/>
      <c r="D181" s="46"/>
      <c r="E181" s="46"/>
      <c r="F181" s="46"/>
      <c r="G181" s="46"/>
      <c r="H181" s="46"/>
      <c r="I181" s="46"/>
      <c r="J181" s="46"/>
      <c r="K181" s="46"/>
      <c r="L181" s="46"/>
      <c r="M181" s="46"/>
      <c r="N181" s="46"/>
      <c r="O181" s="46"/>
      <c r="P181" s="46"/>
      <c r="Q181" s="46"/>
      <c r="R181" s="46"/>
      <c r="S181" s="46"/>
      <c r="T181" s="46"/>
      <c r="U181" s="46"/>
      <c r="V181" s="46"/>
      <c r="W181" s="46"/>
      <c r="X181" s="46"/>
      <c r="Y181" s="46"/>
      <c r="Z181" s="46"/>
      <c r="AA181" s="46"/>
      <c r="AB181" s="46"/>
      <c r="AC181" s="46"/>
      <c r="AD181" s="46"/>
      <c r="AE181" s="46"/>
      <c r="AF181" s="46"/>
      <c r="AG181" s="46"/>
      <c r="AH181" s="46"/>
      <c r="AI181" s="46"/>
      <c r="AJ181" s="46"/>
      <c r="AK181" s="46"/>
      <c r="AL181" s="46"/>
      <c r="AM181" s="46"/>
      <c r="AN181" s="46"/>
      <c r="AO181" s="46"/>
      <c r="AP181" s="46"/>
      <c r="AQ181" s="46"/>
      <c r="AR181" s="46"/>
      <c r="AS181" s="46"/>
      <c r="AT181" s="46"/>
      <c r="AU181" s="46"/>
      <c r="AV181" s="46"/>
      <c r="AW181" s="46"/>
      <c r="AX181" s="46"/>
      <c r="AY181" s="46"/>
      <c r="AZ181" s="46"/>
    </row>
    <row r="182" spans="1:52" x14ac:dyDescent="0.25">
      <c r="A182" s="45"/>
      <c r="B182" s="45"/>
      <c r="C182" s="46"/>
      <c r="D182" s="46"/>
      <c r="E182" s="46"/>
      <c r="F182" s="46"/>
      <c r="G182" s="46"/>
      <c r="H182" s="46"/>
      <c r="I182" s="46"/>
      <c r="J182" s="46"/>
      <c r="K182" s="46"/>
      <c r="L182" s="46"/>
      <c r="M182" s="46"/>
      <c r="N182" s="46"/>
      <c r="O182" s="46"/>
      <c r="P182" s="46"/>
      <c r="Q182" s="46"/>
      <c r="R182" s="46"/>
      <c r="S182" s="46"/>
      <c r="T182" s="46"/>
      <c r="U182" s="46"/>
      <c r="V182" s="46"/>
      <c r="W182" s="46"/>
      <c r="X182" s="46"/>
      <c r="Y182" s="46"/>
      <c r="Z182" s="46"/>
      <c r="AA182" s="46"/>
      <c r="AB182" s="46"/>
      <c r="AC182" s="46"/>
      <c r="AD182" s="46"/>
      <c r="AE182" s="46"/>
      <c r="AF182" s="46"/>
      <c r="AG182" s="46"/>
      <c r="AH182" s="46"/>
      <c r="AI182" s="46"/>
      <c r="AJ182" s="46"/>
      <c r="AK182" s="46"/>
      <c r="AL182" s="46"/>
      <c r="AM182" s="46"/>
      <c r="AN182" s="46"/>
      <c r="AO182" s="46"/>
      <c r="AP182" s="46"/>
      <c r="AQ182" s="46"/>
      <c r="AR182" s="46"/>
      <c r="AS182" s="46"/>
      <c r="AT182" s="46"/>
      <c r="AU182" s="46"/>
      <c r="AV182" s="46"/>
      <c r="AW182" s="46"/>
      <c r="AX182" s="46"/>
      <c r="AY182" s="46"/>
      <c r="AZ182" s="46"/>
    </row>
    <row r="183" spans="1:52" x14ac:dyDescent="0.25">
      <c r="A183" s="45"/>
      <c r="B183" s="45"/>
      <c r="C183" s="46"/>
      <c r="D183" s="46"/>
      <c r="E183" s="46"/>
      <c r="F183" s="46"/>
      <c r="G183" s="46"/>
      <c r="H183" s="46"/>
      <c r="I183" s="46"/>
      <c r="J183" s="46"/>
      <c r="K183" s="46"/>
      <c r="L183" s="46"/>
      <c r="M183" s="46"/>
      <c r="N183" s="46"/>
      <c r="O183" s="46"/>
      <c r="P183" s="46"/>
      <c r="Q183" s="46"/>
      <c r="R183" s="46"/>
      <c r="S183" s="46"/>
      <c r="T183" s="46"/>
      <c r="U183" s="46"/>
      <c r="V183" s="46"/>
      <c r="W183" s="46"/>
      <c r="X183" s="46"/>
      <c r="Y183" s="46"/>
      <c r="Z183" s="46"/>
      <c r="AA183" s="46"/>
      <c r="AB183" s="46"/>
      <c r="AC183" s="46"/>
      <c r="AD183" s="46"/>
      <c r="AE183" s="46"/>
      <c r="AF183" s="46"/>
      <c r="AG183" s="46"/>
      <c r="AH183" s="46"/>
      <c r="AI183" s="46"/>
      <c r="AJ183" s="46"/>
      <c r="AK183" s="46"/>
      <c r="AL183" s="46"/>
      <c r="AM183" s="46"/>
      <c r="AN183" s="46"/>
      <c r="AO183" s="46"/>
      <c r="AP183" s="46"/>
      <c r="AQ183" s="46"/>
      <c r="AR183" s="46"/>
      <c r="AS183" s="46"/>
      <c r="AT183" s="46"/>
      <c r="AU183" s="46"/>
      <c r="AV183" s="46"/>
      <c r="AW183" s="46"/>
      <c r="AX183" s="46"/>
      <c r="AY183" s="46"/>
      <c r="AZ183" s="46"/>
    </row>
    <row r="184" spans="1:52" x14ac:dyDescent="0.25">
      <c r="A184" s="45"/>
      <c r="B184" s="45"/>
      <c r="C184" s="46"/>
      <c r="D184" s="46"/>
      <c r="E184" s="46"/>
      <c r="F184" s="46"/>
      <c r="G184" s="46"/>
      <c r="H184" s="46"/>
      <c r="I184" s="46"/>
      <c r="J184" s="46"/>
      <c r="K184" s="46"/>
      <c r="L184" s="46"/>
      <c r="M184" s="46"/>
      <c r="N184" s="46"/>
      <c r="O184" s="46"/>
      <c r="P184" s="46"/>
      <c r="Q184" s="46"/>
      <c r="R184" s="46"/>
      <c r="S184" s="46"/>
      <c r="T184" s="46"/>
      <c r="U184" s="46"/>
      <c r="V184" s="46"/>
      <c r="W184" s="46"/>
      <c r="X184" s="46"/>
      <c r="Y184" s="46"/>
      <c r="Z184" s="46"/>
      <c r="AA184" s="46"/>
      <c r="AB184" s="46"/>
      <c r="AC184" s="46"/>
      <c r="AD184" s="46"/>
      <c r="AE184" s="46"/>
      <c r="AF184" s="46"/>
      <c r="AG184" s="46"/>
      <c r="AH184" s="46"/>
      <c r="AI184" s="46"/>
      <c r="AJ184" s="46"/>
      <c r="AK184" s="46"/>
      <c r="AL184" s="46"/>
      <c r="AM184" s="46"/>
      <c r="AN184" s="46"/>
      <c r="AO184" s="46"/>
      <c r="AP184" s="46"/>
      <c r="AQ184" s="46"/>
      <c r="AR184" s="46"/>
      <c r="AS184" s="46"/>
      <c r="AT184" s="46"/>
      <c r="AU184" s="46"/>
      <c r="AV184" s="46"/>
      <c r="AW184" s="46"/>
      <c r="AX184" s="46"/>
      <c r="AY184" s="46"/>
      <c r="AZ184" s="46"/>
    </row>
    <row r="185" spans="1:52" x14ac:dyDescent="0.25">
      <c r="A185" s="45"/>
      <c r="B185" s="45"/>
      <c r="C185" s="46"/>
      <c r="D185" s="46"/>
      <c r="E185" s="46"/>
      <c r="F185" s="46"/>
      <c r="G185" s="46"/>
      <c r="H185" s="46"/>
      <c r="I185" s="46"/>
      <c r="J185" s="46"/>
      <c r="K185" s="46"/>
      <c r="L185" s="46"/>
      <c r="M185" s="46"/>
      <c r="N185" s="46"/>
      <c r="O185" s="46"/>
      <c r="P185" s="46"/>
      <c r="Q185" s="46"/>
      <c r="R185" s="46"/>
      <c r="S185" s="46"/>
      <c r="T185" s="46"/>
      <c r="U185" s="46"/>
      <c r="V185" s="46"/>
      <c r="W185" s="46"/>
      <c r="X185" s="46"/>
      <c r="Y185" s="46"/>
      <c r="Z185" s="46"/>
      <c r="AA185" s="46"/>
      <c r="AB185" s="46"/>
      <c r="AC185" s="46"/>
      <c r="AD185" s="46"/>
      <c r="AE185" s="46"/>
      <c r="AF185" s="46"/>
      <c r="AG185" s="46"/>
      <c r="AH185" s="46"/>
      <c r="AI185" s="46"/>
      <c r="AJ185" s="46"/>
      <c r="AK185" s="46"/>
      <c r="AL185" s="46"/>
      <c r="AM185" s="46"/>
      <c r="AN185" s="46"/>
      <c r="AO185" s="46"/>
      <c r="AP185" s="46"/>
      <c r="AQ185" s="46"/>
      <c r="AR185" s="46"/>
      <c r="AS185" s="46"/>
      <c r="AT185" s="46"/>
      <c r="AU185" s="46"/>
      <c r="AV185" s="46"/>
      <c r="AW185" s="46"/>
      <c r="AX185" s="46"/>
      <c r="AY185" s="46"/>
      <c r="AZ185" s="46"/>
    </row>
    <row r="186" spans="1:52" x14ac:dyDescent="0.25">
      <c r="A186" s="45"/>
      <c r="B186" s="45"/>
      <c r="C186" s="46"/>
      <c r="D186" s="46"/>
      <c r="E186" s="46"/>
      <c r="F186" s="46"/>
      <c r="G186" s="46"/>
      <c r="H186" s="46"/>
      <c r="I186" s="46"/>
      <c r="J186" s="46"/>
      <c r="K186" s="46"/>
      <c r="L186" s="46"/>
      <c r="M186" s="46"/>
      <c r="N186" s="46"/>
      <c r="O186" s="46"/>
      <c r="P186" s="46"/>
      <c r="Q186" s="46"/>
      <c r="R186" s="46"/>
      <c r="S186" s="46"/>
      <c r="T186" s="46"/>
      <c r="U186" s="46"/>
      <c r="V186" s="46"/>
      <c r="W186" s="46"/>
      <c r="X186" s="46"/>
      <c r="Y186" s="46"/>
      <c r="Z186" s="46"/>
      <c r="AA186" s="46"/>
      <c r="AB186" s="46"/>
      <c r="AC186" s="46"/>
      <c r="AD186" s="46"/>
      <c r="AE186" s="46"/>
      <c r="AF186" s="46"/>
      <c r="AG186" s="46"/>
      <c r="AH186" s="46"/>
      <c r="AI186" s="46"/>
      <c r="AJ186" s="46"/>
      <c r="AK186" s="46"/>
      <c r="AL186" s="46"/>
      <c r="AM186" s="46"/>
      <c r="AN186" s="46"/>
      <c r="AO186" s="46"/>
      <c r="AP186" s="46"/>
      <c r="AQ186" s="46"/>
      <c r="AR186" s="46"/>
      <c r="AS186" s="46"/>
      <c r="AT186" s="46"/>
      <c r="AU186" s="46"/>
      <c r="AV186" s="46"/>
      <c r="AW186" s="46"/>
      <c r="AX186" s="46"/>
      <c r="AY186" s="46"/>
      <c r="AZ186" s="46"/>
    </row>
    <row r="187" spans="1:52" x14ac:dyDescent="0.25">
      <c r="A187" s="45"/>
      <c r="B187" s="45"/>
      <c r="C187" s="46"/>
      <c r="D187" s="46"/>
      <c r="E187" s="46"/>
      <c r="F187" s="46"/>
      <c r="G187" s="46"/>
      <c r="H187" s="46"/>
      <c r="I187" s="46"/>
      <c r="J187" s="46"/>
      <c r="K187" s="46"/>
      <c r="L187" s="46"/>
      <c r="M187" s="46"/>
      <c r="N187" s="46"/>
      <c r="O187" s="46"/>
      <c r="P187" s="46"/>
      <c r="Q187" s="46"/>
      <c r="R187" s="46"/>
      <c r="S187" s="46"/>
      <c r="T187" s="46"/>
      <c r="U187" s="46"/>
      <c r="V187" s="46"/>
      <c r="W187" s="46"/>
      <c r="X187" s="46"/>
      <c r="Y187" s="46"/>
      <c r="Z187" s="46"/>
      <c r="AA187" s="46"/>
      <c r="AB187" s="46"/>
      <c r="AC187" s="46"/>
      <c r="AD187" s="46"/>
      <c r="AE187" s="46"/>
      <c r="AF187" s="46"/>
      <c r="AG187" s="46"/>
      <c r="AH187" s="46"/>
      <c r="AI187" s="46"/>
      <c r="AJ187" s="46"/>
      <c r="AK187" s="46"/>
      <c r="AL187" s="46"/>
      <c r="AM187" s="46"/>
      <c r="AN187" s="46"/>
      <c r="AO187" s="46"/>
      <c r="AP187" s="46"/>
      <c r="AQ187" s="46"/>
      <c r="AR187" s="46"/>
      <c r="AS187" s="46"/>
      <c r="AT187" s="46"/>
      <c r="AU187" s="46"/>
      <c r="AV187" s="46"/>
      <c r="AW187" s="46"/>
      <c r="AX187" s="46"/>
      <c r="AY187" s="46"/>
      <c r="AZ187" s="46"/>
    </row>
    <row r="188" spans="1:52" x14ac:dyDescent="0.25">
      <c r="A188" s="45"/>
      <c r="B188" s="45"/>
      <c r="C188" s="46"/>
      <c r="D188" s="46"/>
      <c r="E188" s="46"/>
      <c r="F188" s="46"/>
      <c r="G188" s="46"/>
      <c r="H188" s="46"/>
      <c r="I188" s="46"/>
      <c r="J188" s="46"/>
      <c r="K188" s="46"/>
      <c r="L188" s="46"/>
      <c r="M188" s="46"/>
      <c r="N188" s="46"/>
      <c r="O188" s="46"/>
      <c r="P188" s="46"/>
      <c r="Q188" s="46"/>
      <c r="R188" s="46"/>
      <c r="S188" s="46"/>
      <c r="T188" s="46"/>
      <c r="U188" s="46"/>
      <c r="V188" s="46"/>
      <c r="W188" s="46"/>
      <c r="X188" s="46"/>
      <c r="Y188" s="46"/>
      <c r="Z188" s="46"/>
      <c r="AA188" s="46"/>
      <c r="AB188" s="46"/>
      <c r="AC188" s="46"/>
      <c r="AD188" s="46"/>
      <c r="AE188" s="46"/>
      <c r="AF188" s="46"/>
      <c r="AG188" s="46"/>
      <c r="AH188" s="46"/>
      <c r="AI188" s="46"/>
      <c r="AJ188" s="46"/>
      <c r="AK188" s="46"/>
      <c r="AL188" s="46"/>
      <c r="AM188" s="46"/>
      <c r="AN188" s="46"/>
      <c r="AO188" s="46"/>
      <c r="AP188" s="46"/>
      <c r="AQ188" s="46"/>
      <c r="AR188" s="46"/>
      <c r="AS188" s="46"/>
      <c r="AT188" s="46"/>
      <c r="AU188" s="46"/>
      <c r="AV188" s="46"/>
      <c r="AW188" s="46"/>
      <c r="AX188" s="46"/>
      <c r="AY188" s="46"/>
      <c r="AZ188" s="46"/>
    </row>
    <row r="189" spans="1:52" x14ac:dyDescent="0.25">
      <c r="A189" s="45"/>
      <c r="B189" s="45"/>
      <c r="C189" s="46"/>
      <c r="D189" s="46"/>
      <c r="E189" s="46"/>
      <c r="F189" s="46"/>
      <c r="G189" s="46"/>
      <c r="H189" s="46"/>
      <c r="I189" s="46"/>
      <c r="J189" s="46"/>
      <c r="K189" s="46"/>
      <c r="L189" s="46"/>
      <c r="M189" s="46"/>
      <c r="N189" s="46"/>
      <c r="O189" s="46"/>
      <c r="P189" s="46"/>
      <c r="Q189" s="46"/>
      <c r="R189" s="46"/>
      <c r="S189" s="46"/>
      <c r="T189" s="46"/>
      <c r="U189" s="46"/>
      <c r="V189" s="46"/>
      <c r="W189" s="46"/>
      <c r="X189" s="46"/>
      <c r="Y189" s="46"/>
      <c r="Z189" s="46"/>
      <c r="AA189" s="46"/>
      <c r="AB189" s="46"/>
      <c r="AC189" s="46"/>
      <c r="AD189" s="46"/>
      <c r="AE189" s="46"/>
      <c r="AF189" s="46"/>
      <c r="AG189" s="46"/>
      <c r="AH189" s="46"/>
      <c r="AI189" s="46"/>
      <c r="AJ189" s="46"/>
      <c r="AK189" s="46"/>
      <c r="AL189" s="46"/>
      <c r="AM189" s="46"/>
      <c r="AN189" s="46"/>
      <c r="AO189" s="46"/>
      <c r="AP189" s="46"/>
      <c r="AQ189" s="46"/>
      <c r="AR189" s="46"/>
      <c r="AS189" s="46"/>
      <c r="AT189" s="46"/>
      <c r="AU189" s="46"/>
      <c r="AV189" s="46"/>
      <c r="AW189" s="46"/>
      <c r="AX189" s="46"/>
      <c r="AY189" s="46"/>
      <c r="AZ189" s="46"/>
    </row>
    <row r="190" spans="1:52" x14ac:dyDescent="0.25">
      <c r="A190" s="45"/>
      <c r="B190" s="45"/>
      <c r="C190" s="46"/>
      <c r="D190" s="46"/>
      <c r="E190" s="46"/>
      <c r="F190" s="46"/>
      <c r="G190" s="46"/>
      <c r="H190" s="46"/>
      <c r="I190" s="46"/>
      <c r="J190" s="46"/>
      <c r="K190" s="46"/>
      <c r="L190" s="46"/>
      <c r="M190" s="46"/>
      <c r="N190" s="46"/>
      <c r="O190" s="46"/>
      <c r="P190" s="46"/>
      <c r="Q190" s="46"/>
      <c r="R190" s="46"/>
      <c r="S190" s="46"/>
      <c r="T190" s="46"/>
      <c r="U190" s="46"/>
      <c r="V190" s="46"/>
      <c r="W190" s="46"/>
      <c r="X190" s="46"/>
      <c r="Y190" s="46"/>
      <c r="Z190" s="46"/>
      <c r="AA190" s="46"/>
      <c r="AB190" s="46"/>
      <c r="AC190" s="46"/>
      <c r="AD190" s="46"/>
      <c r="AE190" s="46"/>
      <c r="AF190" s="46"/>
      <c r="AG190" s="46"/>
      <c r="AH190" s="46"/>
      <c r="AI190" s="46"/>
      <c r="AJ190" s="46"/>
      <c r="AK190" s="46"/>
      <c r="AL190" s="46"/>
      <c r="AM190" s="46"/>
      <c r="AN190" s="46"/>
      <c r="AO190" s="46"/>
      <c r="AP190" s="46"/>
      <c r="AQ190" s="46"/>
      <c r="AR190" s="46"/>
      <c r="AS190" s="46"/>
      <c r="AT190" s="46"/>
      <c r="AU190" s="46"/>
      <c r="AV190" s="46"/>
      <c r="AW190" s="46"/>
      <c r="AX190" s="46"/>
      <c r="AY190" s="46"/>
      <c r="AZ190" s="46"/>
    </row>
    <row r="191" spans="1:52" x14ac:dyDescent="0.25">
      <c r="A191" s="45"/>
      <c r="B191" s="45"/>
      <c r="C191" s="46"/>
      <c r="D191" s="46"/>
      <c r="E191" s="46"/>
      <c r="F191" s="46"/>
      <c r="G191" s="46"/>
      <c r="H191" s="46"/>
      <c r="I191" s="46"/>
      <c r="J191" s="46"/>
      <c r="K191" s="46"/>
      <c r="L191" s="46"/>
      <c r="M191" s="46"/>
      <c r="N191" s="46"/>
      <c r="O191" s="46"/>
      <c r="P191" s="46"/>
      <c r="Q191" s="46"/>
      <c r="R191" s="46"/>
      <c r="S191" s="46"/>
      <c r="T191" s="46"/>
      <c r="U191" s="46"/>
      <c r="V191" s="46"/>
      <c r="W191" s="46"/>
      <c r="X191" s="46"/>
      <c r="Y191" s="46"/>
      <c r="Z191" s="46"/>
      <c r="AA191" s="46"/>
      <c r="AB191" s="46"/>
      <c r="AC191" s="46"/>
      <c r="AD191" s="46"/>
      <c r="AE191" s="46"/>
      <c r="AF191" s="46"/>
      <c r="AG191" s="46"/>
      <c r="AH191" s="46"/>
      <c r="AI191" s="46"/>
      <c r="AJ191" s="46"/>
      <c r="AK191" s="46"/>
      <c r="AL191" s="46"/>
      <c r="AM191" s="46"/>
      <c r="AN191" s="46"/>
      <c r="AO191" s="46"/>
      <c r="AP191" s="46"/>
      <c r="AQ191" s="46"/>
      <c r="AR191" s="46"/>
      <c r="AS191" s="46"/>
      <c r="AT191" s="46"/>
      <c r="AU191" s="46"/>
      <c r="AV191" s="46"/>
      <c r="AW191" s="46"/>
      <c r="AX191" s="46"/>
      <c r="AY191" s="46"/>
      <c r="AZ191" s="46"/>
    </row>
    <row r="192" spans="1:52" x14ac:dyDescent="0.25">
      <c r="A192" s="45"/>
      <c r="B192" s="45"/>
      <c r="C192" s="46"/>
      <c r="D192" s="46"/>
      <c r="E192" s="46"/>
      <c r="F192" s="46"/>
      <c r="G192" s="46"/>
      <c r="H192" s="46"/>
      <c r="I192" s="46"/>
      <c r="J192" s="46"/>
      <c r="K192" s="46"/>
      <c r="L192" s="46"/>
      <c r="M192" s="46"/>
      <c r="N192" s="46"/>
      <c r="O192" s="46"/>
      <c r="P192" s="46"/>
      <c r="Q192" s="46"/>
      <c r="R192" s="46"/>
      <c r="S192" s="46"/>
      <c r="T192" s="46"/>
      <c r="U192" s="46"/>
      <c r="V192" s="46"/>
      <c r="W192" s="46"/>
      <c r="X192" s="46"/>
      <c r="Y192" s="46"/>
      <c r="Z192" s="46"/>
      <c r="AA192" s="46"/>
      <c r="AB192" s="46"/>
      <c r="AC192" s="46"/>
      <c r="AD192" s="46"/>
      <c r="AE192" s="46"/>
      <c r="AF192" s="46"/>
      <c r="AG192" s="46"/>
      <c r="AH192" s="46"/>
      <c r="AI192" s="46"/>
      <c r="AJ192" s="46"/>
      <c r="AK192" s="46"/>
      <c r="AL192" s="46"/>
      <c r="AM192" s="46"/>
      <c r="AN192" s="46"/>
      <c r="AO192" s="46"/>
      <c r="AP192" s="46"/>
      <c r="AQ192" s="46"/>
      <c r="AR192" s="46"/>
      <c r="AS192" s="46"/>
      <c r="AT192" s="46"/>
      <c r="AU192" s="46"/>
      <c r="AV192" s="46"/>
      <c r="AW192" s="46"/>
      <c r="AX192" s="46"/>
      <c r="AY192" s="46"/>
      <c r="AZ192" s="46"/>
    </row>
    <row r="193" spans="1:52" x14ac:dyDescent="0.25">
      <c r="A193" s="45"/>
      <c r="B193" s="45"/>
      <c r="C193" s="46"/>
      <c r="D193" s="46"/>
      <c r="E193" s="46"/>
      <c r="F193" s="46"/>
      <c r="G193" s="46"/>
      <c r="H193" s="46"/>
      <c r="I193" s="46"/>
      <c r="J193" s="46"/>
      <c r="K193" s="46"/>
      <c r="L193" s="46"/>
      <c r="M193" s="46"/>
      <c r="N193" s="46"/>
      <c r="O193" s="46"/>
      <c r="P193" s="46"/>
      <c r="Q193" s="46"/>
      <c r="R193" s="46"/>
      <c r="S193" s="46"/>
      <c r="T193" s="46"/>
      <c r="U193" s="46"/>
      <c r="V193" s="46"/>
      <c r="W193" s="46"/>
      <c r="X193" s="46"/>
      <c r="Y193" s="46"/>
      <c r="Z193" s="46"/>
      <c r="AA193" s="46"/>
      <c r="AB193" s="46"/>
      <c r="AC193" s="46"/>
      <c r="AD193" s="46"/>
      <c r="AE193" s="46"/>
      <c r="AF193" s="46"/>
      <c r="AG193" s="46"/>
      <c r="AH193" s="46"/>
      <c r="AI193" s="46"/>
      <c r="AJ193" s="46"/>
      <c r="AK193" s="46"/>
      <c r="AL193" s="46"/>
      <c r="AM193" s="46"/>
      <c r="AN193" s="46"/>
      <c r="AO193" s="46"/>
      <c r="AP193" s="46"/>
      <c r="AQ193" s="46"/>
      <c r="AR193" s="46"/>
      <c r="AS193" s="46"/>
      <c r="AT193" s="46"/>
      <c r="AU193" s="46"/>
      <c r="AV193" s="46"/>
      <c r="AW193" s="46"/>
      <c r="AX193" s="46"/>
      <c r="AY193" s="46"/>
      <c r="AZ193" s="46"/>
    </row>
    <row r="194" spans="1:52" x14ac:dyDescent="0.25">
      <c r="A194" s="45"/>
      <c r="B194" s="45"/>
      <c r="C194" s="46"/>
      <c r="D194" s="46"/>
      <c r="E194" s="46"/>
      <c r="F194" s="46"/>
      <c r="G194" s="46"/>
      <c r="H194" s="46"/>
      <c r="I194" s="46"/>
      <c r="J194" s="46"/>
      <c r="K194" s="46"/>
      <c r="L194" s="46"/>
      <c r="M194" s="46"/>
      <c r="N194" s="46"/>
      <c r="O194" s="46"/>
      <c r="P194" s="46"/>
      <c r="Q194" s="46"/>
      <c r="R194" s="46"/>
      <c r="S194" s="46"/>
      <c r="T194" s="46"/>
      <c r="U194" s="46"/>
      <c r="V194" s="46"/>
      <c r="W194" s="46"/>
      <c r="X194" s="46"/>
      <c r="Y194" s="46"/>
      <c r="Z194" s="46"/>
      <c r="AA194" s="46"/>
      <c r="AB194" s="46"/>
      <c r="AC194" s="46"/>
      <c r="AD194" s="46"/>
      <c r="AE194" s="46"/>
      <c r="AF194" s="46"/>
      <c r="AG194" s="46"/>
      <c r="AH194" s="46"/>
      <c r="AI194" s="46"/>
      <c r="AJ194" s="46"/>
      <c r="AK194" s="46"/>
      <c r="AL194" s="46"/>
      <c r="AM194" s="46"/>
      <c r="AN194" s="46"/>
      <c r="AO194" s="46"/>
      <c r="AP194" s="46"/>
      <c r="AQ194" s="46"/>
      <c r="AR194" s="46"/>
      <c r="AS194" s="46"/>
      <c r="AT194" s="46"/>
      <c r="AU194" s="46"/>
      <c r="AV194" s="46"/>
      <c r="AW194" s="46"/>
      <c r="AX194" s="46"/>
      <c r="AY194" s="46"/>
      <c r="AZ194" s="46"/>
    </row>
    <row r="195" spans="1:52" x14ac:dyDescent="0.25">
      <c r="A195" s="45"/>
      <c r="B195" s="45"/>
      <c r="C195" s="46"/>
      <c r="D195" s="46"/>
      <c r="E195" s="46"/>
      <c r="F195" s="46"/>
      <c r="G195" s="46"/>
      <c r="H195" s="46"/>
      <c r="I195" s="46"/>
      <c r="J195" s="46"/>
      <c r="K195" s="46"/>
      <c r="L195" s="46"/>
      <c r="M195" s="46"/>
      <c r="N195" s="46"/>
      <c r="O195" s="46"/>
      <c r="P195" s="46"/>
      <c r="Q195" s="46"/>
      <c r="R195" s="46"/>
      <c r="S195" s="46"/>
      <c r="T195" s="46"/>
      <c r="U195" s="46"/>
      <c r="V195" s="46"/>
      <c r="W195" s="46"/>
      <c r="X195" s="46"/>
      <c r="Y195" s="46"/>
      <c r="Z195" s="46"/>
      <c r="AA195" s="46"/>
      <c r="AB195" s="46"/>
      <c r="AC195" s="46"/>
      <c r="AD195" s="46"/>
      <c r="AE195" s="46"/>
      <c r="AF195" s="46"/>
      <c r="AG195" s="46"/>
      <c r="AH195" s="46"/>
      <c r="AI195" s="46"/>
      <c r="AJ195" s="46"/>
      <c r="AK195" s="46"/>
      <c r="AL195" s="46"/>
      <c r="AM195" s="46"/>
      <c r="AN195" s="46"/>
      <c r="AO195" s="46"/>
      <c r="AP195" s="46"/>
      <c r="AQ195" s="46"/>
      <c r="AR195" s="46"/>
      <c r="AS195" s="46"/>
      <c r="AT195" s="46"/>
      <c r="AU195" s="46"/>
      <c r="AV195" s="46"/>
      <c r="AW195" s="46"/>
      <c r="AX195" s="46"/>
      <c r="AY195" s="46"/>
      <c r="AZ195" s="46"/>
    </row>
    <row r="196" spans="1:52" x14ac:dyDescent="0.25">
      <c r="A196" s="45"/>
      <c r="B196" s="45"/>
      <c r="C196" s="46"/>
      <c r="D196" s="46"/>
      <c r="E196" s="46"/>
      <c r="F196" s="46"/>
      <c r="G196" s="46"/>
      <c r="H196" s="46"/>
      <c r="I196" s="46"/>
      <c r="J196" s="46"/>
      <c r="K196" s="46"/>
      <c r="L196" s="46"/>
      <c r="M196" s="46"/>
      <c r="N196" s="46"/>
      <c r="O196" s="46"/>
      <c r="P196" s="46"/>
      <c r="Q196" s="46"/>
      <c r="R196" s="46"/>
      <c r="S196" s="46"/>
      <c r="T196" s="46"/>
      <c r="U196" s="46"/>
      <c r="V196" s="46"/>
      <c r="W196" s="46"/>
      <c r="X196" s="46"/>
      <c r="Y196" s="46"/>
      <c r="Z196" s="46"/>
      <c r="AA196" s="46"/>
      <c r="AB196" s="46"/>
      <c r="AC196" s="46"/>
      <c r="AD196" s="46"/>
      <c r="AE196" s="46"/>
      <c r="AF196" s="46"/>
      <c r="AG196" s="46"/>
      <c r="AH196" s="46"/>
      <c r="AI196" s="46"/>
      <c r="AJ196" s="46"/>
      <c r="AK196" s="46"/>
      <c r="AL196" s="46"/>
      <c r="AM196" s="46"/>
      <c r="AN196" s="46"/>
      <c r="AO196" s="46"/>
      <c r="AP196" s="46"/>
      <c r="AQ196" s="46"/>
      <c r="AR196" s="46"/>
      <c r="AS196" s="46"/>
      <c r="AT196" s="46"/>
      <c r="AU196" s="46"/>
      <c r="AV196" s="46"/>
      <c r="AW196" s="46"/>
      <c r="AX196" s="46"/>
      <c r="AY196" s="46"/>
      <c r="AZ196" s="46"/>
    </row>
    <row r="197" spans="1:52" x14ac:dyDescent="0.25">
      <c r="A197" s="45"/>
      <c r="B197" s="45"/>
      <c r="C197" s="46"/>
      <c r="D197" s="46"/>
      <c r="E197" s="46"/>
      <c r="F197" s="46"/>
      <c r="G197" s="46"/>
      <c r="H197" s="46"/>
      <c r="I197" s="46"/>
      <c r="J197" s="46"/>
      <c r="K197" s="46"/>
      <c r="L197" s="46"/>
      <c r="M197" s="46"/>
      <c r="N197" s="46"/>
      <c r="O197" s="46"/>
      <c r="P197" s="46"/>
      <c r="Q197" s="46"/>
      <c r="R197" s="46"/>
      <c r="S197" s="46"/>
      <c r="T197" s="46"/>
      <c r="U197" s="46"/>
      <c r="V197" s="46"/>
      <c r="W197" s="46"/>
      <c r="X197" s="46"/>
      <c r="Y197" s="46"/>
      <c r="Z197" s="46"/>
      <c r="AA197" s="46"/>
      <c r="AB197" s="46"/>
      <c r="AC197" s="46"/>
      <c r="AD197" s="46"/>
      <c r="AE197" s="46"/>
      <c r="AF197" s="46"/>
      <c r="AG197" s="46"/>
      <c r="AH197" s="46"/>
      <c r="AI197" s="46"/>
      <c r="AJ197" s="46"/>
      <c r="AK197" s="46"/>
      <c r="AL197" s="46"/>
      <c r="AM197" s="46"/>
      <c r="AN197" s="46"/>
      <c r="AO197" s="46"/>
      <c r="AP197" s="46"/>
      <c r="AQ197" s="46"/>
      <c r="AR197" s="46"/>
      <c r="AS197" s="46"/>
      <c r="AT197" s="46"/>
      <c r="AU197" s="46"/>
      <c r="AV197" s="46"/>
      <c r="AW197" s="46"/>
      <c r="AX197" s="46"/>
      <c r="AY197" s="46"/>
      <c r="AZ197" s="46"/>
    </row>
    <row r="198" spans="1:52" x14ac:dyDescent="0.25">
      <c r="A198" s="45"/>
      <c r="B198" s="45"/>
      <c r="C198" s="46"/>
      <c r="D198" s="46"/>
      <c r="E198" s="46"/>
      <c r="F198" s="46"/>
      <c r="G198" s="46"/>
      <c r="H198" s="46"/>
      <c r="I198" s="46"/>
      <c r="J198" s="46"/>
      <c r="K198" s="46"/>
      <c r="L198" s="46"/>
      <c r="M198" s="46"/>
      <c r="N198" s="46"/>
      <c r="O198" s="46"/>
      <c r="P198" s="46"/>
      <c r="Q198" s="46"/>
      <c r="R198" s="46"/>
      <c r="S198" s="46"/>
      <c r="T198" s="46"/>
      <c r="U198" s="46"/>
      <c r="V198" s="46"/>
      <c r="W198" s="46"/>
      <c r="X198" s="46"/>
      <c r="Y198" s="46"/>
      <c r="Z198" s="46"/>
      <c r="AA198" s="46"/>
      <c r="AB198" s="46"/>
      <c r="AC198" s="46"/>
      <c r="AD198" s="46"/>
      <c r="AE198" s="46"/>
      <c r="AF198" s="46"/>
      <c r="AG198" s="46"/>
      <c r="AH198" s="46"/>
      <c r="AI198" s="46"/>
      <c r="AJ198" s="46"/>
      <c r="AK198" s="46"/>
      <c r="AL198" s="46"/>
      <c r="AM198" s="46"/>
      <c r="AN198" s="46"/>
      <c r="AO198" s="46"/>
      <c r="AP198" s="46"/>
      <c r="AQ198" s="46"/>
      <c r="AR198" s="46"/>
      <c r="AS198" s="46"/>
      <c r="AT198" s="46"/>
      <c r="AU198" s="46"/>
      <c r="AV198" s="46"/>
      <c r="AW198" s="46"/>
      <c r="AX198" s="46"/>
      <c r="AY198" s="46"/>
      <c r="AZ198" s="46"/>
    </row>
    <row r="199" spans="1:52" x14ac:dyDescent="0.25">
      <c r="A199" s="45"/>
      <c r="B199" s="45"/>
      <c r="C199" s="46"/>
      <c r="D199" s="46"/>
      <c r="E199" s="46"/>
      <c r="F199" s="46"/>
      <c r="G199" s="46"/>
      <c r="H199" s="46"/>
      <c r="I199" s="46"/>
      <c r="J199" s="46"/>
      <c r="K199" s="46"/>
      <c r="L199" s="46"/>
      <c r="M199" s="46"/>
      <c r="N199" s="46"/>
      <c r="O199" s="46"/>
      <c r="P199" s="46"/>
      <c r="Q199" s="46"/>
      <c r="R199" s="46"/>
      <c r="S199" s="46"/>
      <c r="T199" s="46"/>
      <c r="U199" s="46"/>
      <c r="V199" s="46"/>
      <c r="W199" s="46"/>
      <c r="X199" s="46"/>
      <c r="Y199" s="46"/>
      <c r="Z199" s="46"/>
      <c r="AA199" s="46"/>
      <c r="AB199" s="46"/>
      <c r="AC199" s="46"/>
      <c r="AD199" s="46"/>
      <c r="AE199" s="46"/>
      <c r="AF199" s="46"/>
      <c r="AG199" s="46"/>
      <c r="AH199" s="46"/>
      <c r="AI199" s="46"/>
      <c r="AJ199" s="46"/>
      <c r="AK199" s="46"/>
      <c r="AL199" s="46"/>
      <c r="AM199" s="46"/>
      <c r="AN199" s="46"/>
      <c r="AO199" s="46"/>
      <c r="AP199" s="46"/>
      <c r="AQ199" s="46"/>
      <c r="AR199" s="46"/>
      <c r="AS199" s="46"/>
      <c r="AT199" s="46"/>
      <c r="AU199" s="46"/>
      <c r="AV199" s="46"/>
      <c r="AW199" s="46"/>
      <c r="AX199" s="46"/>
      <c r="AY199" s="46"/>
      <c r="AZ199" s="46"/>
    </row>
    <row r="200" spans="1:52" x14ac:dyDescent="0.25">
      <c r="A200" s="45"/>
      <c r="B200" s="45"/>
      <c r="C200" s="46"/>
      <c r="D200" s="46"/>
      <c r="E200" s="46"/>
      <c r="F200" s="46"/>
      <c r="G200" s="46"/>
      <c r="H200" s="46"/>
      <c r="I200" s="46"/>
      <c r="J200" s="46"/>
      <c r="K200" s="46"/>
      <c r="L200" s="46"/>
      <c r="M200" s="46"/>
      <c r="N200" s="46"/>
      <c r="O200" s="46"/>
      <c r="P200" s="46"/>
      <c r="Q200" s="46"/>
      <c r="R200" s="46"/>
      <c r="S200" s="46"/>
      <c r="T200" s="46"/>
      <c r="U200" s="46"/>
      <c r="V200" s="46"/>
      <c r="W200" s="46"/>
      <c r="X200" s="46"/>
      <c r="Y200" s="46"/>
      <c r="Z200" s="46"/>
      <c r="AA200" s="46"/>
      <c r="AB200" s="46"/>
      <c r="AC200" s="46"/>
      <c r="AD200" s="46"/>
      <c r="AE200" s="46"/>
      <c r="AF200" s="46"/>
      <c r="AG200" s="46"/>
      <c r="AH200" s="46"/>
      <c r="AI200" s="46"/>
      <c r="AJ200" s="46"/>
      <c r="AK200" s="46"/>
      <c r="AL200" s="46"/>
      <c r="AM200" s="46"/>
      <c r="AN200" s="46"/>
      <c r="AO200" s="46"/>
      <c r="AP200" s="46"/>
      <c r="AQ200" s="46"/>
      <c r="AR200" s="46"/>
      <c r="AS200" s="46"/>
      <c r="AT200" s="46"/>
      <c r="AU200" s="46"/>
      <c r="AV200" s="46"/>
      <c r="AW200" s="46"/>
      <c r="AX200" s="46"/>
      <c r="AY200" s="46"/>
      <c r="AZ200" s="46"/>
    </row>
    <row r="201" spans="1:52" x14ac:dyDescent="0.25">
      <c r="A201" s="45"/>
      <c r="B201" s="45"/>
      <c r="C201" s="46"/>
      <c r="D201" s="46"/>
      <c r="E201" s="46"/>
      <c r="F201" s="46"/>
      <c r="G201" s="46"/>
      <c r="H201" s="46"/>
      <c r="I201" s="46"/>
      <c r="J201" s="46"/>
      <c r="K201" s="46"/>
      <c r="L201" s="46"/>
      <c r="M201" s="46"/>
      <c r="N201" s="46"/>
      <c r="O201" s="46"/>
      <c r="P201" s="46"/>
      <c r="Q201" s="46"/>
      <c r="R201" s="46"/>
      <c r="S201" s="46"/>
      <c r="T201" s="46"/>
      <c r="U201" s="46"/>
      <c r="V201" s="46"/>
      <c r="W201" s="46"/>
      <c r="X201" s="46"/>
      <c r="Y201" s="46"/>
      <c r="Z201" s="46"/>
      <c r="AA201" s="46"/>
      <c r="AB201" s="46"/>
      <c r="AC201" s="46"/>
      <c r="AD201" s="46"/>
      <c r="AE201" s="46"/>
      <c r="AF201" s="46"/>
      <c r="AG201" s="46"/>
      <c r="AH201" s="46"/>
      <c r="AI201" s="46"/>
      <c r="AJ201" s="46"/>
      <c r="AK201" s="46"/>
      <c r="AL201" s="46"/>
      <c r="AM201" s="46"/>
      <c r="AN201" s="46"/>
      <c r="AO201" s="46"/>
      <c r="AP201" s="46"/>
      <c r="AQ201" s="46"/>
      <c r="AR201" s="46"/>
      <c r="AS201" s="46"/>
      <c r="AT201" s="46"/>
      <c r="AU201" s="46"/>
      <c r="AV201" s="46"/>
      <c r="AW201" s="46"/>
      <c r="AX201" s="46"/>
      <c r="AY201" s="46"/>
      <c r="AZ201" s="46"/>
    </row>
    <row r="202" spans="1:52" x14ac:dyDescent="0.25">
      <c r="A202" s="45"/>
      <c r="B202" s="45"/>
      <c r="C202" s="46"/>
      <c r="D202" s="46"/>
      <c r="E202" s="46"/>
      <c r="F202" s="46"/>
      <c r="G202" s="46"/>
      <c r="H202" s="46"/>
      <c r="I202" s="46"/>
      <c r="J202" s="46"/>
      <c r="K202" s="46"/>
      <c r="L202" s="46"/>
      <c r="M202" s="46"/>
      <c r="N202" s="46"/>
      <c r="O202" s="46"/>
      <c r="P202" s="46"/>
      <c r="Q202" s="46"/>
      <c r="R202" s="46"/>
      <c r="S202" s="46"/>
      <c r="T202" s="46"/>
      <c r="U202" s="46"/>
      <c r="V202" s="46"/>
      <c r="W202" s="46"/>
      <c r="X202" s="46"/>
      <c r="Y202" s="46"/>
      <c r="Z202" s="46"/>
      <c r="AA202" s="46"/>
      <c r="AB202" s="46"/>
      <c r="AC202" s="46"/>
      <c r="AD202" s="46"/>
      <c r="AE202" s="46"/>
      <c r="AF202" s="46"/>
      <c r="AG202" s="46"/>
      <c r="AH202" s="46"/>
      <c r="AI202" s="46"/>
      <c r="AJ202" s="46"/>
      <c r="AK202" s="46"/>
      <c r="AL202" s="46"/>
      <c r="AM202" s="46"/>
      <c r="AN202" s="46"/>
      <c r="AO202" s="46"/>
      <c r="AP202" s="46"/>
      <c r="AQ202" s="46"/>
      <c r="AR202" s="46"/>
      <c r="AS202" s="46"/>
      <c r="AT202" s="46"/>
      <c r="AU202" s="46"/>
      <c r="AV202" s="46"/>
      <c r="AW202" s="46"/>
      <c r="AX202" s="46"/>
      <c r="AY202" s="46"/>
      <c r="AZ202" s="46"/>
    </row>
    <row r="203" spans="1:52" x14ac:dyDescent="0.25">
      <c r="A203" s="45"/>
      <c r="B203" s="45"/>
      <c r="C203" s="46"/>
      <c r="D203" s="46"/>
      <c r="E203" s="46"/>
      <c r="F203" s="46"/>
      <c r="G203" s="46"/>
      <c r="H203" s="46"/>
      <c r="I203" s="46"/>
      <c r="J203" s="46"/>
      <c r="K203" s="46"/>
      <c r="L203" s="46"/>
      <c r="M203" s="46"/>
      <c r="N203" s="46"/>
      <c r="O203" s="46"/>
      <c r="P203" s="46"/>
      <c r="Q203" s="46"/>
      <c r="R203" s="46"/>
      <c r="S203" s="46"/>
      <c r="T203" s="46"/>
      <c r="U203" s="46"/>
      <c r="V203" s="46"/>
      <c r="W203" s="46"/>
      <c r="X203" s="46"/>
      <c r="Y203" s="46"/>
      <c r="Z203" s="46"/>
      <c r="AA203" s="46"/>
      <c r="AB203" s="46"/>
      <c r="AC203" s="46"/>
      <c r="AD203" s="46"/>
      <c r="AE203" s="46"/>
      <c r="AF203" s="46"/>
      <c r="AG203" s="46"/>
      <c r="AH203" s="46"/>
      <c r="AI203" s="46"/>
      <c r="AJ203" s="46"/>
      <c r="AK203" s="46"/>
      <c r="AL203" s="46"/>
      <c r="AM203" s="46"/>
      <c r="AN203" s="46"/>
      <c r="AO203" s="46"/>
      <c r="AP203" s="46"/>
      <c r="AQ203" s="46"/>
      <c r="AR203" s="46"/>
      <c r="AS203" s="46"/>
      <c r="AT203" s="46"/>
      <c r="AU203" s="46"/>
      <c r="AV203" s="46"/>
      <c r="AW203" s="46"/>
      <c r="AX203" s="46"/>
      <c r="AY203" s="46"/>
      <c r="AZ203" s="46"/>
    </row>
    <row r="204" spans="1:52" x14ac:dyDescent="0.25">
      <c r="A204" s="45"/>
      <c r="B204" s="45"/>
      <c r="C204" s="46"/>
      <c r="D204" s="46"/>
      <c r="E204" s="46"/>
      <c r="F204" s="46"/>
      <c r="G204" s="46"/>
      <c r="H204" s="46"/>
      <c r="I204" s="46"/>
      <c r="J204" s="46"/>
      <c r="K204" s="46"/>
      <c r="L204" s="46"/>
      <c r="M204" s="46"/>
      <c r="N204" s="46"/>
      <c r="O204" s="46"/>
      <c r="P204" s="46"/>
      <c r="Q204" s="46"/>
      <c r="R204" s="46"/>
      <c r="S204" s="46"/>
      <c r="T204" s="46"/>
      <c r="U204" s="46"/>
      <c r="V204" s="46"/>
      <c r="W204" s="46"/>
      <c r="X204" s="46"/>
      <c r="Y204" s="46"/>
      <c r="Z204" s="46"/>
      <c r="AA204" s="46"/>
      <c r="AB204" s="46"/>
      <c r="AC204" s="46"/>
      <c r="AD204" s="46"/>
      <c r="AE204" s="46"/>
      <c r="AF204" s="46"/>
      <c r="AG204" s="46"/>
      <c r="AH204" s="46"/>
      <c r="AI204" s="46"/>
      <c r="AJ204" s="46"/>
      <c r="AK204" s="46"/>
      <c r="AL204" s="46"/>
      <c r="AM204" s="46"/>
      <c r="AN204" s="46"/>
      <c r="AO204" s="46"/>
      <c r="AP204" s="46"/>
      <c r="AQ204" s="46"/>
      <c r="AR204" s="46"/>
      <c r="AS204" s="46"/>
      <c r="AT204" s="46"/>
      <c r="AU204" s="46"/>
      <c r="AV204" s="46"/>
      <c r="AW204" s="46"/>
      <c r="AX204" s="46"/>
      <c r="AY204" s="46"/>
      <c r="AZ204" s="46"/>
    </row>
    <row r="205" spans="1:52" x14ac:dyDescent="0.25">
      <c r="A205" s="45"/>
      <c r="B205" s="45"/>
      <c r="C205" s="46"/>
      <c r="D205" s="46"/>
      <c r="E205" s="46"/>
      <c r="F205" s="46"/>
      <c r="G205" s="46"/>
      <c r="H205" s="46"/>
      <c r="I205" s="46"/>
      <c r="J205" s="46"/>
      <c r="K205" s="46"/>
      <c r="L205" s="46"/>
      <c r="M205" s="46"/>
      <c r="N205" s="46"/>
      <c r="O205" s="46"/>
      <c r="P205" s="46"/>
      <c r="Q205" s="46"/>
      <c r="R205" s="46"/>
      <c r="S205" s="46"/>
      <c r="T205" s="46"/>
      <c r="U205" s="46"/>
      <c r="V205" s="46"/>
      <c r="W205" s="46"/>
      <c r="X205" s="46"/>
      <c r="Y205" s="46"/>
      <c r="Z205" s="46"/>
      <c r="AA205" s="46"/>
      <c r="AB205" s="46"/>
      <c r="AC205" s="46"/>
      <c r="AD205" s="46"/>
      <c r="AE205" s="46"/>
      <c r="AF205" s="46"/>
      <c r="AG205" s="46"/>
      <c r="AH205" s="46"/>
      <c r="AI205" s="46"/>
      <c r="AJ205" s="46"/>
      <c r="AK205" s="46"/>
      <c r="AL205" s="46"/>
      <c r="AM205" s="46"/>
      <c r="AN205" s="46"/>
      <c r="AO205" s="46"/>
      <c r="AP205" s="46"/>
      <c r="AQ205" s="46"/>
      <c r="AR205" s="46"/>
      <c r="AS205" s="46"/>
      <c r="AT205" s="46"/>
      <c r="AU205" s="46"/>
      <c r="AV205" s="46"/>
      <c r="AW205" s="46"/>
      <c r="AX205" s="46"/>
      <c r="AY205" s="46"/>
      <c r="AZ205" s="46"/>
    </row>
    <row r="206" spans="1:52" x14ac:dyDescent="0.25">
      <c r="A206" s="45"/>
      <c r="B206" s="45"/>
      <c r="C206" s="46"/>
      <c r="D206" s="46"/>
      <c r="E206" s="46"/>
      <c r="F206" s="46"/>
      <c r="G206" s="46"/>
      <c r="H206" s="46"/>
      <c r="I206" s="46"/>
      <c r="J206" s="46"/>
      <c r="K206" s="46"/>
      <c r="L206" s="46"/>
      <c r="M206" s="46"/>
      <c r="N206" s="46"/>
      <c r="O206" s="46"/>
      <c r="P206" s="46"/>
      <c r="Q206" s="46"/>
      <c r="R206" s="46"/>
      <c r="S206" s="46"/>
      <c r="T206" s="46"/>
      <c r="U206" s="46"/>
      <c r="V206" s="46"/>
      <c r="W206" s="46"/>
      <c r="X206" s="46"/>
      <c r="Y206" s="46"/>
      <c r="Z206" s="46"/>
      <c r="AA206" s="46"/>
      <c r="AB206" s="46"/>
      <c r="AC206" s="46"/>
      <c r="AD206" s="46"/>
      <c r="AE206" s="46"/>
      <c r="AF206" s="46"/>
      <c r="AG206" s="46"/>
      <c r="AH206" s="46"/>
      <c r="AI206" s="46"/>
      <c r="AJ206" s="46"/>
      <c r="AK206" s="46"/>
      <c r="AL206" s="46"/>
      <c r="AM206" s="46"/>
      <c r="AN206" s="46"/>
      <c r="AO206" s="46"/>
      <c r="AP206" s="46"/>
      <c r="AQ206" s="46"/>
      <c r="AR206" s="46"/>
      <c r="AS206" s="46"/>
      <c r="AT206" s="46"/>
      <c r="AU206" s="46"/>
      <c r="AV206" s="46"/>
      <c r="AW206" s="46"/>
      <c r="AX206" s="46"/>
      <c r="AY206" s="46"/>
      <c r="AZ206" s="46"/>
    </row>
    <row r="207" spans="1:52" x14ac:dyDescent="0.25">
      <c r="A207" s="45"/>
      <c r="B207" s="45"/>
      <c r="C207" s="46"/>
      <c r="D207" s="46"/>
      <c r="E207" s="46"/>
      <c r="F207" s="46"/>
      <c r="G207" s="46"/>
      <c r="H207" s="46"/>
      <c r="I207" s="46"/>
      <c r="J207" s="46"/>
      <c r="K207" s="46"/>
      <c r="L207" s="46"/>
      <c r="M207" s="46"/>
      <c r="N207" s="46"/>
      <c r="O207" s="46"/>
      <c r="P207" s="46"/>
      <c r="Q207" s="46"/>
      <c r="R207" s="46"/>
      <c r="S207" s="46"/>
      <c r="T207" s="46"/>
      <c r="U207" s="46"/>
      <c r="V207" s="46"/>
      <c r="W207" s="46"/>
      <c r="X207" s="46"/>
      <c r="Y207" s="46"/>
      <c r="Z207" s="46"/>
      <c r="AA207" s="46"/>
      <c r="AB207" s="46"/>
      <c r="AC207" s="46"/>
      <c r="AD207" s="46"/>
      <c r="AE207" s="46"/>
      <c r="AF207" s="46"/>
      <c r="AG207" s="46"/>
      <c r="AH207" s="46"/>
      <c r="AI207" s="46"/>
      <c r="AJ207" s="46"/>
      <c r="AK207" s="46"/>
      <c r="AL207" s="46"/>
      <c r="AM207" s="46"/>
      <c r="AN207" s="46"/>
      <c r="AO207" s="46"/>
      <c r="AP207" s="46"/>
      <c r="AQ207" s="46"/>
      <c r="AR207" s="46"/>
      <c r="AS207" s="46"/>
      <c r="AT207" s="46"/>
      <c r="AU207" s="46"/>
      <c r="AV207" s="46"/>
      <c r="AW207" s="46"/>
      <c r="AX207" s="46"/>
      <c r="AY207" s="46"/>
      <c r="AZ207" s="46"/>
    </row>
    <row r="208" spans="1:52" x14ac:dyDescent="0.25">
      <c r="A208" s="45"/>
      <c r="B208" s="45"/>
      <c r="C208" s="46"/>
      <c r="D208" s="46"/>
      <c r="E208" s="46"/>
      <c r="F208" s="46"/>
      <c r="G208" s="46"/>
      <c r="H208" s="46"/>
      <c r="I208" s="46"/>
      <c r="J208" s="46"/>
      <c r="K208" s="46"/>
      <c r="L208" s="46"/>
      <c r="M208" s="46"/>
      <c r="N208" s="46"/>
      <c r="O208" s="46"/>
      <c r="P208" s="46"/>
      <c r="Q208" s="46"/>
      <c r="R208" s="46"/>
      <c r="S208" s="46"/>
      <c r="T208" s="46"/>
      <c r="U208" s="46"/>
      <c r="V208" s="46"/>
      <c r="W208" s="46"/>
      <c r="X208" s="46"/>
      <c r="Y208" s="46"/>
      <c r="Z208" s="46"/>
      <c r="AA208" s="46"/>
      <c r="AB208" s="46"/>
      <c r="AC208" s="46"/>
      <c r="AD208" s="46"/>
      <c r="AE208" s="46"/>
      <c r="AF208" s="46"/>
      <c r="AG208" s="46"/>
      <c r="AH208" s="46"/>
      <c r="AI208" s="46"/>
      <c r="AJ208" s="46"/>
      <c r="AK208" s="46"/>
      <c r="AL208" s="46"/>
      <c r="AM208" s="46"/>
      <c r="AN208" s="46"/>
      <c r="AO208" s="46"/>
      <c r="AP208" s="46"/>
      <c r="AQ208" s="46"/>
      <c r="AR208" s="46"/>
      <c r="AS208" s="46"/>
      <c r="AT208" s="46"/>
      <c r="AU208" s="46"/>
      <c r="AV208" s="46"/>
      <c r="AW208" s="46"/>
      <c r="AX208" s="46"/>
      <c r="AY208" s="46"/>
      <c r="AZ208" s="46"/>
    </row>
    <row r="209" spans="1:52" x14ac:dyDescent="0.25">
      <c r="A209" s="45"/>
      <c r="B209" s="45"/>
      <c r="C209" s="46"/>
      <c r="D209" s="46"/>
      <c r="E209" s="46"/>
      <c r="F209" s="46"/>
      <c r="G209" s="46"/>
      <c r="H209" s="46"/>
      <c r="I209" s="46"/>
      <c r="J209" s="46"/>
      <c r="K209" s="46"/>
      <c r="L209" s="46"/>
      <c r="M209" s="46"/>
      <c r="N209" s="46"/>
      <c r="O209" s="46"/>
      <c r="P209" s="46"/>
      <c r="Q209" s="46"/>
      <c r="R209" s="46"/>
      <c r="S209" s="46"/>
      <c r="T209" s="46"/>
      <c r="U209" s="46"/>
      <c r="V209" s="46"/>
      <c r="W209" s="46"/>
      <c r="X209" s="46"/>
      <c r="Y209" s="46"/>
      <c r="Z209" s="46"/>
      <c r="AA209" s="46"/>
      <c r="AB209" s="46"/>
      <c r="AC209" s="46"/>
      <c r="AD209" s="46"/>
      <c r="AE209" s="46"/>
      <c r="AF209" s="46"/>
      <c r="AG209" s="46"/>
      <c r="AH209" s="46"/>
      <c r="AI209" s="46"/>
      <c r="AJ209" s="46"/>
      <c r="AK209" s="46"/>
      <c r="AL209" s="46"/>
      <c r="AM209" s="46"/>
      <c r="AN209" s="46"/>
      <c r="AO209" s="46"/>
      <c r="AP209" s="46"/>
      <c r="AQ209" s="46"/>
      <c r="AR209" s="46"/>
      <c r="AS209" s="46"/>
      <c r="AT209" s="46"/>
      <c r="AU209" s="46"/>
      <c r="AV209" s="46"/>
      <c r="AW209" s="46"/>
      <c r="AX209" s="46"/>
      <c r="AY209" s="46"/>
      <c r="AZ209" s="46"/>
    </row>
    <row r="210" spans="1:52" x14ac:dyDescent="0.25">
      <c r="A210" s="45"/>
      <c r="B210" s="45"/>
      <c r="C210" s="46"/>
      <c r="D210" s="46"/>
      <c r="E210" s="46"/>
      <c r="F210" s="46"/>
      <c r="G210" s="46"/>
      <c r="H210" s="46"/>
      <c r="I210" s="46"/>
      <c r="J210" s="46"/>
      <c r="K210" s="46"/>
      <c r="L210" s="46"/>
      <c r="M210" s="46"/>
      <c r="N210" s="46"/>
      <c r="O210" s="46"/>
      <c r="P210" s="46"/>
      <c r="Q210" s="46"/>
      <c r="R210" s="46"/>
      <c r="S210" s="46"/>
      <c r="T210" s="46"/>
      <c r="U210" s="46"/>
      <c r="V210" s="46"/>
      <c r="W210" s="46"/>
      <c r="X210" s="46"/>
      <c r="Y210" s="46"/>
      <c r="Z210" s="46"/>
      <c r="AA210" s="46"/>
      <c r="AB210" s="46"/>
      <c r="AC210" s="46"/>
      <c r="AD210" s="46"/>
      <c r="AE210" s="46"/>
      <c r="AF210" s="46"/>
      <c r="AG210" s="46"/>
      <c r="AH210" s="46"/>
      <c r="AI210" s="46"/>
      <c r="AJ210" s="46"/>
      <c r="AK210" s="46"/>
      <c r="AL210" s="46"/>
      <c r="AM210" s="46"/>
      <c r="AN210" s="46"/>
      <c r="AO210" s="46"/>
      <c r="AP210" s="46"/>
      <c r="AQ210" s="46"/>
      <c r="AR210" s="46"/>
      <c r="AS210" s="46"/>
      <c r="AT210" s="46"/>
      <c r="AU210" s="46"/>
      <c r="AV210" s="46"/>
      <c r="AW210" s="46"/>
      <c r="AX210" s="46"/>
      <c r="AY210" s="46"/>
      <c r="AZ210" s="46"/>
    </row>
    <row r="211" spans="1:52" x14ac:dyDescent="0.25">
      <c r="A211" s="45"/>
      <c r="B211" s="45"/>
      <c r="C211" s="46"/>
      <c r="D211" s="46"/>
      <c r="E211" s="46"/>
      <c r="F211" s="46"/>
      <c r="G211" s="46"/>
      <c r="H211" s="46"/>
      <c r="I211" s="46"/>
      <c r="J211" s="46"/>
      <c r="K211" s="46"/>
      <c r="L211" s="46"/>
      <c r="M211" s="46"/>
      <c r="N211" s="46"/>
      <c r="O211" s="46"/>
      <c r="P211" s="46"/>
      <c r="Q211" s="46"/>
      <c r="R211" s="46"/>
      <c r="S211" s="46"/>
      <c r="T211" s="46"/>
      <c r="U211" s="46"/>
      <c r="V211" s="46"/>
      <c r="W211" s="46"/>
      <c r="X211" s="46"/>
      <c r="Y211" s="46"/>
      <c r="Z211" s="46"/>
      <c r="AA211" s="46"/>
      <c r="AB211" s="46"/>
      <c r="AC211" s="46"/>
      <c r="AD211" s="46"/>
      <c r="AE211" s="46"/>
      <c r="AF211" s="46"/>
      <c r="AG211" s="46"/>
      <c r="AH211" s="46"/>
      <c r="AI211" s="46"/>
      <c r="AJ211" s="46"/>
      <c r="AK211" s="46"/>
      <c r="AL211" s="46"/>
      <c r="AM211" s="46"/>
      <c r="AN211" s="46"/>
      <c r="AO211" s="46"/>
      <c r="AP211" s="46"/>
      <c r="AQ211" s="46"/>
      <c r="AR211" s="46"/>
      <c r="AS211" s="46"/>
      <c r="AT211" s="46"/>
      <c r="AU211" s="46"/>
      <c r="AV211" s="46"/>
      <c r="AW211" s="46"/>
      <c r="AX211" s="46"/>
      <c r="AY211" s="46"/>
      <c r="AZ211" s="46"/>
    </row>
    <row r="212" spans="1:52" x14ac:dyDescent="0.25">
      <c r="A212" s="45"/>
      <c r="B212" s="45"/>
      <c r="C212" s="46"/>
      <c r="D212" s="46"/>
      <c r="E212" s="46"/>
      <c r="F212" s="46"/>
      <c r="G212" s="46"/>
      <c r="H212" s="46"/>
      <c r="I212" s="46"/>
      <c r="J212" s="46"/>
      <c r="K212" s="46"/>
      <c r="L212" s="46"/>
      <c r="M212" s="46"/>
      <c r="N212" s="46"/>
      <c r="O212" s="46"/>
      <c r="P212" s="46"/>
      <c r="Q212" s="46"/>
      <c r="R212" s="46"/>
      <c r="S212" s="46"/>
      <c r="T212" s="46"/>
      <c r="U212" s="46"/>
      <c r="V212" s="46"/>
      <c r="W212" s="46"/>
      <c r="X212" s="46"/>
      <c r="Y212" s="46"/>
      <c r="Z212" s="46"/>
      <c r="AA212" s="46"/>
      <c r="AB212" s="46"/>
      <c r="AC212" s="46"/>
      <c r="AD212" s="46"/>
      <c r="AE212" s="46"/>
      <c r="AF212" s="46"/>
      <c r="AG212" s="46"/>
      <c r="AH212" s="46"/>
      <c r="AI212" s="46"/>
      <c r="AJ212" s="46"/>
      <c r="AK212" s="46"/>
      <c r="AL212" s="46"/>
      <c r="AM212" s="46"/>
      <c r="AN212" s="46"/>
      <c r="AO212" s="46"/>
      <c r="AP212" s="46"/>
      <c r="AQ212" s="46"/>
      <c r="AR212" s="46"/>
      <c r="AS212" s="46"/>
      <c r="AT212" s="46"/>
      <c r="AU212" s="46"/>
      <c r="AV212" s="46"/>
      <c r="AW212" s="46"/>
      <c r="AX212" s="46"/>
      <c r="AY212" s="46"/>
      <c r="AZ212" s="46"/>
    </row>
    <row r="213" spans="1:52" x14ac:dyDescent="0.25">
      <c r="A213" s="45"/>
      <c r="B213" s="45"/>
      <c r="C213" s="46"/>
      <c r="D213" s="46"/>
      <c r="E213" s="46"/>
      <c r="F213" s="46"/>
      <c r="G213" s="46"/>
      <c r="H213" s="46"/>
      <c r="I213" s="46"/>
      <c r="J213" s="46"/>
      <c r="K213" s="46"/>
      <c r="L213" s="46"/>
      <c r="M213" s="46"/>
      <c r="N213" s="46"/>
      <c r="O213" s="46"/>
      <c r="P213" s="46"/>
      <c r="Q213" s="46"/>
      <c r="R213" s="46"/>
      <c r="S213" s="46"/>
      <c r="T213" s="46"/>
      <c r="U213" s="46"/>
      <c r="V213" s="46"/>
      <c r="W213" s="46"/>
      <c r="X213" s="46"/>
      <c r="Y213" s="46"/>
      <c r="Z213" s="46"/>
      <c r="AA213" s="46"/>
      <c r="AB213" s="46"/>
      <c r="AC213" s="46"/>
      <c r="AD213" s="46"/>
      <c r="AE213" s="46"/>
      <c r="AF213" s="46"/>
      <c r="AG213" s="46"/>
      <c r="AH213" s="46"/>
      <c r="AI213" s="46"/>
      <c r="AJ213" s="46"/>
      <c r="AK213" s="46"/>
      <c r="AL213" s="46"/>
      <c r="AM213" s="46"/>
      <c r="AN213" s="46"/>
      <c r="AO213" s="46"/>
      <c r="AP213" s="46"/>
      <c r="AQ213" s="46"/>
      <c r="AR213" s="46"/>
      <c r="AS213" s="46"/>
      <c r="AT213" s="46"/>
      <c r="AU213" s="46"/>
      <c r="AV213" s="46"/>
      <c r="AW213" s="46"/>
      <c r="AX213" s="46"/>
      <c r="AY213" s="46"/>
      <c r="AZ213" s="46"/>
    </row>
    <row r="214" spans="1:52" x14ac:dyDescent="0.25">
      <c r="A214" s="45"/>
      <c r="B214" s="45"/>
      <c r="C214" s="46"/>
      <c r="D214" s="46"/>
      <c r="E214" s="46"/>
      <c r="F214" s="46"/>
      <c r="G214" s="46"/>
      <c r="H214" s="46"/>
      <c r="I214" s="46"/>
      <c r="J214" s="46"/>
      <c r="K214" s="46"/>
      <c r="L214" s="46"/>
      <c r="M214" s="46"/>
      <c r="N214" s="46"/>
      <c r="O214" s="46"/>
      <c r="P214" s="46"/>
      <c r="Q214" s="46"/>
      <c r="R214" s="46"/>
      <c r="S214" s="46"/>
      <c r="T214" s="46"/>
      <c r="U214" s="46"/>
      <c r="V214" s="46"/>
      <c r="W214" s="46"/>
      <c r="X214" s="46"/>
      <c r="Y214" s="46"/>
      <c r="Z214" s="46"/>
      <c r="AA214" s="46"/>
      <c r="AB214" s="46"/>
      <c r="AC214" s="46"/>
      <c r="AD214" s="46"/>
      <c r="AE214" s="46"/>
      <c r="AF214" s="46"/>
      <c r="AG214" s="46"/>
      <c r="AH214" s="46"/>
      <c r="AI214" s="46"/>
      <c r="AJ214" s="46"/>
      <c r="AK214" s="46"/>
      <c r="AL214" s="46"/>
      <c r="AM214" s="46"/>
      <c r="AN214" s="46"/>
      <c r="AO214" s="46"/>
      <c r="AP214" s="46"/>
      <c r="AQ214" s="46"/>
      <c r="AR214" s="46"/>
      <c r="AS214" s="46"/>
      <c r="AT214" s="46"/>
      <c r="AU214" s="46"/>
      <c r="AV214" s="46"/>
      <c r="AW214" s="46"/>
      <c r="AX214" s="46"/>
      <c r="AY214" s="46"/>
      <c r="AZ214" s="46"/>
    </row>
    <row r="215" spans="1:52" x14ac:dyDescent="0.25">
      <c r="A215" s="45"/>
      <c r="B215" s="45"/>
      <c r="C215" s="46"/>
      <c r="D215" s="46"/>
      <c r="E215" s="46"/>
      <c r="F215" s="46"/>
      <c r="G215" s="46"/>
      <c r="H215" s="46"/>
      <c r="I215" s="46"/>
      <c r="J215" s="46"/>
      <c r="K215" s="46"/>
      <c r="L215" s="46"/>
      <c r="M215" s="46"/>
      <c r="N215" s="46"/>
      <c r="O215" s="46"/>
      <c r="P215" s="46"/>
      <c r="Q215" s="46"/>
      <c r="R215" s="46"/>
      <c r="S215" s="46"/>
      <c r="T215" s="46"/>
      <c r="U215" s="46"/>
      <c r="V215" s="46"/>
      <c r="W215" s="46"/>
      <c r="X215" s="46"/>
      <c r="Y215" s="46"/>
      <c r="Z215" s="46"/>
      <c r="AA215" s="46"/>
      <c r="AB215" s="46"/>
      <c r="AC215" s="46"/>
      <c r="AD215" s="46"/>
      <c r="AE215" s="46"/>
      <c r="AF215" s="46"/>
      <c r="AG215" s="46"/>
      <c r="AH215" s="46"/>
      <c r="AI215" s="46"/>
      <c r="AJ215" s="46"/>
      <c r="AK215" s="46"/>
      <c r="AL215" s="46"/>
      <c r="AM215" s="46"/>
      <c r="AN215" s="46"/>
      <c r="AO215" s="46"/>
      <c r="AP215" s="46"/>
      <c r="AQ215" s="46"/>
      <c r="AR215" s="46"/>
      <c r="AS215" s="46"/>
      <c r="AT215" s="46"/>
      <c r="AU215" s="46"/>
      <c r="AV215" s="46"/>
      <c r="AW215" s="46"/>
      <c r="AX215" s="46"/>
      <c r="AY215" s="46"/>
      <c r="AZ215" s="46"/>
    </row>
    <row r="216" spans="1:52" x14ac:dyDescent="0.25">
      <c r="A216" s="45"/>
      <c r="B216" s="45"/>
      <c r="C216" s="46"/>
      <c r="D216" s="46"/>
      <c r="E216" s="46"/>
      <c r="F216" s="46"/>
      <c r="G216" s="46"/>
      <c r="H216" s="46"/>
      <c r="I216" s="46"/>
      <c r="J216" s="46"/>
      <c r="K216" s="46"/>
      <c r="L216" s="46"/>
      <c r="M216" s="46"/>
      <c r="N216" s="46"/>
      <c r="O216" s="46"/>
      <c r="P216" s="46"/>
      <c r="Q216" s="46"/>
      <c r="R216" s="46"/>
      <c r="S216" s="46"/>
      <c r="T216" s="46"/>
      <c r="U216" s="46"/>
      <c r="V216" s="46"/>
      <c r="W216" s="46"/>
      <c r="X216" s="46"/>
      <c r="Y216" s="46"/>
      <c r="Z216" s="46"/>
      <c r="AA216" s="46"/>
      <c r="AB216" s="46"/>
      <c r="AC216" s="46"/>
      <c r="AD216" s="46"/>
      <c r="AE216" s="46"/>
      <c r="AF216" s="46"/>
      <c r="AG216" s="46"/>
      <c r="AH216" s="46"/>
      <c r="AI216" s="46"/>
      <c r="AJ216" s="46"/>
      <c r="AK216" s="46"/>
      <c r="AL216" s="46"/>
      <c r="AM216" s="46"/>
      <c r="AN216" s="46"/>
      <c r="AO216" s="46"/>
      <c r="AP216" s="46"/>
      <c r="AQ216" s="46"/>
      <c r="AR216" s="46"/>
      <c r="AS216" s="46"/>
      <c r="AT216" s="46"/>
      <c r="AU216" s="46"/>
      <c r="AV216" s="46"/>
      <c r="AW216" s="46"/>
      <c r="AX216" s="46"/>
      <c r="AY216" s="46"/>
      <c r="AZ216" s="46"/>
    </row>
    <row r="217" spans="1:52" x14ac:dyDescent="0.25">
      <c r="A217" s="45"/>
      <c r="B217" s="45"/>
      <c r="C217" s="46"/>
      <c r="D217" s="46"/>
      <c r="E217" s="46"/>
      <c r="F217" s="46"/>
      <c r="G217" s="46"/>
      <c r="H217" s="46"/>
      <c r="I217" s="46"/>
      <c r="J217" s="46"/>
      <c r="K217" s="46"/>
      <c r="L217" s="46"/>
      <c r="M217" s="46"/>
      <c r="N217" s="46"/>
      <c r="O217" s="46"/>
      <c r="P217" s="46"/>
      <c r="Q217" s="46"/>
      <c r="R217" s="46"/>
      <c r="S217" s="46"/>
      <c r="T217" s="46"/>
      <c r="U217" s="46"/>
      <c r="V217" s="46"/>
      <c r="W217" s="46"/>
      <c r="X217" s="46"/>
      <c r="Y217" s="46"/>
      <c r="Z217" s="46"/>
      <c r="AA217" s="46"/>
      <c r="AB217" s="46"/>
      <c r="AC217" s="46"/>
      <c r="AD217" s="46"/>
      <c r="AE217" s="46"/>
      <c r="AF217" s="46"/>
      <c r="AG217" s="46"/>
      <c r="AH217" s="46"/>
      <c r="AI217" s="46"/>
      <c r="AJ217" s="46"/>
      <c r="AK217" s="46"/>
      <c r="AL217" s="46"/>
      <c r="AM217" s="46"/>
      <c r="AN217" s="46"/>
      <c r="AO217" s="46"/>
      <c r="AP217" s="46"/>
      <c r="AQ217" s="46"/>
      <c r="AR217" s="46"/>
      <c r="AS217" s="46"/>
      <c r="AT217" s="46"/>
      <c r="AU217" s="46"/>
      <c r="AV217" s="46"/>
      <c r="AW217" s="46"/>
      <c r="AX217" s="46"/>
      <c r="AY217" s="46"/>
      <c r="AZ217" s="46"/>
    </row>
    <row r="218" spans="1:52" x14ac:dyDescent="0.25">
      <c r="A218" s="45"/>
      <c r="B218" s="45"/>
      <c r="C218" s="46"/>
      <c r="D218" s="46"/>
      <c r="E218" s="46"/>
      <c r="F218" s="46"/>
      <c r="G218" s="46"/>
      <c r="H218" s="46"/>
      <c r="I218" s="46"/>
      <c r="J218" s="46"/>
      <c r="K218" s="46"/>
      <c r="L218" s="46"/>
      <c r="M218" s="46"/>
      <c r="N218" s="46"/>
      <c r="O218" s="46"/>
      <c r="P218" s="46"/>
      <c r="Q218" s="46"/>
      <c r="R218" s="46"/>
      <c r="S218" s="46"/>
      <c r="T218" s="46"/>
      <c r="U218" s="46"/>
      <c r="V218" s="46"/>
      <c r="W218" s="46"/>
      <c r="X218" s="46"/>
      <c r="Y218" s="46"/>
      <c r="Z218" s="46"/>
      <c r="AA218" s="46"/>
      <c r="AB218" s="46"/>
      <c r="AC218" s="46"/>
      <c r="AD218" s="46"/>
      <c r="AE218" s="46"/>
      <c r="AF218" s="46"/>
      <c r="AG218" s="46"/>
      <c r="AH218" s="46"/>
      <c r="AI218" s="46"/>
      <c r="AJ218" s="46"/>
      <c r="AK218" s="46"/>
      <c r="AL218" s="46"/>
      <c r="AM218" s="46"/>
      <c r="AN218" s="46"/>
      <c r="AO218" s="46"/>
      <c r="AP218" s="46"/>
      <c r="AQ218" s="46"/>
      <c r="AR218" s="46"/>
      <c r="AS218" s="46"/>
      <c r="AT218" s="46"/>
      <c r="AU218" s="46"/>
      <c r="AV218" s="46"/>
      <c r="AW218" s="46"/>
      <c r="AX218" s="46"/>
      <c r="AY218" s="46"/>
      <c r="AZ218" s="46"/>
    </row>
    <row r="219" spans="1:52" x14ac:dyDescent="0.25">
      <c r="A219" s="45"/>
      <c r="B219" s="45"/>
      <c r="C219" s="46"/>
      <c r="D219" s="46"/>
      <c r="E219" s="46"/>
      <c r="F219" s="46"/>
      <c r="G219" s="46"/>
      <c r="H219" s="46"/>
      <c r="I219" s="46"/>
      <c r="J219" s="46"/>
      <c r="K219" s="46"/>
      <c r="L219" s="46"/>
      <c r="M219" s="46"/>
      <c r="N219" s="46"/>
      <c r="O219" s="46"/>
      <c r="P219" s="46"/>
      <c r="Q219" s="46"/>
      <c r="R219" s="46"/>
      <c r="S219" s="46"/>
      <c r="T219" s="46"/>
      <c r="U219" s="46"/>
      <c r="V219" s="46"/>
      <c r="W219" s="46"/>
      <c r="X219" s="46"/>
      <c r="Y219" s="46"/>
      <c r="Z219" s="46"/>
      <c r="AA219" s="46"/>
      <c r="AB219" s="46"/>
      <c r="AC219" s="46"/>
      <c r="AD219" s="46"/>
      <c r="AE219" s="46"/>
      <c r="AF219" s="46"/>
      <c r="AG219" s="46"/>
      <c r="AH219" s="46"/>
      <c r="AI219" s="46"/>
      <c r="AJ219" s="46"/>
      <c r="AK219" s="46"/>
      <c r="AL219" s="46"/>
      <c r="AM219" s="46"/>
      <c r="AN219" s="46"/>
      <c r="AO219" s="46"/>
      <c r="AP219" s="46"/>
      <c r="AQ219" s="46"/>
      <c r="AR219" s="46"/>
      <c r="AS219" s="46"/>
      <c r="AT219" s="46"/>
      <c r="AU219" s="46"/>
      <c r="AV219" s="46"/>
      <c r="AW219" s="46"/>
      <c r="AX219" s="46"/>
      <c r="AY219" s="46"/>
      <c r="AZ219" s="46"/>
    </row>
    <row r="220" spans="1:52" x14ac:dyDescent="0.25">
      <c r="A220" s="45"/>
      <c r="B220" s="45"/>
      <c r="C220" s="46"/>
      <c r="D220" s="46"/>
      <c r="E220" s="46"/>
      <c r="F220" s="46"/>
      <c r="G220" s="46"/>
      <c r="H220" s="46"/>
      <c r="I220" s="46"/>
      <c r="J220" s="46"/>
      <c r="K220" s="46"/>
      <c r="L220" s="46"/>
      <c r="M220" s="46"/>
      <c r="N220" s="46"/>
      <c r="O220" s="46"/>
      <c r="P220" s="46"/>
      <c r="Q220" s="46"/>
      <c r="R220" s="46"/>
      <c r="S220" s="46"/>
      <c r="T220" s="46"/>
      <c r="U220" s="46"/>
      <c r="V220" s="46"/>
      <c r="W220" s="46"/>
    </row>
  </sheetData>
  <sheetProtection sort="0" autoFilter="0" pivotTables="0"/>
  <conditionalFormatting sqref="U62:U120 U5:U59">
    <cfRule type="cellIs" dxfId="2" priority="1" stopIfTrue="1" operator="equal">
      <formula>"Anexado"</formula>
    </cfRule>
    <cfRule type="cellIs" dxfId="1" priority="2" stopIfTrue="1" operator="equal">
      <formula>"Pendente"</formula>
    </cfRule>
    <cfRule type="cellIs" dxfId="0" priority="3" stopIfTrue="1" operator="equal">
      <formula>"Ausente"</formula>
    </cfRule>
  </conditionalFormatting>
  <hyperlinks>
    <hyperlink ref="V5" location="'Controle'!A3" display="Controle 353, 354, 361, 365, 369"/>
    <hyperlink ref="V6" location="'Controle'!A3" display="Controle 342, 347, 352, 356, 359, 364, 666, 667"/>
    <hyperlink ref="V7" location="'Controle'!A3" display="Controle 366"/>
    <hyperlink ref="V8" location="'Controle'!A3" display="Controle 345, 351, 358"/>
    <hyperlink ref="V9" location="'Controle'!A3" display="Controle 343, 348, 362, 368, 668"/>
    <hyperlink ref="V10" location="'Controle'!A3" display="Controle 349, 360"/>
    <hyperlink ref="V11" location="'Controle'!A3" display="Controle 341, 346, 350, 355, 357, 363, 370, 371"/>
    <hyperlink ref="V12" location="'Controle'!A3" display="Controle 446, 447, 448, 449, 450, 451, 452, 453, 454, 455, 456, 457, 458, 459, 460, 461, 462, 463, 464, 465, 466, 467, 468, 469, 470, 471, 472, 473, 474, 475, 476, 477, 478, 479, 480, 481, 482, 483, 485, 486, 487, 488, 489, 490, 491, 492, 493, 494, 495, 496, 497, 498, 499, 500, 501, 502, 503, 504, 505, 506, 507, 508, 509, 510, 511, 512, 513, 514, 515, 516, 517, 518, 519, 520, 521, 522, 523, 524, 525, 527, 528, 529, 530, 531, 532, 533, 534, 535, 536, 537, 538, 539, 540, 541, 542, 543, 544, 545, 546, 547, 548, 549, 550, 551, 552, 553, 554, 555, 556, 557, 558, 559, 560, 561, 562, 563, 564, 565, 566, 567, 568, 569, 570, 571, 572, 574, 575, 576, 577, 578, 579, 580, 581, 582, 583, 584, 585, 586, 587, 588, 589, 590, 591, 592, 593, 594, 595, 596, 597, 598, 599, 600, 601, 602, 603, 604, 605, 606, 607, 608, 609, 610, 611, 612, 613, 614, 615, 616, 617, 618, 619, 620, 621, 622, 623, 624, 625, 626, 627, 628, 629, 630, 631, 632, 633, 634, 635, 636, 637, 638, 639, 640, 641, 642, 643, 644, 645, 646, 647, 648, 649, 650, 651, 652, 653, 654, 655, 656, 657, 658, 659, 660, 661, 662, 663, 665"/>
    <hyperlink ref="V14" location="'Controle'!A3" display="Controle 484, 526, 573"/>
    <hyperlink ref="V15" location="'Controle'!A3" display="Controle 320, 324, 326, 328, 330, 334, 335, 336, 337"/>
    <hyperlink ref="V16" location="'Controle'!A3" display="Controle 340"/>
    <hyperlink ref="V18" location="'Controle'!A3" display="Controle 339"/>
    <hyperlink ref="V19" location="'Controle'!A3" display="Controle 318, 332"/>
    <hyperlink ref="V22" location="'Controle'!A3" display="Controle 322"/>
    <hyperlink ref="V24" location="'Controle'!A3" display="Controle 314, 315, 316, 317, 319, 321, 323, 325, 327, 329, 331, 338"/>
    <hyperlink ref="V27" location="'Controle'!A3" display="Controle 1, 4, 26, 42, 44, 675"/>
    <hyperlink ref="V28" location="'Controle'!A3" display="Controle 2, 3, 5, 8, 9, 10, 11, 12, 13, 15, 17, 18, 21, 22, 23, 24, 25, 27, 28, 29, 30, 31, 32, 34, 35, 36, 37, 38, 39, 40, 41, 43, 45, 46, 47, 48, 49, 50, 51, 52, 53, 676"/>
    <hyperlink ref="V30" location="'Controle'!A3" display="Controle 6, 7, 14, 16, 19, 20, 33"/>
    <hyperlink ref="V33" location="'Controle'!A3" display="Controle 54"/>
    <hyperlink ref="V37" location="'Controle'!A3" display="Controle 55, 304, 305"/>
    <hyperlink ref="V38" location="'Controle'!A3" display="Controle 72, 73, 74, 75, 76, 77, 78, 79, 80, 81, 82, 83, 84, 85, 86, 87, 88, 89, 90, 91, 92, 93, 94, 95, 96, 97, 98, 99, 100, 101, 102, 103, 104, 105, 106, 107, 108, 109, 110, 111, 112, 113, 114, 115, 116, 117, 118, 119, 120, 121, 122, 123, 124, 125, 126, 127, 128, 129, 130, 131, 132, 133, 134, 135, 136, 137, 138, 139, 140, 141, 142, 143, 144, 145, 146, 147, 148, 149, 150, 151, 152, 153, 154, 155, 156, 157, 158, 159, 160, 161, 162, 163, 164, 165, 166, 167, 168, 169, 170, 171, 172, 173, 174, 175, 176, 177, 178, 179, 180, 181, 182, 183, 184, 185, 186, 187, 188, 189, 190, 191, 192, 193, 194, 195, 196, 197, 198, 199, 200, 201, 202, 203, 204, 205, 206, 207, 208, 209, 210, 211, 212, 213, 214, 215, 216, 217, 218, 219, 220, 221, 222, 223, 224, 225, 226, 227, 228, 229, 230, 231, 232, 233, 234, 235, 236, 237, 238, 239, 240, 241, 242, 243, 244, 245, 246, 247, 248, 249, 250, 251, 252, 253, 254, 255, 256, 257, 258, 259, 260, 261, 262, 263, 264, 265, 266, 267, 268, 269, 270, 271, 272, 273, 274, 275, 276, 277, 278, 279, 280, 281, 282, 283, 284, 285, 286, 287, 288, 289, 290, 291, 292, 293, 294, 295, 296, 297, 298, 299, 300, 301, 302, 303, 673, 674"/>
    <hyperlink ref="V39" location="'Controle'!A3" display="Controle 59, 60, 61, 62, 63, 64, 65, 66, 67, 70, 71, 671, 672"/>
    <hyperlink ref="V43" location="'Controle'!A3" display="Controle 68, 69"/>
    <hyperlink ref="V44" location="'Controle'!A3" display="Controle 56, 57, 58, 306, 307, 308, 309, 310, 311, 312, 313"/>
    <hyperlink ref="V51" location="'Controle'!A3" display="Controle 374, 375, 376, 378, 380, 382, 383, 386, 387, 389, 390, 392, 395, 399, 400, 401, 403, 404, 406, 407, 408, 410, 412, 413, 415, 416, 417, 418, 420, 422, 423, 424, 425, 426, 427, 428, 429, 430, 431, 432, 433, 435, 436, 437, 438, 439, 440, 441, 442, 443, 444, 445, 669, 670"/>
    <hyperlink ref="V54" location="'Controle'!A3" display="Controle 377, 379, 381, 384, 385, 388, 391, 393, 394, 396, 397, 398, 402, 405, 409, 411, 414, 419, 421, 434"/>
    <hyperlink ref="V55" location="'Controle'!A3" display="Controle 677, 678, 679, 680, 681, 682, 683, 684, 685, 686, 687, 688, 689, 690, 691, 692, 693, 694, 695, 696, 697, 698, 699, 700, 701, 702, 703, 704, 705, 706, 707, 708, 709, 710, 711"/>
    <hyperlink ref="V59" location="'Controle'!A3" display="Controle 344, 367"/>
  </hyperlinks>
  <pageMargins left="0.75" right="0.75" top="1" bottom="1" header="0.5" footer="0.5"/>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tabColor rgb="FF7DD3FC"/>
  </sheetPr>
  <dimension ref="A1:BA712"/>
  <sheetViews>
    <sheetView showGridLines="0" zoomScaleNormal="100" workbookViewId="0">
      <pane ySplit="3" topLeftCell="A4" activePane="bottomLeft" state="frozen"/>
      <selection pane="bottomLeft" activeCell="A356" sqref="A356"/>
    </sheetView>
  </sheetViews>
  <sheetFormatPr defaultColWidth="9.140625" defaultRowHeight="14.25" x14ac:dyDescent="0.25"/>
  <cols>
    <col min="1" max="1" width="44.42578125" style="48" bestFit="1" customWidth="1"/>
    <col min="2" max="2" width="23.140625" style="44" bestFit="1" customWidth="1"/>
    <col min="3" max="3" width="47.85546875" style="44" bestFit="1" customWidth="1"/>
    <col min="4" max="4" width="17" style="49" bestFit="1" customWidth="1"/>
    <col min="5" max="5" width="14.42578125" style="205" bestFit="1" customWidth="1"/>
    <col min="6" max="6" width="13" style="44" bestFit="1" customWidth="1"/>
    <col min="7" max="7" width="126.140625" style="44" bestFit="1" customWidth="1"/>
    <col min="8" max="8" width="71.28515625" style="44" bestFit="1" customWidth="1"/>
    <col min="9" max="9" width="35" style="44" hidden="1" customWidth="1"/>
    <col min="10" max="10" width="9.140625" style="50" hidden="1" customWidth="1"/>
    <col min="11" max="12" width="17.7109375" style="50" customWidth="1"/>
    <col min="13" max="13" width="9.140625" style="50" hidden="1" customWidth="1"/>
    <col min="14" max="17" width="9.7109375" style="50" customWidth="1"/>
    <col min="18" max="53" width="9.140625" style="50" customWidth="1"/>
    <col min="54" max="16384" width="9.140625" style="50"/>
  </cols>
  <sheetData>
    <row r="1" spans="1:53" ht="24" customHeight="1" x14ac:dyDescent="0.25">
      <c r="A1" s="51" t="s">
        <v>71</v>
      </c>
      <c r="B1" s="46"/>
      <c r="C1" s="46"/>
      <c r="D1" s="52"/>
      <c r="E1" s="192"/>
      <c r="F1" s="46"/>
      <c r="G1" s="46"/>
      <c r="H1" s="46"/>
      <c r="I1" s="46"/>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row>
    <row r="2" spans="1:53" x14ac:dyDescent="0.25">
      <c r="A2" s="51"/>
      <c r="B2" s="46"/>
      <c r="C2" s="46"/>
      <c r="D2" s="52"/>
      <c r="E2" s="192"/>
      <c r="F2" s="46"/>
      <c r="G2" s="46"/>
      <c r="H2" s="46"/>
      <c r="I2" s="46"/>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row>
    <row r="3" spans="1:53" x14ac:dyDescent="0.25">
      <c r="A3" s="65" t="s">
        <v>72</v>
      </c>
      <c r="B3" s="61" t="s">
        <v>1</v>
      </c>
      <c r="C3" s="61" t="s">
        <v>73</v>
      </c>
      <c r="D3" s="66" t="s">
        <v>74</v>
      </c>
      <c r="E3" s="193" t="s">
        <v>75</v>
      </c>
      <c r="F3" s="61" t="s">
        <v>76</v>
      </c>
      <c r="G3" s="61" t="s">
        <v>77</v>
      </c>
      <c r="H3" s="61" t="s">
        <v>78</v>
      </c>
      <c r="I3" s="62" t="s">
        <v>79</v>
      </c>
      <c r="J3" s="53" t="s">
        <v>2180</v>
      </c>
      <c r="K3" s="53" t="s">
        <v>130</v>
      </c>
      <c r="L3" s="53" t="s">
        <v>2184</v>
      </c>
      <c r="M3" s="53" t="s">
        <v>2185</v>
      </c>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row>
    <row r="4" spans="1:53" s="20" customFormat="1" ht="15.75" x14ac:dyDescent="0.25">
      <c r="A4" s="36">
        <v>1</v>
      </c>
      <c r="B4" s="37" t="s">
        <v>268</v>
      </c>
      <c r="C4" s="38" t="s">
        <v>265</v>
      </c>
      <c r="D4" s="180" t="s">
        <v>264</v>
      </c>
      <c r="E4" s="194">
        <v>180</v>
      </c>
      <c r="F4" s="37" t="s">
        <v>269</v>
      </c>
      <c r="G4" s="42" t="s">
        <v>266</v>
      </c>
      <c r="H4" s="37" t="s">
        <v>270</v>
      </c>
      <c r="I4" s="37" t="s">
        <v>267</v>
      </c>
      <c r="J4" s="19" t="s">
        <v>2144</v>
      </c>
      <c r="K4" s="19" t="s">
        <v>118</v>
      </c>
      <c r="L4" s="19" t="s">
        <v>2181</v>
      </c>
      <c r="M4" s="19">
        <v>1</v>
      </c>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row>
    <row r="5" spans="1:53" s="20" customFormat="1" ht="15.75" x14ac:dyDescent="0.25">
      <c r="A5" s="36">
        <v>2</v>
      </c>
      <c r="B5" s="37" t="s">
        <v>268</v>
      </c>
      <c r="C5" s="38" t="s">
        <v>147</v>
      </c>
      <c r="D5" s="180" t="s">
        <v>85</v>
      </c>
      <c r="E5" s="194">
        <v>20.38</v>
      </c>
      <c r="F5" s="37" t="s">
        <v>269</v>
      </c>
      <c r="G5" s="42" t="s">
        <v>262</v>
      </c>
      <c r="H5" s="37" t="s">
        <v>271</v>
      </c>
      <c r="I5" s="37" t="s">
        <v>263</v>
      </c>
      <c r="J5" s="19" t="s">
        <v>2145</v>
      </c>
      <c r="K5" s="19" t="s">
        <v>118</v>
      </c>
      <c r="L5" s="19" t="s">
        <v>2181</v>
      </c>
      <c r="M5" s="19">
        <v>2</v>
      </c>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row>
    <row r="6" spans="1:53" s="20" customFormat="1" ht="15.75" x14ac:dyDescent="0.25">
      <c r="A6" s="36">
        <v>3</v>
      </c>
      <c r="B6" s="37" t="s">
        <v>268</v>
      </c>
      <c r="C6" s="38" t="s">
        <v>203</v>
      </c>
      <c r="D6" s="180" t="s">
        <v>85</v>
      </c>
      <c r="E6" s="194">
        <v>5.99</v>
      </c>
      <c r="F6" s="37" t="s">
        <v>269</v>
      </c>
      <c r="G6" s="42" t="s">
        <v>260</v>
      </c>
      <c r="H6" s="37" t="s">
        <v>272</v>
      </c>
      <c r="I6" s="39" t="s">
        <v>261</v>
      </c>
      <c r="J6" s="19" t="s">
        <v>2145</v>
      </c>
      <c r="K6" s="19" t="s">
        <v>118</v>
      </c>
      <c r="L6" s="19" t="s">
        <v>2181</v>
      </c>
      <c r="M6" s="19">
        <v>3</v>
      </c>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row>
    <row r="7" spans="1:53" s="20" customFormat="1" ht="15.75" x14ac:dyDescent="0.25">
      <c r="A7" s="36">
        <v>4</v>
      </c>
      <c r="B7" s="37" t="s">
        <v>268</v>
      </c>
      <c r="C7" s="38" t="s">
        <v>257</v>
      </c>
      <c r="D7" s="180" t="s">
        <v>85</v>
      </c>
      <c r="E7" s="194">
        <v>98</v>
      </c>
      <c r="F7" s="37" t="s">
        <v>269</v>
      </c>
      <c r="G7" s="42" t="s">
        <v>258</v>
      </c>
      <c r="H7" s="37" t="s">
        <v>273</v>
      </c>
      <c r="I7" s="37" t="s">
        <v>259</v>
      </c>
      <c r="J7" s="19" t="s">
        <v>2144</v>
      </c>
      <c r="K7" s="19" t="s">
        <v>118</v>
      </c>
      <c r="L7" s="19" t="s">
        <v>2181</v>
      </c>
      <c r="M7" s="19">
        <v>4</v>
      </c>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row>
    <row r="8" spans="1:53" s="20" customFormat="1" ht="15.75" x14ac:dyDescent="0.25">
      <c r="A8" s="36">
        <v>5</v>
      </c>
      <c r="B8" s="37" t="s">
        <v>268</v>
      </c>
      <c r="C8" s="38" t="s">
        <v>147</v>
      </c>
      <c r="D8" s="180" t="s">
        <v>85</v>
      </c>
      <c r="E8" s="194">
        <v>14.99</v>
      </c>
      <c r="F8" s="37" t="s">
        <v>269</v>
      </c>
      <c r="G8" s="42" t="s">
        <v>255</v>
      </c>
      <c r="H8" s="37" t="s">
        <v>274</v>
      </c>
      <c r="I8" s="39" t="s">
        <v>256</v>
      </c>
      <c r="J8" s="19" t="s">
        <v>2145</v>
      </c>
      <c r="K8" s="19" t="s">
        <v>118</v>
      </c>
      <c r="L8" s="19" t="s">
        <v>2181</v>
      </c>
      <c r="M8" s="19">
        <v>5</v>
      </c>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row>
    <row r="9" spans="1:53" s="20" customFormat="1" ht="15.75" x14ac:dyDescent="0.25">
      <c r="A9" s="36">
        <v>6</v>
      </c>
      <c r="B9" s="37" t="s">
        <v>268</v>
      </c>
      <c r="C9" s="38" t="s">
        <v>229</v>
      </c>
      <c r="D9" s="180" t="s">
        <v>85</v>
      </c>
      <c r="E9" s="194">
        <v>155</v>
      </c>
      <c r="F9" s="37" t="s">
        <v>269</v>
      </c>
      <c r="G9" s="42" t="s">
        <v>253</v>
      </c>
      <c r="H9" s="37" t="s">
        <v>275</v>
      </c>
      <c r="I9" s="37" t="s">
        <v>254</v>
      </c>
      <c r="J9" s="19" t="s">
        <v>2147</v>
      </c>
      <c r="K9" s="19" t="s">
        <v>118</v>
      </c>
      <c r="L9" s="19" t="s">
        <v>2181</v>
      </c>
      <c r="M9" s="19">
        <v>6</v>
      </c>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row>
    <row r="10" spans="1:53" s="20" customFormat="1" ht="15.75" x14ac:dyDescent="0.25">
      <c r="A10" s="36">
        <v>7</v>
      </c>
      <c r="B10" s="37" t="s">
        <v>268</v>
      </c>
      <c r="C10" s="38" t="s">
        <v>220</v>
      </c>
      <c r="D10" s="180" t="s">
        <v>85</v>
      </c>
      <c r="E10" s="194">
        <v>155</v>
      </c>
      <c r="F10" s="37" t="s">
        <v>269</v>
      </c>
      <c r="G10" s="42" t="s">
        <v>251</v>
      </c>
      <c r="H10" s="37" t="s">
        <v>276</v>
      </c>
      <c r="I10" s="37" t="s">
        <v>252</v>
      </c>
      <c r="J10" s="19" t="s">
        <v>2147</v>
      </c>
      <c r="K10" s="19" t="s">
        <v>118</v>
      </c>
      <c r="L10" s="19" t="s">
        <v>2181</v>
      </c>
      <c r="M10" s="19">
        <v>7</v>
      </c>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row>
    <row r="11" spans="1:53" s="20" customFormat="1" ht="15.75" x14ac:dyDescent="0.25">
      <c r="A11" s="36">
        <v>8</v>
      </c>
      <c r="B11" s="37" t="s">
        <v>268</v>
      </c>
      <c r="C11" s="38" t="s">
        <v>248</v>
      </c>
      <c r="D11" s="180" t="s">
        <v>80</v>
      </c>
      <c r="E11" s="194">
        <v>33.4</v>
      </c>
      <c r="F11" s="37" t="s">
        <v>269</v>
      </c>
      <c r="G11" s="42" t="s">
        <v>249</v>
      </c>
      <c r="H11" s="37" t="s">
        <v>277</v>
      </c>
      <c r="I11" s="37" t="s">
        <v>250</v>
      </c>
      <c r="J11" s="19" t="s">
        <v>2145</v>
      </c>
      <c r="K11" s="19" t="s">
        <v>118</v>
      </c>
      <c r="L11" s="19" t="s">
        <v>2181</v>
      </c>
      <c r="M11" s="19">
        <v>8</v>
      </c>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row>
    <row r="12" spans="1:53" s="20" customFormat="1" ht="15.75" x14ac:dyDescent="0.25">
      <c r="A12" s="36">
        <v>9</v>
      </c>
      <c r="B12" s="37" t="s">
        <v>268</v>
      </c>
      <c r="C12" s="38" t="s">
        <v>134</v>
      </c>
      <c r="D12" s="180" t="s">
        <v>80</v>
      </c>
      <c r="E12" s="194">
        <v>40.67</v>
      </c>
      <c r="F12" s="37" t="s">
        <v>269</v>
      </c>
      <c r="G12" s="42" t="s">
        <v>246</v>
      </c>
      <c r="H12" s="37" t="s">
        <v>278</v>
      </c>
      <c r="I12" s="37" t="s">
        <v>247</v>
      </c>
      <c r="J12" s="19" t="s">
        <v>2145</v>
      </c>
      <c r="K12" s="19" t="s">
        <v>118</v>
      </c>
      <c r="L12" s="19" t="s">
        <v>2181</v>
      </c>
      <c r="M12" s="19">
        <v>9</v>
      </c>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row>
    <row r="13" spans="1:53" s="20" customFormat="1" ht="15.75" x14ac:dyDescent="0.25">
      <c r="A13" s="36">
        <v>10</v>
      </c>
      <c r="B13" s="37" t="s">
        <v>268</v>
      </c>
      <c r="C13" s="38" t="s">
        <v>243</v>
      </c>
      <c r="D13" s="180" t="s">
        <v>80</v>
      </c>
      <c r="E13" s="194">
        <v>32.85</v>
      </c>
      <c r="F13" s="37" t="s">
        <v>269</v>
      </c>
      <c r="G13" s="42" t="s">
        <v>244</v>
      </c>
      <c r="H13" s="37" t="s">
        <v>279</v>
      </c>
      <c r="I13" s="37" t="s">
        <v>245</v>
      </c>
      <c r="J13" s="19" t="s">
        <v>2145</v>
      </c>
      <c r="K13" s="19" t="s">
        <v>118</v>
      </c>
      <c r="L13" s="19" t="s">
        <v>2181</v>
      </c>
      <c r="M13" s="19">
        <v>10</v>
      </c>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row>
    <row r="14" spans="1:53" s="20" customFormat="1" ht="15.75" customHeight="1" x14ac:dyDescent="0.25">
      <c r="A14" s="36">
        <v>11</v>
      </c>
      <c r="B14" s="37" t="s">
        <v>268</v>
      </c>
      <c r="C14" s="38" t="s">
        <v>203</v>
      </c>
      <c r="D14" s="180" t="s">
        <v>80</v>
      </c>
      <c r="E14" s="194">
        <v>14.89</v>
      </c>
      <c r="F14" s="37" t="s">
        <v>269</v>
      </c>
      <c r="G14" s="42" t="s">
        <v>241</v>
      </c>
      <c r="H14" s="37" t="s">
        <v>280</v>
      </c>
      <c r="I14" s="37" t="s">
        <v>242</v>
      </c>
      <c r="J14" s="19" t="s">
        <v>2145</v>
      </c>
      <c r="K14" s="19" t="s">
        <v>118</v>
      </c>
      <c r="L14" s="19" t="s">
        <v>2181</v>
      </c>
      <c r="M14" s="19">
        <v>11</v>
      </c>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row>
    <row r="15" spans="1:53" s="20" customFormat="1" ht="15.75" x14ac:dyDescent="0.25">
      <c r="A15" s="36">
        <v>12</v>
      </c>
      <c r="B15" s="37" t="s">
        <v>268</v>
      </c>
      <c r="C15" s="38" t="s">
        <v>155</v>
      </c>
      <c r="D15" s="180" t="s">
        <v>80</v>
      </c>
      <c r="E15" s="194">
        <v>31.08</v>
      </c>
      <c r="F15" s="37" t="s">
        <v>269</v>
      </c>
      <c r="G15" s="42" t="s">
        <v>239</v>
      </c>
      <c r="H15" s="37" t="s">
        <v>281</v>
      </c>
      <c r="I15" s="37" t="s">
        <v>240</v>
      </c>
      <c r="J15" s="19" t="s">
        <v>2145</v>
      </c>
      <c r="K15" s="19" t="s">
        <v>118</v>
      </c>
      <c r="L15" s="19" t="s">
        <v>2181</v>
      </c>
      <c r="M15" s="19">
        <v>12</v>
      </c>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row>
    <row r="16" spans="1:53" s="20" customFormat="1" ht="15.75" x14ac:dyDescent="0.25">
      <c r="A16" s="36">
        <v>13</v>
      </c>
      <c r="B16" s="37" t="s">
        <v>268</v>
      </c>
      <c r="C16" s="38" t="s">
        <v>139</v>
      </c>
      <c r="D16" s="180" t="s">
        <v>80</v>
      </c>
      <c r="E16" s="194">
        <v>50.58</v>
      </c>
      <c r="F16" s="37" t="s">
        <v>269</v>
      </c>
      <c r="G16" s="42" t="s">
        <v>237</v>
      </c>
      <c r="H16" s="37" t="s">
        <v>282</v>
      </c>
      <c r="I16" s="39" t="s">
        <v>238</v>
      </c>
      <c r="J16" s="19" t="s">
        <v>2145</v>
      </c>
      <c r="K16" s="19" t="s">
        <v>118</v>
      </c>
      <c r="L16" s="19" t="s">
        <v>2181</v>
      </c>
      <c r="M16" s="19">
        <v>13</v>
      </c>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row>
    <row r="17" spans="1:53" s="20" customFormat="1" ht="15.75" x14ac:dyDescent="0.25">
      <c r="A17" s="36">
        <v>14</v>
      </c>
      <c r="B17" s="37" t="s">
        <v>268</v>
      </c>
      <c r="C17" s="38" t="s">
        <v>229</v>
      </c>
      <c r="D17" s="180" t="s">
        <v>80</v>
      </c>
      <c r="E17" s="194">
        <v>375</v>
      </c>
      <c r="F17" s="37" t="s">
        <v>269</v>
      </c>
      <c r="G17" s="42" t="s">
        <v>235</v>
      </c>
      <c r="H17" s="37" t="s">
        <v>283</v>
      </c>
      <c r="I17" s="37" t="s">
        <v>236</v>
      </c>
      <c r="J17" s="19" t="s">
        <v>2147</v>
      </c>
      <c r="K17" s="19" t="s">
        <v>118</v>
      </c>
      <c r="L17" s="19" t="s">
        <v>2181</v>
      </c>
      <c r="M17" s="19">
        <v>14</v>
      </c>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row>
    <row r="18" spans="1:53" s="20" customFormat="1" ht="15.75" x14ac:dyDescent="0.25">
      <c r="A18" s="36">
        <v>15</v>
      </c>
      <c r="B18" s="37" t="s">
        <v>268</v>
      </c>
      <c r="C18" s="38" t="s">
        <v>232</v>
      </c>
      <c r="D18" s="180" t="s">
        <v>81</v>
      </c>
      <c r="E18" s="194">
        <v>33.4</v>
      </c>
      <c r="F18" s="37" t="s">
        <v>269</v>
      </c>
      <c r="G18" s="42" t="s">
        <v>233</v>
      </c>
      <c r="H18" s="37" t="s">
        <v>284</v>
      </c>
      <c r="I18" s="37" t="s">
        <v>234</v>
      </c>
      <c r="J18" s="19" t="s">
        <v>2145</v>
      </c>
      <c r="K18" s="19" t="s">
        <v>118</v>
      </c>
      <c r="L18" s="19" t="s">
        <v>2182</v>
      </c>
      <c r="M18" s="19">
        <v>15</v>
      </c>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row>
    <row r="19" spans="1:53" s="20" customFormat="1" ht="15.75" x14ac:dyDescent="0.25">
      <c r="A19" s="36">
        <v>16</v>
      </c>
      <c r="B19" s="37" t="s">
        <v>268</v>
      </c>
      <c r="C19" s="38" t="s">
        <v>229</v>
      </c>
      <c r="D19" s="180" t="s">
        <v>81</v>
      </c>
      <c r="E19" s="194">
        <v>155</v>
      </c>
      <c r="F19" s="37" t="s">
        <v>269</v>
      </c>
      <c r="G19" s="42" t="s">
        <v>230</v>
      </c>
      <c r="H19" s="37" t="s">
        <v>285</v>
      </c>
      <c r="I19" s="37" t="s">
        <v>231</v>
      </c>
      <c r="J19" s="19" t="s">
        <v>2147</v>
      </c>
      <c r="K19" s="19" t="s">
        <v>118</v>
      </c>
      <c r="L19" s="19" t="s">
        <v>2181</v>
      </c>
      <c r="M19" s="19">
        <v>16</v>
      </c>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row>
    <row r="20" spans="1:53" s="20" customFormat="1" ht="15.75" x14ac:dyDescent="0.25">
      <c r="A20" s="36">
        <v>17</v>
      </c>
      <c r="B20" s="37" t="s">
        <v>268</v>
      </c>
      <c r="C20" s="38" t="s">
        <v>139</v>
      </c>
      <c r="D20" s="180" t="s">
        <v>81</v>
      </c>
      <c r="E20" s="194">
        <v>59.77</v>
      </c>
      <c r="F20" s="37" t="s">
        <v>269</v>
      </c>
      <c r="G20" s="42" t="s">
        <v>227</v>
      </c>
      <c r="H20" s="37" t="s">
        <v>286</v>
      </c>
      <c r="I20" s="37" t="s">
        <v>228</v>
      </c>
      <c r="J20" s="19" t="s">
        <v>2145</v>
      </c>
      <c r="K20" s="19" t="s">
        <v>118</v>
      </c>
      <c r="L20" s="19" t="s">
        <v>2182</v>
      </c>
      <c r="M20" s="19">
        <v>17</v>
      </c>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row>
    <row r="21" spans="1:53" s="20" customFormat="1" ht="15.75" x14ac:dyDescent="0.25">
      <c r="A21" s="36">
        <v>18</v>
      </c>
      <c r="B21" s="37" t="s">
        <v>268</v>
      </c>
      <c r="C21" s="38" t="s">
        <v>134</v>
      </c>
      <c r="D21" s="180" t="s">
        <v>81</v>
      </c>
      <c r="E21" s="194">
        <v>75.25</v>
      </c>
      <c r="F21" s="37" t="s">
        <v>269</v>
      </c>
      <c r="G21" s="42" t="s">
        <v>225</v>
      </c>
      <c r="H21" s="37" t="s">
        <v>287</v>
      </c>
      <c r="I21" s="37" t="s">
        <v>226</v>
      </c>
      <c r="J21" s="19" t="s">
        <v>2145</v>
      </c>
      <c r="K21" s="19" t="s">
        <v>118</v>
      </c>
      <c r="L21" s="19" t="s">
        <v>2182</v>
      </c>
      <c r="M21" s="19">
        <v>18</v>
      </c>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row>
    <row r="22" spans="1:53" s="20" customFormat="1" ht="15.75" x14ac:dyDescent="0.25">
      <c r="A22" s="36">
        <v>19</v>
      </c>
      <c r="B22" s="37" t="s">
        <v>268</v>
      </c>
      <c r="C22" s="38" t="s">
        <v>220</v>
      </c>
      <c r="D22" s="180" t="s">
        <v>81</v>
      </c>
      <c r="E22" s="194">
        <v>220</v>
      </c>
      <c r="F22" s="37" t="s">
        <v>269</v>
      </c>
      <c r="G22" s="42" t="s">
        <v>223</v>
      </c>
      <c r="H22" s="37" t="s">
        <v>288</v>
      </c>
      <c r="I22" s="37" t="s">
        <v>224</v>
      </c>
      <c r="J22" s="19" t="s">
        <v>2147</v>
      </c>
      <c r="K22" s="19" t="s">
        <v>118</v>
      </c>
      <c r="L22" s="19" t="s">
        <v>2181</v>
      </c>
      <c r="M22" s="19">
        <v>19</v>
      </c>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row>
    <row r="23" spans="1:53" s="20" customFormat="1" ht="15.75" x14ac:dyDescent="0.25">
      <c r="A23" s="36">
        <v>20</v>
      </c>
      <c r="B23" s="37" t="s">
        <v>268</v>
      </c>
      <c r="C23" s="38" t="s">
        <v>220</v>
      </c>
      <c r="D23" s="180" t="s">
        <v>81</v>
      </c>
      <c r="E23" s="194">
        <v>155</v>
      </c>
      <c r="F23" s="37" t="s">
        <v>269</v>
      </c>
      <c r="G23" s="42" t="s">
        <v>221</v>
      </c>
      <c r="H23" s="37" t="s">
        <v>289</v>
      </c>
      <c r="I23" s="37" t="s">
        <v>222</v>
      </c>
      <c r="J23" s="19" t="s">
        <v>2147</v>
      </c>
      <c r="K23" s="19" t="s">
        <v>118</v>
      </c>
      <c r="L23" s="19" t="s">
        <v>2181</v>
      </c>
      <c r="M23" s="19">
        <v>20</v>
      </c>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row>
    <row r="24" spans="1:53" s="20" customFormat="1" ht="15.75" x14ac:dyDescent="0.25">
      <c r="A24" s="36">
        <v>21</v>
      </c>
      <c r="B24" s="37" t="s">
        <v>268</v>
      </c>
      <c r="C24" s="38" t="s">
        <v>139</v>
      </c>
      <c r="D24" s="180" t="s">
        <v>81</v>
      </c>
      <c r="E24" s="194">
        <v>26.58</v>
      </c>
      <c r="F24" s="37" t="s">
        <v>269</v>
      </c>
      <c r="G24" s="42" t="s">
        <v>218</v>
      </c>
      <c r="H24" s="37" t="s">
        <v>290</v>
      </c>
      <c r="I24" s="37" t="s">
        <v>219</v>
      </c>
      <c r="J24" s="19" t="s">
        <v>2145</v>
      </c>
      <c r="K24" s="19" t="s">
        <v>118</v>
      </c>
      <c r="L24" s="19" t="s">
        <v>2182</v>
      </c>
      <c r="M24" s="19">
        <v>21</v>
      </c>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row>
    <row r="25" spans="1:53" s="20" customFormat="1" ht="15.75" x14ac:dyDescent="0.25">
      <c r="A25" s="36">
        <v>22</v>
      </c>
      <c r="B25" s="37" t="s">
        <v>268</v>
      </c>
      <c r="C25" s="38" t="s">
        <v>215</v>
      </c>
      <c r="D25" s="180" t="s">
        <v>82</v>
      </c>
      <c r="E25" s="194">
        <v>33.4</v>
      </c>
      <c r="F25" s="37" t="s">
        <v>269</v>
      </c>
      <c r="G25" s="42" t="s">
        <v>216</v>
      </c>
      <c r="H25" s="37" t="s">
        <v>291</v>
      </c>
      <c r="I25" s="37" t="s">
        <v>217</v>
      </c>
      <c r="J25" s="19" t="s">
        <v>2145</v>
      </c>
      <c r="K25" s="19" t="s">
        <v>118</v>
      </c>
      <c r="L25" s="19" t="s">
        <v>2181</v>
      </c>
      <c r="M25" s="19">
        <v>22</v>
      </c>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row>
    <row r="26" spans="1:53" s="20" customFormat="1" ht="15.75" x14ac:dyDescent="0.25">
      <c r="A26" s="36">
        <v>23</v>
      </c>
      <c r="B26" s="37" t="s">
        <v>268</v>
      </c>
      <c r="C26" s="38" t="s">
        <v>139</v>
      </c>
      <c r="D26" s="180" t="s">
        <v>82</v>
      </c>
      <c r="E26" s="194">
        <v>25.43</v>
      </c>
      <c r="F26" s="37" t="s">
        <v>269</v>
      </c>
      <c r="G26" s="42" t="s">
        <v>213</v>
      </c>
      <c r="H26" s="37" t="s">
        <v>292</v>
      </c>
      <c r="I26" s="37" t="s">
        <v>214</v>
      </c>
      <c r="J26" s="19" t="s">
        <v>2145</v>
      </c>
      <c r="K26" s="19" t="s">
        <v>118</v>
      </c>
      <c r="L26" s="19" t="s">
        <v>2181</v>
      </c>
      <c r="M26" s="19">
        <v>23</v>
      </c>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row>
    <row r="27" spans="1:53" s="20" customFormat="1" ht="15.75" x14ac:dyDescent="0.25">
      <c r="A27" s="36">
        <v>24</v>
      </c>
      <c r="B27" s="37" t="s">
        <v>268</v>
      </c>
      <c r="C27" s="38" t="s">
        <v>134</v>
      </c>
      <c r="D27" s="180" t="s">
        <v>82</v>
      </c>
      <c r="E27" s="194">
        <v>7.99</v>
      </c>
      <c r="F27" s="37" t="s">
        <v>269</v>
      </c>
      <c r="G27" s="42" t="s">
        <v>211</v>
      </c>
      <c r="H27" s="37" t="s">
        <v>293</v>
      </c>
      <c r="I27" s="37" t="s">
        <v>212</v>
      </c>
      <c r="J27" s="19" t="s">
        <v>2145</v>
      </c>
      <c r="K27" s="19" t="s">
        <v>118</v>
      </c>
      <c r="L27" s="19" t="s">
        <v>2181</v>
      </c>
      <c r="M27" s="19">
        <v>24</v>
      </c>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row>
    <row r="28" spans="1:53" s="20" customFormat="1" ht="15.75" x14ac:dyDescent="0.25">
      <c r="A28" s="36">
        <v>25</v>
      </c>
      <c r="B28" s="37" t="s">
        <v>268</v>
      </c>
      <c r="C28" s="38" t="s">
        <v>155</v>
      </c>
      <c r="D28" s="180" t="s">
        <v>82</v>
      </c>
      <c r="E28" s="194">
        <v>7.99</v>
      </c>
      <c r="F28" s="37" t="s">
        <v>269</v>
      </c>
      <c r="G28" s="42" t="s">
        <v>209</v>
      </c>
      <c r="H28" s="37" t="s">
        <v>294</v>
      </c>
      <c r="I28" s="37" t="s">
        <v>210</v>
      </c>
      <c r="J28" s="19" t="s">
        <v>2145</v>
      </c>
      <c r="K28" s="19" t="s">
        <v>118</v>
      </c>
      <c r="L28" s="19" t="s">
        <v>2181</v>
      </c>
      <c r="M28" s="19">
        <v>25</v>
      </c>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row>
    <row r="29" spans="1:53" s="20" customFormat="1" ht="15.75" x14ac:dyDescent="0.25">
      <c r="A29" s="36">
        <v>26</v>
      </c>
      <c r="B29" s="37" t="s">
        <v>268</v>
      </c>
      <c r="C29" s="38" t="s">
        <v>206</v>
      </c>
      <c r="D29" s="180" t="s">
        <v>82</v>
      </c>
      <c r="E29" s="194">
        <v>3.5</v>
      </c>
      <c r="F29" s="37" t="s">
        <v>269</v>
      </c>
      <c r="G29" s="42" t="s">
        <v>207</v>
      </c>
      <c r="H29" s="37" t="s">
        <v>295</v>
      </c>
      <c r="I29" s="37" t="s">
        <v>208</v>
      </c>
      <c r="J29" s="19" t="s">
        <v>2144</v>
      </c>
      <c r="K29" s="19" t="s">
        <v>118</v>
      </c>
      <c r="L29" s="19" t="s">
        <v>2181</v>
      </c>
      <c r="M29" s="19">
        <v>26</v>
      </c>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row>
    <row r="30" spans="1:53" s="20" customFormat="1" ht="15.75" x14ac:dyDescent="0.25">
      <c r="A30" s="36">
        <v>27</v>
      </c>
      <c r="B30" s="37" t="s">
        <v>268</v>
      </c>
      <c r="C30" s="38" t="s">
        <v>203</v>
      </c>
      <c r="D30" s="180" t="s">
        <v>82</v>
      </c>
      <c r="E30" s="194">
        <v>7.48</v>
      </c>
      <c r="F30" s="37" t="s">
        <v>269</v>
      </c>
      <c r="G30" s="42" t="s">
        <v>204</v>
      </c>
      <c r="H30" s="37" t="s">
        <v>296</v>
      </c>
      <c r="I30" s="37" t="s">
        <v>205</v>
      </c>
      <c r="J30" s="19" t="s">
        <v>2145</v>
      </c>
      <c r="K30" s="19" t="s">
        <v>118</v>
      </c>
      <c r="L30" s="19" t="s">
        <v>2181</v>
      </c>
      <c r="M30" s="19">
        <v>27</v>
      </c>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row>
    <row r="31" spans="1:53" s="20" customFormat="1" ht="15.75" x14ac:dyDescent="0.25">
      <c r="A31" s="36">
        <v>28</v>
      </c>
      <c r="B31" s="37" t="s">
        <v>268</v>
      </c>
      <c r="C31" s="38" t="s">
        <v>134</v>
      </c>
      <c r="D31" s="180" t="s">
        <v>82</v>
      </c>
      <c r="E31" s="194">
        <v>12.57</v>
      </c>
      <c r="F31" s="37" t="s">
        <v>269</v>
      </c>
      <c r="G31" s="42" t="s">
        <v>201</v>
      </c>
      <c r="H31" s="37" t="s">
        <v>297</v>
      </c>
      <c r="I31" s="37" t="s">
        <v>202</v>
      </c>
      <c r="J31" s="19" t="s">
        <v>2145</v>
      </c>
      <c r="K31" s="19" t="s">
        <v>118</v>
      </c>
      <c r="L31" s="19" t="s">
        <v>2181</v>
      </c>
      <c r="M31" s="19">
        <v>28</v>
      </c>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row>
    <row r="32" spans="1:53" s="20" customFormat="1" ht="15.75" x14ac:dyDescent="0.25">
      <c r="A32" s="36">
        <v>29</v>
      </c>
      <c r="B32" s="37" t="s">
        <v>268</v>
      </c>
      <c r="C32" s="38" t="s">
        <v>198</v>
      </c>
      <c r="D32" s="180" t="s">
        <v>83</v>
      </c>
      <c r="E32" s="194">
        <v>8.9</v>
      </c>
      <c r="F32" s="37" t="s">
        <v>269</v>
      </c>
      <c r="G32" s="42" t="s">
        <v>199</v>
      </c>
      <c r="H32" s="37" t="s">
        <v>298</v>
      </c>
      <c r="I32" s="37" t="s">
        <v>200</v>
      </c>
      <c r="J32" s="19" t="s">
        <v>2145</v>
      </c>
      <c r="K32" s="19" t="s">
        <v>118</v>
      </c>
      <c r="L32" s="19" t="s">
        <v>2181</v>
      </c>
      <c r="M32" s="19">
        <v>29</v>
      </c>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row>
    <row r="33" spans="1:53" s="20" customFormat="1" ht="15.75" x14ac:dyDescent="0.25">
      <c r="A33" s="36">
        <v>30</v>
      </c>
      <c r="B33" s="37" t="s">
        <v>268</v>
      </c>
      <c r="C33" s="38" t="s">
        <v>195</v>
      </c>
      <c r="D33" s="180" t="s">
        <v>83</v>
      </c>
      <c r="E33" s="194">
        <v>33.4</v>
      </c>
      <c r="F33" s="37" t="s">
        <v>269</v>
      </c>
      <c r="G33" s="42" t="s">
        <v>196</v>
      </c>
      <c r="H33" s="37" t="s">
        <v>299</v>
      </c>
      <c r="I33" s="37" t="s">
        <v>197</v>
      </c>
      <c r="J33" s="19" t="s">
        <v>2145</v>
      </c>
      <c r="K33" s="19" t="s">
        <v>118</v>
      </c>
      <c r="L33" s="19" t="s">
        <v>2181</v>
      </c>
      <c r="M33" s="19">
        <v>30</v>
      </c>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row>
    <row r="34" spans="1:53" s="20" customFormat="1" ht="15.75" x14ac:dyDescent="0.25">
      <c r="A34" s="36">
        <v>31</v>
      </c>
      <c r="B34" s="37" t="s">
        <v>268</v>
      </c>
      <c r="C34" s="38" t="s">
        <v>139</v>
      </c>
      <c r="D34" s="180" t="s">
        <v>83</v>
      </c>
      <c r="E34" s="194">
        <v>50.59</v>
      </c>
      <c r="F34" s="37" t="s">
        <v>269</v>
      </c>
      <c r="G34" s="42" t="s">
        <v>193</v>
      </c>
      <c r="H34" s="37" t="s">
        <v>300</v>
      </c>
      <c r="I34" s="37" t="s">
        <v>194</v>
      </c>
      <c r="J34" s="19" t="s">
        <v>2145</v>
      </c>
      <c r="K34" s="19" t="s">
        <v>118</v>
      </c>
      <c r="L34" s="19" t="s">
        <v>2181</v>
      </c>
      <c r="M34" s="19">
        <v>31</v>
      </c>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row>
    <row r="35" spans="1:53" s="20" customFormat="1" ht="15.75" x14ac:dyDescent="0.25">
      <c r="A35" s="36">
        <v>32</v>
      </c>
      <c r="B35" s="37" t="s">
        <v>268</v>
      </c>
      <c r="C35" s="38" t="s">
        <v>190</v>
      </c>
      <c r="D35" s="180" t="s">
        <v>83</v>
      </c>
      <c r="E35" s="194">
        <v>52.2</v>
      </c>
      <c r="F35" s="37" t="s">
        <v>269</v>
      </c>
      <c r="G35" s="42" t="s">
        <v>191</v>
      </c>
      <c r="H35" s="37" t="s">
        <v>301</v>
      </c>
      <c r="I35" s="37" t="s">
        <v>192</v>
      </c>
      <c r="J35" s="19" t="s">
        <v>2145</v>
      </c>
      <c r="K35" s="19" t="s">
        <v>118</v>
      </c>
      <c r="L35" s="19" t="s">
        <v>2181</v>
      </c>
      <c r="M35" s="19">
        <v>32</v>
      </c>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row>
    <row r="36" spans="1:53" s="20" customFormat="1" ht="15.75" customHeight="1" x14ac:dyDescent="0.25">
      <c r="A36" s="36">
        <v>33</v>
      </c>
      <c r="B36" s="37" t="s">
        <v>268</v>
      </c>
      <c r="C36" s="38" t="s">
        <v>187</v>
      </c>
      <c r="D36" s="180" t="s">
        <v>83</v>
      </c>
      <c r="E36" s="194">
        <v>210</v>
      </c>
      <c r="F36" s="37" t="s">
        <v>269</v>
      </c>
      <c r="G36" s="42" t="s">
        <v>188</v>
      </c>
      <c r="H36" s="37" t="s">
        <v>301</v>
      </c>
      <c r="I36" s="39" t="s">
        <v>189</v>
      </c>
      <c r="J36" s="19" t="s">
        <v>2147</v>
      </c>
      <c r="K36" s="19" t="s">
        <v>118</v>
      </c>
      <c r="L36" s="19" t="s">
        <v>2181</v>
      </c>
      <c r="M36" s="19">
        <v>33</v>
      </c>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row>
    <row r="37" spans="1:53" s="20" customFormat="1" ht="15.75" x14ac:dyDescent="0.25">
      <c r="A37" s="40">
        <v>34</v>
      </c>
      <c r="B37" s="35" t="s">
        <v>268</v>
      </c>
      <c r="C37" s="41" t="s">
        <v>134</v>
      </c>
      <c r="D37" s="181" t="s">
        <v>83</v>
      </c>
      <c r="E37" s="195">
        <v>27.82</v>
      </c>
      <c r="F37" s="35" t="s">
        <v>269</v>
      </c>
      <c r="G37" s="42" t="s">
        <v>185</v>
      </c>
      <c r="H37" s="35" t="s">
        <v>303</v>
      </c>
      <c r="I37" s="35" t="s">
        <v>186</v>
      </c>
      <c r="J37" s="19" t="s">
        <v>2145</v>
      </c>
      <c r="K37" s="19" t="s">
        <v>118</v>
      </c>
      <c r="L37" s="19" t="s">
        <v>2181</v>
      </c>
      <c r="M37" s="19">
        <v>34</v>
      </c>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row>
    <row r="38" spans="1:53" s="20" customFormat="1" ht="15.75" x14ac:dyDescent="0.25">
      <c r="A38" s="36">
        <v>35</v>
      </c>
      <c r="B38" s="37" t="s">
        <v>268</v>
      </c>
      <c r="C38" s="38" t="s">
        <v>155</v>
      </c>
      <c r="D38" s="180" t="s">
        <v>83</v>
      </c>
      <c r="E38" s="194">
        <v>27.98</v>
      </c>
      <c r="F38" s="37" t="s">
        <v>269</v>
      </c>
      <c r="G38" s="42" t="s">
        <v>183</v>
      </c>
      <c r="H38" s="37" t="s">
        <v>304</v>
      </c>
      <c r="I38" s="37" t="s">
        <v>184</v>
      </c>
      <c r="J38" s="19" t="s">
        <v>2145</v>
      </c>
      <c r="K38" s="19" t="s">
        <v>118</v>
      </c>
      <c r="L38" s="19" t="s">
        <v>2181</v>
      </c>
      <c r="M38" s="19">
        <v>35</v>
      </c>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row>
    <row r="39" spans="1:53" s="20" customFormat="1" ht="15.75" x14ac:dyDescent="0.25">
      <c r="A39" s="36">
        <v>36</v>
      </c>
      <c r="B39" s="37" t="s">
        <v>268</v>
      </c>
      <c r="C39" s="38" t="s">
        <v>180</v>
      </c>
      <c r="D39" s="180" t="s">
        <v>84</v>
      </c>
      <c r="E39" s="194">
        <v>33.4</v>
      </c>
      <c r="F39" s="37" t="s">
        <v>269</v>
      </c>
      <c r="G39" s="42" t="s">
        <v>181</v>
      </c>
      <c r="H39" s="37" t="s">
        <v>305</v>
      </c>
      <c r="I39" s="37" t="s">
        <v>182</v>
      </c>
      <c r="J39" s="19" t="s">
        <v>2145</v>
      </c>
      <c r="K39" s="19" t="s">
        <v>118</v>
      </c>
      <c r="L39" s="19" t="s">
        <v>2181</v>
      </c>
      <c r="M39" s="19">
        <v>36</v>
      </c>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row>
    <row r="40" spans="1:53" s="20" customFormat="1" ht="15.75" x14ac:dyDescent="0.25">
      <c r="A40" s="36">
        <v>37</v>
      </c>
      <c r="B40" s="37" t="s">
        <v>268</v>
      </c>
      <c r="C40" s="38" t="s">
        <v>139</v>
      </c>
      <c r="D40" s="180" t="s">
        <v>84</v>
      </c>
      <c r="E40" s="194">
        <v>38.53</v>
      </c>
      <c r="F40" s="37" t="s">
        <v>269</v>
      </c>
      <c r="G40" s="42" t="s">
        <v>178</v>
      </c>
      <c r="H40" s="37" t="s">
        <v>306</v>
      </c>
      <c r="I40" s="37" t="s">
        <v>179</v>
      </c>
      <c r="J40" s="19" t="s">
        <v>2145</v>
      </c>
      <c r="K40" s="19" t="s">
        <v>118</v>
      </c>
      <c r="L40" s="19" t="s">
        <v>2181</v>
      </c>
      <c r="M40" s="19">
        <v>37</v>
      </c>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row>
    <row r="41" spans="1:53" s="20" customFormat="1" ht="15.75" x14ac:dyDescent="0.25">
      <c r="A41" s="36">
        <v>38</v>
      </c>
      <c r="B41" s="37" t="s">
        <v>268</v>
      </c>
      <c r="C41" s="38" t="s">
        <v>134</v>
      </c>
      <c r="D41" s="180" t="s">
        <v>84</v>
      </c>
      <c r="E41" s="194">
        <v>46.45</v>
      </c>
      <c r="F41" s="37" t="s">
        <v>269</v>
      </c>
      <c r="G41" s="42" t="s">
        <v>176</v>
      </c>
      <c r="H41" s="37" t="s">
        <v>307</v>
      </c>
      <c r="I41" s="37" t="s">
        <v>177</v>
      </c>
      <c r="J41" s="19" t="s">
        <v>2145</v>
      </c>
      <c r="K41" s="19" t="s">
        <v>118</v>
      </c>
      <c r="L41" s="19" t="s">
        <v>2181</v>
      </c>
      <c r="M41" s="19">
        <v>38</v>
      </c>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row>
    <row r="42" spans="1:53" s="20" customFormat="1" ht="15.75" x14ac:dyDescent="0.25">
      <c r="A42" s="36">
        <v>39</v>
      </c>
      <c r="B42" s="37" t="s">
        <v>268</v>
      </c>
      <c r="C42" s="38" t="s">
        <v>134</v>
      </c>
      <c r="D42" s="180" t="s">
        <v>84</v>
      </c>
      <c r="E42" s="194">
        <v>19.89</v>
      </c>
      <c r="F42" s="37" t="s">
        <v>269</v>
      </c>
      <c r="G42" s="42" t="s">
        <v>174</v>
      </c>
      <c r="H42" s="37" t="s">
        <v>308</v>
      </c>
      <c r="I42" s="37" t="s">
        <v>175</v>
      </c>
      <c r="J42" s="19" t="s">
        <v>2145</v>
      </c>
      <c r="K42" s="19" t="s">
        <v>118</v>
      </c>
      <c r="L42" s="19" t="s">
        <v>2181</v>
      </c>
      <c r="M42" s="19">
        <v>39</v>
      </c>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row>
    <row r="43" spans="1:53" s="20" customFormat="1" ht="15.75" x14ac:dyDescent="0.25">
      <c r="A43" s="36">
        <v>40</v>
      </c>
      <c r="B43" s="37" t="s">
        <v>268</v>
      </c>
      <c r="C43" s="38" t="s">
        <v>139</v>
      </c>
      <c r="D43" s="180" t="s">
        <v>84</v>
      </c>
      <c r="E43" s="194">
        <v>98.22</v>
      </c>
      <c r="F43" s="37" t="s">
        <v>269</v>
      </c>
      <c r="G43" s="42" t="s">
        <v>172</v>
      </c>
      <c r="H43" s="37" t="s">
        <v>309</v>
      </c>
      <c r="I43" s="37" t="s">
        <v>173</v>
      </c>
      <c r="J43" s="19" t="s">
        <v>2145</v>
      </c>
      <c r="K43" s="19" t="s">
        <v>118</v>
      </c>
      <c r="L43" s="19" t="s">
        <v>2181</v>
      </c>
      <c r="M43" s="19">
        <v>40</v>
      </c>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row>
    <row r="44" spans="1:53" s="20" customFormat="1" ht="15.75" x14ac:dyDescent="0.25">
      <c r="A44" s="36">
        <v>41</v>
      </c>
      <c r="B44" s="37" t="s">
        <v>268</v>
      </c>
      <c r="C44" s="38" t="s">
        <v>134</v>
      </c>
      <c r="D44" s="180" t="s">
        <v>84</v>
      </c>
      <c r="E44" s="194">
        <v>7</v>
      </c>
      <c r="F44" s="37" t="s">
        <v>269</v>
      </c>
      <c r="G44" s="42" t="s">
        <v>170</v>
      </c>
      <c r="H44" s="37" t="s">
        <v>308</v>
      </c>
      <c r="I44" s="37" t="s">
        <v>171</v>
      </c>
      <c r="J44" s="19" t="s">
        <v>2145</v>
      </c>
      <c r="K44" s="19" t="s">
        <v>118</v>
      </c>
      <c r="L44" s="19" t="s">
        <v>2181</v>
      </c>
      <c r="M44" s="19">
        <v>41</v>
      </c>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row>
    <row r="45" spans="1:53" s="20" customFormat="1" ht="15.75" x14ac:dyDescent="0.25">
      <c r="A45" s="36">
        <v>42</v>
      </c>
      <c r="B45" s="37" t="s">
        <v>268</v>
      </c>
      <c r="C45" s="38" t="s">
        <v>167</v>
      </c>
      <c r="D45" s="180" t="s">
        <v>84</v>
      </c>
      <c r="E45" s="194">
        <v>150</v>
      </c>
      <c r="F45" s="37" t="s">
        <v>269</v>
      </c>
      <c r="G45" s="42" t="s">
        <v>168</v>
      </c>
      <c r="H45" s="37" t="s">
        <v>310</v>
      </c>
      <c r="I45" s="39" t="s">
        <v>169</v>
      </c>
      <c r="J45" s="19" t="s">
        <v>2144</v>
      </c>
      <c r="K45" s="19" t="s">
        <v>118</v>
      </c>
      <c r="L45" s="19" t="s">
        <v>2181</v>
      </c>
      <c r="M45" s="19">
        <v>42</v>
      </c>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row>
    <row r="46" spans="1:53" s="20" customFormat="1" ht="15.75" x14ac:dyDescent="0.25">
      <c r="A46" s="36">
        <v>43</v>
      </c>
      <c r="B46" s="37" t="s">
        <v>268</v>
      </c>
      <c r="C46" s="38" t="s">
        <v>147</v>
      </c>
      <c r="D46" s="180" t="s">
        <v>84</v>
      </c>
      <c r="E46" s="194">
        <v>14.69</v>
      </c>
      <c r="F46" s="37" t="s">
        <v>269</v>
      </c>
      <c r="G46" s="42" t="s">
        <v>165</v>
      </c>
      <c r="H46" s="37" t="s">
        <v>311</v>
      </c>
      <c r="I46" s="39" t="s">
        <v>166</v>
      </c>
      <c r="J46" s="19" t="s">
        <v>2145</v>
      </c>
      <c r="K46" s="19" t="s">
        <v>118</v>
      </c>
      <c r="L46" s="19" t="s">
        <v>2181</v>
      </c>
      <c r="M46" s="19">
        <v>43</v>
      </c>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row>
    <row r="47" spans="1:53" s="20" customFormat="1" ht="15.75" x14ac:dyDescent="0.25">
      <c r="A47" s="36">
        <v>44</v>
      </c>
      <c r="B47" s="37" t="s">
        <v>268</v>
      </c>
      <c r="C47" s="38" t="s">
        <v>162</v>
      </c>
      <c r="D47" s="180" t="s">
        <v>84</v>
      </c>
      <c r="E47" s="194">
        <v>36.119999999999997</v>
      </c>
      <c r="F47" s="37" t="s">
        <v>269</v>
      </c>
      <c r="G47" s="42" t="s">
        <v>163</v>
      </c>
      <c r="H47" s="37" t="s">
        <v>311</v>
      </c>
      <c r="I47" s="37" t="s">
        <v>164</v>
      </c>
      <c r="J47" s="19" t="s">
        <v>2144</v>
      </c>
      <c r="K47" s="19" t="s">
        <v>118</v>
      </c>
      <c r="L47" s="19" t="s">
        <v>2181</v>
      </c>
      <c r="M47" s="19">
        <v>44</v>
      </c>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row>
    <row r="48" spans="1:53" s="20" customFormat="1" ht="15.75" x14ac:dyDescent="0.25">
      <c r="A48" s="36">
        <v>45</v>
      </c>
      <c r="B48" s="37" t="s">
        <v>268</v>
      </c>
      <c r="C48" s="38" t="s">
        <v>139</v>
      </c>
      <c r="D48" s="180" t="s">
        <v>84</v>
      </c>
      <c r="E48" s="194">
        <v>167.28</v>
      </c>
      <c r="F48" s="37" t="s">
        <v>269</v>
      </c>
      <c r="G48" s="42" t="s">
        <v>160</v>
      </c>
      <c r="H48" s="37" t="s">
        <v>311</v>
      </c>
      <c r="I48" s="37" t="s">
        <v>161</v>
      </c>
      <c r="J48" s="19" t="s">
        <v>2145</v>
      </c>
      <c r="K48" s="19" t="s">
        <v>118</v>
      </c>
      <c r="L48" s="19" t="s">
        <v>2181</v>
      </c>
      <c r="M48" s="19">
        <v>45</v>
      </c>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row>
    <row r="49" spans="1:53" s="20" customFormat="1" ht="15.75" x14ac:dyDescent="0.25">
      <c r="A49" s="36">
        <v>46</v>
      </c>
      <c r="B49" s="37" t="s">
        <v>268</v>
      </c>
      <c r="C49" s="38" t="s">
        <v>147</v>
      </c>
      <c r="D49" s="180" t="s">
        <v>146</v>
      </c>
      <c r="E49" s="194">
        <v>28.89</v>
      </c>
      <c r="F49" s="37" t="s">
        <v>269</v>
      </c>
      <c r="G49" s="42" t="s">
        <v>158</v>
      </c>
      <c r="H49" s="37" t="s">
        <v>313</v>
      </c>
      <c r="I49" s="37" t="s">
        <v>159</v>
      </c>
      <c r="J49" s="19" t="s">
        <v>2145</v>
      </c>
      <c r="K49" s="19" t="s">
        <v>118</v>
      </c>
      <c r="L49" s="19" t="s">
        <v>2181</v>
      </c>
      <c r="M49" s="19">
        <v>46</v>
      </c>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row>
    <row r="50" spans="1:53" s="20" customFormat="1" ht="15.75" x14ac:dyDescent="0.25">
      <c r="A50" s="36">
        <v>47</v>
      </c>
      <c r="B50" s="37" t="s">
        <v>268</v>
      </c>
      <c r="C50" s="38" t="s">
        <v>155</v>
      </c>
      <c r="D50" s="180" t="s">
        <v>146</v>
      </c>
      <c r="E50" s="194">
        <v>50.97</v>
      </c>
      <c r="F50" s="37" t="s">
        <v>269</v>
      </c>
      <c r="G50" s="42" t="s">
        <v>156</v>
      </c>
      <c r="H50" s="37" t="s">
        <v>314</v>
      </c>
      <c r="I50" s="37" t="s">
        <v>157</v>
      </c>
      <c r="J50" s="19" t="s">
        <v>2145</v>
      </c>
      <c r="K50" s="19" t="s">
        <v>118</v>
      </c>
      <c r="L50" s="19" t="s">
        <v>2181</v>
      </c>
      <c r="M50" s="19">
        <v>47</v>
      </c>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row>
    <row r="51" spans="1:53" s="20" customFormat="1" ht="15.75" x14ac:dyDescent="0.25">
      <c r="A51" s="36">
        <v>48</v>
      </c>
      <c r="B51" s="37" t="s">
        <v>268</v>
      </c>
      <c r="C51" s="38" t="s">
        <v>147</v>
      </c>
      <c r="D51" s="180" t="s">
        <v>146</v>
      </c>
      <c r="E51" s="194">
        <v>20.98</v>
      </c>
      <c r="F51" s="37" t="s">
        <v>269</v>
      </c>
      <c r="G51" s="42" t="s">
        <v>153</v>
      </c>
      <c r="H51" s="37" t="s">
        <v>315</v>
      </c>
      <c r="I51" s="37" t="s">
        <v>154</v>
      </c>
      <c r="J51" s="19" t="s">
        <v>2145</v>
      </c>
      <c r="K51" s="19" t="s">
        <v>118</v>
      </c>
      <c r="L51" s="19" t="s">
        <v>2181</v>
      </c>
      <c r="M51" s="19">
        <v>48</v>
      </c>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row>
    <row r="52" spans="1:53" s="20" customFormat="1" ht="15.75" x14ac:dyDescent="0.25">
      <c r="A52" s="36">
        <v>49</v>
      </c>
      <c r="B52" s="37" t="s">
        <v>268</v>
      </c>
      <c r="C52" s="38" t="s">
        <v>150</v>
      </c>
      <c r="D52" s="180" t="s">
        <v>146</v>
      </c>
      <c r="E52" s="194">
        <v>22.28</v>
      </c>
      <c r="F52" s="37" t="s">
        <v>269</v>
      </c>
      <c r="G52" s="42" t="s">
        <v>151</v>
      </c>
      <c r="H52" s="37" t="s">
        <v>316</v>
      </c>
      <c r="I52" s="37" t="s">
        <v>152</v>
      </c>
      <c r="J52" s="19" t="s">
        <v>2145</v>
      </c>
      <c r="K52" s="19" t="s">
        <v>118</v>
      </c>
      <c r="L52" s="19" t="s">
        <v>2181</v>
      </c>
      <c r="M52" s="19">
        <v>49</v>
      </c>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row>
    <row r="53" spans="1:53" s="20" customFormat="1" ht="15.75" x14ac:dyDescent="0.25">
      <c r="A53" s="36">
        <v>50</v>
      </c>
      <c r="B53" s="37" t="s">
        <v>268</v>
      </c>
      <c r="C53" s="38" t="s">
        <v>147</v>
      </c>
      <c r="D53" s="180" t="s">
        <v>146</v>
      </c>
      <c r="E53" s="194">
        <v>39.26</v>
      </c>
      <c r="F53" s="37" t="s">
        <v>269</v>
      </c>
      <c r="G53" s="42" t="s">
        <v>148</v>
      </c>
      <c r="H53" s="37" t="s">
        <v>317</v>
      </c>
      <c r="I53" s="37" t="s">
        <v>149</v>
      </c>
      <c r="J53" s="19" t="s">
        <v>2145</v>
      </c>
      <c r="K53" s="19" t="s">
        <v>118</v>
      </c>
      <c r="L53" s="19" t="s">
        <v>2181</v>
      </c>
      <c r="M53" s="19">
        <v>50</v>
      </c>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row>
    <row r="54" spans="1:53" s="20" customFormat="1" ht="15.75" x14ac:dyDescent="0.25">
      <c r="A54" s="36">
        <v>51</v>
      </c>
      <c r="B54" s="37" t="s">
        <v>268</v>
      </c>
      <c r="C54" s="38" t="s">
        <v>139</v>
      </c>
      <c r="D54" s="180" t="s">
        <v>86</v>
      </c>
      <c r="E54" s="194">
        <v>34.56</v>
      </c>
      <c r="F54" s="37" t="s">
        <v>269</v>
      </c>
      <c r="G54" s="42" t="s">
        <v>144</v>
      </c>
      <c r="H54" s="37" t="s">
        <v>318</v>
      </c>
      <c r="I54" s="37" t="s">
        <v>145</v>
      </c>
      <c r="J54" s="19" t="s">
        <v>2145</v>
      </c>
      <c r="K54" s="19" t="s">
        <v>118</v>
      </c>
      <c r="L54" s="19" t="s">
        <v>2181</v>
      </c>
      <c r="M54" s="19">
        <v>51</v>
      </c>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row>
    <row r="55" spans="1:53" s="20" customFormat="1" ht="15.75" x14ac:dyDescent="0.25">
      <c r="A55" s="36">
        <v>52</v>
      </c>
      <c r="B55" s="37" t="s">
        <v>268</v>
      </c>
      <c r="C55" s="38" t="s">
        <v>134</v>
      </c>
      <c r="D55" s="180" t="s">
        <v>86</v>
      </c>
      <c r="E55" s="194">
        <v>7.9</v>
      </c>
      <c r="F55" s="37" t="s">
        <v>269</v>
      </c>
      <c r="G55" s="42" t="s">
        <v>142</v>
      </c>
      <c r="H55" s="37" t="s">
        <v>319</v>
      </c>
      <c r="I55" s="37" t="s">
        <v>143</v>
      </c>
      <c r="J55" s="19" t="s">
        <v>2145</v>
      </c>
      <c r="K55" s="19" t="s">
        <v>118</v>
      </c>
      <c r="L55" s="19" t="s">
        <v>2181</v>
      </c>
      <c r="M55" s="19">
        <v>52</v>
      </c>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row>
    <row r="56" spans="1:53" s="20" customFormat="1" ht="15.75" x14ac:dyDescent="0.25">
      <c r="A56" s="36">
        <v>53</v>
      </c>
      <c r="B56" s="37" t="s">
        <v>268</v>
      </c>
      <c r="C56" s="38" t="s">
        <v>139</v>
      </c>
      <c r="D56" s="180" t="s">
        <v>86</v>
      </c>
      <c r="E56" s="194">
        <v>76.510000000000005</v>
      </c>
      <c r="F56" s="37" t="s">
        <v>269</v>
      </c>
      <c r="G56" s="42" t="s">
        <v>140</v>
      </c>
      <c r="H56" s="37" t="s">
        <v>320</v>
      </c>
      <c r="I56" s="37" t="s">
        <v>141</v>
      </c>
      <c r="J56" s="19" t="s">
        <v>2145</v>
      </c>
      <c r="K56" s="19" t="s">
        <v>118</v>
      </c>
      <c r="L56" s="19" t="s">
        <v>2181</v>
      </c>
      <c r="M56" s="19">
        <v>53</v>
      </c>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row>
    <row r="57" spans="1:53" s="20" customFormat="1" ht="15.75" x14ac:dyDescent="0.25">
      <c r="A57" s="36">
        <v>54</v>
      </c>
      <c r="B57" s="37" t="s">
        <v>268</v>
      </c>
      <c r="C57" s="38" t="s">
        <v>136</v>
      </c>
      <c r="D57" s="180" t="s">
        <v>135</v>
      </c>
      <c r="E57" s="194">
        <v>200</v>
      </c>
      <c r="F57" s="37" t="s">
        <v>269</v>
      </c>
      <c r="G57" s="42" t="s">
        <v>137</v>
      </c>
      <c r="H57" s="37" t="s">
        <v>321</v>
      </c>
      <c r="I57" s="37" t="s">
        <v>138</v>
      </c>
      <c r="J57" s="19" t="s">
        <v>2150</v>
      </c>
      <c r="K57" s="19" t="s">
        <v>118</v>
      </c>
      <c r="L57" s="19" t="s">
        <v>2182</v>
      </c>
      <c r="M57" s="19">
        <v>54</v>
      </c>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row>
    <row r="58" spans="1:53" s="20" customFormat="1" ht="15.75" x14ac:dyDescent="0.25">
      <c r="A58" s="131">
        <v>55</v>
      </c>
      <c r="B58" s="132" t="s">
        <v>953</v>
      </c>
      <c r="C58" s="135" t="s">
        <v>945</v>
      </c>
      <c r="D58" s="182" t="s">
        <v>264</v>
      </c>
      <c r="E58" s="196">
        <v>201.04</v>
      </c>
      <c r="F58" s="132" t="s">
        <v>269</v>
      </c>
      <c r="G58" s="42" t="s">
        <v>951</v>
      </c>
      <c r="H58" s="132" t="s">
        <v>954</v>
      </c>
      <c r="I58" s="130" t="s">
        <v>952</v>
      </c>
      <c r="J58" s="19" t="s">
        <v>2154</v>
      </c>
      <c r="K58" s="19" t="s">
        <v>118</v>
      </c>
      <c r="L58" s="19" t="s">
        <v>2181</v>
      </c>
      <c r="M58" s="19">
        <v>55</v>
      </c>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row>
    <row r="59" spans="1:53" s="20" customFormat="1" ht="15.75" x14ac:dyDescent="0.25">
      <c r="A59" s="131">
        <v>56</v>
      </c>
      <c r="B59" s="132" t="s">
        <v>984</v>
      </c>
      <c r="C59" s="135" t="s">
        <v>959</v>
      </c>
      <c r="D59" s="182" t="s">
        <v>80</v>
      </c>
      <c r="E59" s="196">
        <v>61.7</v>
      </c>
      <c r="F59" s="132" t="s">
        <v>269</v>
      </c>
      <c r="G59" s="42" t="s">
        <v>980</v>
      </c>
      <c r="H59" s="132" t="s">
        <v>985</v>
      </c>
      <c r="I59" s="130" t="s">
        <v>981</v>
      </c>
      <c r="J59" s="19" t="s">
        <v>2161</v>
      </c>
      <c r="K59" s="19" t="s">
        <v>118</v>
      </c>
      <c r="L59" s="19" t="s">
        <v>2181</v>
      </c>
      <c r="M59" s="19">
        <v>56</v>
      </c>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row>
    <row r="60" spans="1:53" s="20" customFormat="1" ht="15.75" x14ac:dyDescent="0.25">
      <c r="A60" s="131">
        <v>57</v>
      </c>
      <c r="B60" s="132" t="s">
        <v>984</v>
      </c>
      <c r="C60" s="135" t="s">
        <v>959</v>
      </c>
      <c r="D60" s="182" t="s">
        <v>81</v>
      </c>
      <c r="E60" s="196">
        <v>62.26</v>
      </c>
      <c r="F60" s="132" t="s">
        <v>269</v>
      </c>
      <c r="G60" s="42" t="s">
        <v>978</v>
      </c>
      <c r="H60" s="132" t="s">
        <v>986</v>
      </c>
      <c r="I60" s="130" t="s">
        <v>979</v>
      </c>
      <c r="J60" s="19" t="s">
        <v>2161</v>
      </c>
      <c r="K60" s="19" t="s">
        <v>118</v>
      </c>
      <c r="L60" s="19" t="s">
        <v>2181</v>
      </c>
      <c r="M60" s="19">
        <v>57</v>
      </c>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row>
    <row r="61" spans="1:53" s="20" customFormat="1" ht="15.75" x14ac:dyDescent="0.25">
      <c r="A61" s="131">
        <v>58</v>
      </c>
      <c r="B61" s="132" t="s">
        <v>984</v>
      </c>
      <c r="C61" s="135" t="s">
        <v>982</v>
      </c>
      <c r="D61" s="182" t="s">
        <v>82</v>
      </c>
      <c r="E61" s="196">
        <v>99</v>
      </c>
      <c r="F61" s="132" t="s">
        <v>269</v>
      </c>
      <c r="G61" s="42" t="s">
        <v>976</v>
      </c>
      <c r="H61" s="132" t="s">
        <v>987</v>
      </c>
      <c r="I61" s="130" t="s">
        <v>977</v>
      </c>
      <c r="J61" s="19" t="s">
        <v>2161</v>
      </c>
      <c r="K61" s="19" t="s">
        <v>118</v>
      </c>
      <c r="L61" s="19" t="s">
        <v>2181</v>
      </c>
      <c r="M61" s="19">
        <v>58</v>
      </c>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row>
    <row r="62" spans="1:53" s="20" customFormat="1" ht="15.75" x14ac:dyDescent="0.25">
      <c r="A62" s="36">
        <v>59</v>
      </c>
      <c r="B62" s="37" t="s">
        <v>363</v>
      </c>
      <c r="C62" s="38" t="s">
        <v>360</v>
      </c>
      <c r="D62" s="180" t="s">
        <v>80</v>
      </c>
      <c r="E62" s="194">
        <v>20</v>
      </c>
      <c r="F62" s="37" t="s">
        <v>269</v>
      </c>
      <c r="G62" s="42" t="s">
        <v>361</v>
      </c>
      <c r="H62" s="37" t="s">
        <v>365</v>
      </c>
      <c r="I62" s="37" t="s">
        <v>362</v>
      </c>
      <c r="J62" s="19" t="s">
        <v>2156</v>
      </c>
      <c r="K62" s="19" t="s">
        <v>118</v>
      </c>
      <c r="L62" s="19" t="s">
        <v>2181</v>
      </c>
      <c r="M62" s="19">
        <v>59</v>
      </c>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row>
    <row r="63" spans="1:53" s="20" customFormat="1" ht="15.75" x14ac:dyDescent="0.25">
      <c r="A63" s="36">
        <v>60</v>
      </c>
      <c r="B63" s="37" t="s">
        <v>363</v>
      </c>
      <c r="C63" s="38" t="s">
        <v>349</v>
      </c>
      <c r="D63" s="180" t="s">
        <v>82</v>
      </c>
      <c r="E63" s="194">
        <v>95.8</v>
      </c>
      <c r="F63" s="37" t="s">
        <v>269</v>
      </c>
      <c r="G63" s="42" t="s">
        <v>358</v>
      </c>
      <c r="H63" s="37" t="s">
        <v>366</v>
      </c>
      <c r="I63" s="37" t="s">
        <v>359</v>
      </c>
      <c r="J63" s="19" t="s">
        <v>2156</v>
      </c>
      <c r="K63" s="19" t="s">
        <v>118</v>
      </c>
      <c r="L63" s="19" t="s">
        <v>2181</v>
      </c>
      <c r="M63" s="19">
        <v>60</v>
      </c>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row>
    <row r="64" spans="1:53" s="20" customFormat="1" ht="15.75" x14ac:dyDescent="0.25">
      <c r="A64" s="36">
        <v>61</v>
      </c>
      <c r="B64" s="37" t="s">
        <v>363</v>
      </c>
      <c r="C64" s="38" t="s">
        <v>355</v>
      </c>
      <c r="D64" s="180" t="s">
        <v>82</v>
      </c>
      <c r="E64" s="194">
        <v>140</v>
      </c>
      <c r="F64" s="37" t="s">
        <v>269</v>
      </c>
      <c r="G64" s="42" t="s">
        <v>356</v>
      </c>
      <c r="H64" s="37" t="s">
        <v>367</v>
      </c>
      <c r="I64" s="37" t="s">
        <v>357</v>
      </c>
      <c r="J64" s="19" t="s">
        <v>2156</v>
      </c>
      <c r="K64" s="19" t="s">
        <v>118</v>
      </c>
      <c r="L64" s="19" t="s">
        <v>2181</v>
      </c>
      <c r="M64" s="19">
        <v>61</v>
      </c>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row>
    <row r="65" spans="1:53" s="20" customFormat="1" ht="15.75" x14ac:dyDescent="0.25">
      <c r="A65" s="36">
        <v>62</v>
      </c>
      <c r="B65" s="37" t="s">
        <v>363</v>
      </c>
      <c r="C65" s="38" t="s">
        <v>352</v>
      </c>
      <c r="D65" s="180" t="s">
        <v>83</v>
      </c>
      <c r="E65" s="194">
        <v>70</v>
      </c>
      <c r="F65" s="37" t="s">
        <v>269</v>
      </c>
      <c r="G65" s="42" t="s">
        <v>353</v>
      </c>
      <c r="H65" s="37" t="s">
        <v>368</v>
      </c>
      <c r="I65" s="37" t="s">
        <v>354</v>
      </c>
      <c r="J65" s="19" t="s">
        <v>2156</v>
      </c>
      <c r="K65" s="19" t="s">
        <v>118</v>
      </c>
      <c r="L65" s="19" t="s">
        <v>2181</v>
      </c>
      <c r="M65" s="19">
        <v>62</v>
      </c>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row>
    <row r="66" spans="1:53" s="20" customFormat="1" ht="15.75" x14ac:dyDescent="0.25">
      <c r="A66" s="36">
        <v>63</v>
      </c>
      <c r="B66" s="37" t="s">
        <v>363</v>
      </c>
      <c r="C66" s="38" t="s">
        <v>349</v>
      </c>
      <c r="D66" s="180" t="s">
        <v>83</v>
      </c>
      <c r="E66" s="194">
        <v>139.9</v>
      </c>
      <c r="F66" s="37" t="s">
        <v>269</v>
      </c>
      <c r="G66" s="42" t="s">
        <v>350</v>
      </c>
      <c r="H66" s="37" t="s">
        <v>369</v>
      </c>
      <c r="I66" s="37" t="s">
        <v>351</v>
      </c>
      <c r="J66" s="19" t="s">
        <v>2156</v>
      </c>
      <c r="K66" s="19" t="s">
        <v>118</v>
      </c>
      <c r="L66" s="19" t="s">
        <v>2181</v>
      </c>
      <c r="M66" s="19">
        <v>63</v>
      </c>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row>
    <row r="67" spans="1:53" s="20" customFormat="1" ht="15.75" x14ac:dyDescent="0.25">
      <c r="A67" s="36">
        <v>64</v>
      </c>
      <c r="B67" s="37" t="s">
        <v>363</v>
      </c>
      <c r="C67" s="38" t="s">
        <v>346</v>
      </c>
      <c r="D67" s="180" t="s">
        <v>83</v>
      </c>
      <c r="E67" s="194">
        <v>79.989999999999995</v>
      </c>
      <c r="F67" s="37" t="s">
        <v>269</v>
      </c>
      <c r="G67" s="42" t="s">
        <v>347</v>
      </c>
      <c r="H67" s="37" t="s">
        <v>369</v>
      </c>
      <c r="I67" s="39" t="s">
        <v>348</v>
      </c>
      <c r="J67" s="19" t="s">
        <v>2156</v>
      </c>
      <c r="K67" s="19" t="s">
        <v>118</v>
      </c>
      <c r="L67" s="19" t="s">
        <v>2181</v>
      </c>
      <c r="M67" s="19">
        <v>64</v>
      </c>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row>
    <row r="68" spans="1:53" s="20" customFormat="1" ht="15.75" x14ac:dyDescent="0.25">
      <c r="A68" s="36">
        <v>65</v>
      </c>
      <c r="B68" s="37" t="s">
        <v>363</v>
      </c>
      <c r="C68" s="38" t="s">
        <v>343</v>
      </c>
      <c r="D68" s="180" t="s">
        <v>84</v>
      </c>
      <c r="E68" s="194">
        <v>85</v>
      </c>
      <c r="F68" s="37" t="s">
        <v>269</v>
      </c>
      <c r="G68" s="42" t="s">
        <v>344</v>
      </c>
      <c r="H68" s="37" t="s">
        <v>370</v>
      </c>
      <c r="I68" s="37" t="s">
        <v>345</v>
      </c>
      <c r="J68" s="19" t="s">
        <v>2156</v>
      </c>
      <c r="K68" s="19" t="s">
        <v>118</v>
      </c>
      <c r="L68" s="19" t="s">
        <v>2181</v>
      </c>
      <c r="M68" s="19">
        <v>65</v>
      </c>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row>
    <row r="69" spans="1:53" s="20" customFormat="1" ht="15.75" x14ac:dyDescent="0.25">
      <c r="A69" s="36">
        <v>66</v>
      </c>
      <c r="B69" s="37" t="s">
        <v>363</v>
      </c>
      <c r="C69" s="38" t="s">
        <v>340</v>
      </c>
      <c r="D69" s="180" t="s">
        <v>84</v>
      </c>
      <c r="E69" s="194">
        <v>52</v>
      </c>
      <c r="F69" s="37" t="s">
        <v>269</v>
      </c>
      <c r="G69" s="42" t="s">
        <v>341</v>
      </c>
      <c r="H69" s="37" t="s">
        <v>371</v>
      </c>
      <c r="I69" s="37" t="s">
        <v>342</v>
      </c>
      <c r="J69" s="19" t="s">
        <v>2156</v>
      </c>
      <c r="K69" s="19" t="s">
        <v>118</v>
      </c>
      <c r="L69" s="19" t="s">
        <v>2181</v>
      </c>
      <c r="M69" s="19">
        <v>66</v>
      </c>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row>
    <row r="70" spans="1:53" s="20" customFormat="1" ht="15.75" x14ac:dyDescent="0.25">
      <c r="A70" s="36">
        <v>67</v>
      </c>
      <c r="B70" s="37" t="s">
        <v>363</v>
      </c>
      <c r="C70" s="38" t="s">
        <v>337</v>
      </c>
      <c r="D70" s="180" t="s">
        <v>146</v>
      </c>
      <c r="E70" s="194">
        <v>79.900000000000006</v>
      </c>
      <c r="F70" s="37" t="s">
        <v>269</v>
      </c>
      <c r="G70" s="42" t="s">
        <v>338</v>
      </c>
      <c r="H70" s="37" t="s">
        <v>372</v>
      </c>
      <c r="I70" s="37" t="s">
        <v>339</v>
      </c>
      <c r="J70" s="19" t="s">
        <v>2156</v>
      </c>
      <c r="K70" s="19" t="s">
        <v>118</v>
      </c>
      <c r="L70" s="19" t="s">
        <v>2181</v>
      </c>
      <c r="M70" s="19">
        <v>67</v>
      </c>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row>
    <row r="71" spans="1:53" s="20" customFormat="1" ht="15.75" x14ac:dyDescent="0.25">
      <c r="A71" s="36">
        <v>68</v>
      </c>
      <c r="B71" s="37" t="s">
        <v>363</v>
      </c>
      <c r="C71" s="38" t="s">
        <v>334</v>
      </c>
      <c r="D71" s="180" t="s">
        <v>86</v>
      </c>
      <c r="E71" s="194">
        <v>450</v>
      </c>
      <c r="F71" s="37" t="s">
        <v>269</v>
      </c>
      <c r="G71" s="42" t="s">
        <v>335</v>
      </c>
      <c r="H71" s="37" t="s">
        <v>373</v>
      </c>
      <c r="I71" s="37" t="s">
        <v>336</v>
      </c>
      <c r="J71" s="19" t="s">
        <v>2160</v>
      </c>
      <c r="K71" s="19" t="s">
        <v>118</v>
      </c>
      <c r="L71" s="19" t="s">
        <v>2181</v>
      </c>
      <c r="M71" s="19">
        <v>68</v>
      </c>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row>
    <row r="72" spans="1:53" s="20" customFormat="1" ht="15.75" x14ac:dyDescent="0.25">
      <c r="A72" s="36">
        <v>69</v>
      </c>
      <c r="B72" s="37" t="s">
        <v>363</v>
      </c>
      <c r="C72" s="38" t="s">
        <v>331</v>
      </c>
      <c r="D72" s="180" t="s">
        <v>86</v>
      </c>
      <c r="E72" s="194">
        <v>190</v>
      </c>
      <c r="F72" s="37" t="s">
        <v>269</v>
      </c>
      <c r="G72" s="42" t="s">
        <v>332</v>
      </c>
      <c r="H72" s="37" t="s">
        <v>373</v>
      </c>
      <c r="I72" s="37" t="s">
        <v>333</v>
      </c>
      <c r="J72" s="19" t="s">
        <v>2160</v>
      </c>
      <c r="K72" s="19" t="s">
        <v>118</v>
      </c>
      <c r="L72" s="19" t="s">
        <v>2181</v>
      </c>
      <c r="M72" s="19">
        <v>69</v>
      </c>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row>
    <row r="73" spans="1:53" s="20" customFormat="1" ht="15.75" x14ac:dyDescent="0.25">
      <c r="A73" s="36">
        <v>70</v>
      </c>
      <c r="B73" s="37" t="s">
        <v>363</v>
      </c>
      <c r="C73" s="38" t="s">
        <v>326</v>
      </c>
      <c r="D73" s="180" t="s">
        <v>86</v>
      </c>
      <c r="E73" s="194">
        <v>30</v>
      </c>
      <c r="F73" s="37" t="s">
        <v>269</v>
      </c>
      <c r="G73" s="42" t="s">
        <v>329</v>
      </c>
      <c r="H73" s="37" t="s">
        <v>375</v>
      </c>
      <c r="I73" s="37" t="s">
        <v>330</v>
      </c>
      <c r="J73" s="19" t="s">
        <v>2156</v>
      </c>
      <c r="K73" s="19" t="s">
        <v>118</v>
      </c>
      <c r="L73" s="19" t="s">
        <v>2181</v>
      </c>
      <c r="M73" s="19">
        <v>70</v>
      </c>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row>
    <row r="74" spans="1:53" s="20" customFormat="1" ht="15.75" x14ac:dyDescent="0.25">
      <c r="A74" s="36">
        <v>71</v>
      </c>
      <c r="B74" s="37" t="s">
        <v>363</v>
      </c>
      <c r="C74" s="38" t="s">
        <v>326</v>
      </c>
      <c r="D74" s="180" t="s">
        <v>86</v>
      </c>
      <c r="E74" s="194">
        <v>40</v>
      </c>
      <c r="F74" s="37" t="s">
        <v>269</v>
      </c>
      <c r="G74" s="42" t="s">
        <v>327</v>
      </c>
      <c r="H74" s="37" t="s">
        <v>376</v>
      </c>
      <c r="I74" s="37" t="s">
        <v>328</v>
      </c>
      <c r="J74" s="19" t="s">
        <v>2156</v>
      </c>
      <c r="K74" s="19" t="s">
        <v>118</v>
      </c>
      <c r="L74" s="19" t="s">
        <v>2181</v>
      </c>
      <c r="M74" s="19">
        <v>71</v>
      </c>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row>
    <row r="75" spans="1:53" s="20" customFormat="1" ht="15.75" x14ac:dyDescent="0.25">
      <c r="A75" s="36">
        <v>72</v>
      </c>
      <c r="B75" s="37" t="s">
        <v>845</v>
      </c>
      <c r="C75" s="38" t="s">
        <v>378</v>
      </c>
      <c r="D75" s="180" t="s">
        <v>85</v>
      </c>
      <c r="E75" s="194">
        <v>32.93</v>
      </c>
      <c r="F75" s="37" t="s">
        <v>269</v>
      </c>
      <c r="G75" s="42" t="s">
        <v>843</v>
      </c>
      <c r="H75" s="37" t="s">
        <v>846</v>
      </c>
      <c r="I75" s="37" t="s">
        <v>844</v>
      </c>
      <c r="J75" s="19" t="s">
        <v>2155</v>
      </c>
      <c r="K75" s="19" t="s">
        <v>118</v>
      </c>
      <c r="L75" s="19" t="s">
        <v>2181</v>
      </c>
      <c r="M75" s="19">
        <v>72</v>
      </c>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row>
    <row r="76" spans="1:53" s="20" customFormat="1" ht="15.75" x14ac:dyDescent="0.25">
      <c r="A76" s="36">
        <v>73</v>
      </c>
      <c r="B76" s="37" t="s">
        <v>845</v>
      </c>
      <c r="C76" s="38" t="s">
        <v>378</v>
      </c>
      <c r="D76" s="180" t="s">
        <v>85</v>
      </c>
      <c r="E76" s="194">
        <v>50.1</v>
      </c>
      <c r="F76" s="37" t="s">
        <v>269</v>
      </c>
      <c r="G76" s="42" t="s">
        <v>841</v>
      </c>
      <c r="H76" s="37" t="s">
        <v>846</v>
      </c>
      <c r="I76" s="37" t="s">
        <v>842</v>
      </c>
      <c r="J76" s="19" t="s">
        <v>2155</v>
      </c>
      <c r="K76" s="19" t="s">
        <v>118</v>
      </c>
      <c r="L76" s="19" t="s">
        <v>2181</v>
      </c>
      <c r="M76" s="19">
        <v>73</v>
      </c>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row>
    <row r="77" spans="1:53" s="20" customFormat="1" ht="15.75" x14ac:dyDescent="0.25">
      <c r="A77" s="36">
        <v>74</v>
      </c>
      <c r="B77" s="37" t="s">
        <v>845</v>
      </c>
      <c r="C77" s="38" t="s">
        <v>378</v>
      </c>
      <c r="D77" s="180" t="s">
        <v>85</v>
      </c>
      <c r="E77" s="194">
        <v>22.75</v>
      </c>
      <c r="F77" s="37" t="s">
        <v>269</v>
      </c>
      <c r="G77" s="42" t="s">
        <v>839</v>
      </c>
      <c r="H77" s="37" t="s">
        <v>847</v>
      </c>
      <c r="I77" s="37" t="s">
        <v>840</v>
      </c>
      <c r="J77" s="19" t="s">
        <v>2155</v>
      </c>
      <c r="K77" s="19" t="s">
        <v>118</v>
      </c>
      <c r="L77" s="19" t="s">
        <v>2181</v>
      </c>
      <c r="M77" s="19">
        <v>74</v>
      </c>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row>
    <row r="78" spans="1:53" s="20" customFormat="1" ht="15.75" x14ac:dyDescent="0.25">
      <c r="A78" s="36">
        <v>75</v>
      </c>
      <c r="B78" s="37" t="s">
        <v>845</v>
      </c>
      <c r="C78" s="38" t="s">
        <v>378</v>
      </c>
      <c r="D78" s="180" t="s">
        <v>85</v>
      </c>
      <c r="E78" s="194">
        <v>14.94</v>
      </c>
      <c r="F78" s="37" t="s">
        <v>269</v>
      </c>
      <c r="G78" s="42" t="s">
        <v>837</v>
      </c>
      <c r="H78" s="37" t="s">
        <v>847</v>
      </c>
      <c r="I78" s="37" t="s">
        <v>838</v>
      </c>
      <c r="J78" s="19" t="s">
        <v>2155</v>
      </c>
      <c r="K78" s="19" t="s">
        <v>118</v>
      </c>
      <c r="L78" s="19" t="s">
        <v>2181</v>
      </c>
      <c r="M78" s="19">
        <v>75</v>
      </c>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row>
    <row r="79" spans="1:53" s="20" customFormat="1" ht="15.75" x14ac:dyDescent="0.25">
      <c r="A79" s="36">
        <v>76</v>
      </c>
      <c r="B79" s="37" t="s">
        <v>845</v>
      </c>
      <c r="C79" s="38" t="s">
        <v>378</v>
      </c>
      <c r="D79" s="180" t="s">
        <v>85</v>
      </c>
      <c r="E79" s="194">
        <v>16.2</v>
      </c>
      <c r="F79" s="37" t="s">
        <v>269</v>
      </c>
      <c r="G79" s="42" t="s">
        <v>835</v>
      </c>
      <c r="H79" s="37" t="s">
        <v>848</v>
      </c>
      <c r="I79" s="37" t="s">
        <v>836</v>
      </c>
      <c r="J79" s="19" t="s">
        <v>2155</v>
      </c>
      <c r="K79" s="19" t="s">
        <v>118</v>
      </c>
      <c r="L79" s="19" t="s">
        <v>2181</v>
      </c>
      <c r="M79" s="19">
        <v>76</v>
      </c>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row>
    <row r="80" spans="1:53" s="20" customFormat="1" ht="15.75" x14ac:dyDescent="0.25">
      <c r="A80" s="36">
        <v>77</v>
      </c>
      <c r="B80" s="37" t="s">
        <v>845</v>
      </c>
      <c r="C80" s="38" t="s">
        <v>378</v>
      </c>
      <c r="D80" s="180" t="s">
        <v>85</v>
      </c>
      <c r="E80" s="194">
        <v>26.22</v>
      </c>
      <c r="F80" s="37" t="s">
        <v>269</v>
      </c>
      <c r="G80" s="42" t="s">
        <v>833</v>
      </c>
      <c r="H80" s="37" t="s">
        <v>849</v>
      </c>
      <c r="I80" s="37" t="s">
        <v>834</v>
      </c>
      <c r="J80" s="19" t="s">
        <v>2155</v>
      </c>
      <c r="K80" s="19" t="s">
        <v>118</v>
      </c>
      <c r="L80" s="19" t="s">
        <v>2181</v>
      </c>
      <c r="M80" s="19">
        <v>77</v>
      </c>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row>
    <row r="81" spans="1:53" s="20" customFormat="1" ht="15.75" x14ac:dyDescent="0.25">
      <c r="A81" s="36">
        <v>78</v>
      </c>
      <c r="B81" s="37" t="s">
        <v>845</v>
      </c>
      <c r="C81" s="38" t="s">
        <v>378</v>
      </c>
      <c r="D81" s="180" t="s">
        <v>85</v>
      </c>
      <c r="E81" s="194">
        <v>17.329999999999998</v>
      </c>
      <c r="F81" s="37" t="s">
        <v>269</v>
      </c>
      <c r="G81" s="42" t="s">
        <v>831</v>
      </c>
      <c r="H81" s="37" t="s">
        <v>850</v>
      </c>
      <c r="I81" s="37" t="s">
        <v>832</v>
      </c>
      <c r="J81" s="19" t="s">
        <v>2155</v>
      </c>
      <c r="K81" s="19" t="s">
        <v>118</v>
      </c>
      <c r="L81" s="19" t="s">
        <v>2181</v>
      </c>
      <c r="M81" s="19">
        <v>78</v>
      </c>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row>
    <row r="82" spans="1:53" s="20" customFormat="1" ht="15.75" x14ac:dyDescent="0.25">
      <c r="A82" s="36">
        <v>79</v>
      </c>
      <c r="B82" s="37" t="s">
        <v>845</v>
      </c>
      <c r="C82" s="38" t="s">
        <v>378</v>
      </c>
      <c r="D82" s="180" t="s">
        <v>85</v>
      </c>
      <c r="E82" s="194">
        <v>19.95</v>
      </c>
      <c r="F82" s="37" t="s">
        <v>269</v>
      </c>
      <c r="G82" s="42" t="s">
        <v>829</v>
      </c>
      <c r="H82" s="37" t="s">
        <v>850</v>
      </c>
      <c r="I82" s="37" t="s">
        <v>830</v>
      </c>
      <c r="J82" s="19" t="s">
        <v>2155</v>
      </c>
      <c r="K82" s="19" t="s">
        <v>118</v>
      </c>
      <c r="L82" s="19" t="s">
        <v>2181</v>
      </c>
      <c r="M82" s="19">
        <v>79</v>
      </c>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row>
    <row r="83" spans="1:53" s="20" customFormat="1" ht="15.75" x14ac:dyDescent="0.25">
      <c r="A83" s="36">
        <v>80</v>
      </c>
      <c r="B83" s="37" t="s">
        <v>845</v>
      </c>
      <c r="C83" s="38" t="s">
        <v>378</v>
      </c>
      <c r="D83" s="180" t="s">
        <v>85</v>
      </c>
      <c r="E83" s="194">
        <v>16.96</v>
      </c>
      <c r="F83" s="37" t="s">
        <v>269</v>
      </c>
      <c r="G83" s="42" t="s">
        <v>827</v>
      </c>
      <c r="H83" s="37" t="s">
        <v>851</v>
      </c>
      <c r="I83" s="37" t="s">
        <v>828</v>
      </c>
      <c r="J83" s="19" t="s">
        <v>2155</v>
      </c>
      <c r="K83" s="19" t="s">
        <v>118</v>
      </c>
      <c r="L83" s="19" t="s">
        <v>2181</v>
      </c>
      <c r="M83" s="19">
        <v>80</v>
      </c>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row>
    <row r="84" spans="1:53" s="20" customFormat="1" ht="15.75" x14ac:dyDescent="0.25">
      <c r="A84" s="36">
        <v>81</v>
      </c>
      <c r="B84" s="37" t="s">
        <v>845</v>
      </c>
      <c r="C84" s="38" t="s">
        <v>378</v>
      </c>
      <c r="D84" s="180" t="s">
        <v>85</v>
      </c>
      <c r="E84" s="194">
        <v>38.08</v>
      </c>
      <c r="F84" s="37" t="s">
        <v>269</v>
      </c>
      <c r="G84" s="42" t="s">
        <v>825</v>
      </c>
      <c r="H84" s="37" t="s">
        <v>852</v>
      </c>
      <c r="I84" s="37" t="s">
        <v>826</v>
      </c>
      <c r="J84" s="19" t="s">
        <v>2155</v>
      </c>
      <c r="K84" s="19" t="s">
        <v>118</v>
      </c>
      <c r="L84" s="19" t="s">
        <v>2181</v>
      </c>
      <c r="M84" s="19">
        <v>81</v>
      </c>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row>
    <row r="85" spans="1:53" s="20" customFormat="1" ht="15.75" x14ac:dyDescent="0.25">
      <c r="A85" s="36">
        <v>82</v>
      </c>
      <c r="B85" s="37" t="s">
        <v>845</v>
      </c>
      <c r="C85" s="38" t="s">
        <v>378</v>
      </c>
      <c r="D85" s="180" t="s">
        <v>80</v>
      </c>
      <c r="E85" s="194">
        <v>15.98</v>
      </c>
      <c r="F85" s="37" t="s">
        <v>269</v>
      </c>
      <c r="G85" s="42" t="s">
        <v>823</v>
      </c>
      <c r="H85" s="37" t="s">
        <v>853</v>
      </c>
      <c r="I85" s="37" t="s">
        <v>824</v>
      </c>
      <c r="J85" s="19" t="s">
        <v>2155</v>
      </c>
      <c r="K85" s="19" t="s">
        <v>118</v>
      </c>
      <c r="L85" s="19" t="s">
        <v>2181</v>
      </c>
      <c r="M85" s="19">
        <v>82</v>
      </c>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row>
    <row r="86" spans="1:53" s="20" customFormat="1" ht="15.75" customHeight="1" x14ac:dyDescent="0.25">
      <c r="A86" s="67">
        <v>83</v>
      </c>
      <c r="B86" s="68" t="s">
        <v>845</v>
      </c>
      <c r="C86" s="69" t="s">
        <v>378</v>
      </c>
      <c r="D86" s="183" t="s">
        <v>80</v>
      </c>
      <c r="E86" s="197">
        <v>12.98</v>
      </c>
      <c r="F86" s="68" t="s">
        <v>269</v>
      </c>
      <c r="G86" s="42" t="s">
        <v>821</v>
      </c>
      <c r="H86" s="68" t="s">
        <v>853</v>
      </c>
      <c r="I86" s="70" t="s">
        <v>822</v>
      </c>
      <c r="J86" s="19" t="s">
        <v>2155</v>
      </c>
      <c r="K86" s="19" t="s">
        <v>118</v>
      </c>
      <c r="L86" s="19" t="s">
        <v>2181</v>
      </c>
      <c r="M86" s="19">
        <v>83</v>
      </c>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row>
    <row r="87" spans="1:53" s="20" customFormat="1" ht="15.75" customHeight="1" x14ac:dyDescent="0.25">
      <c r="A87" s="67">
        <v>84</v>
      </c>
      <c r="B87" s="68" t="s">
        <v>845</v>
      </c>
      <c r="C87" s="69" t="s">
        <v>378</v>
      </c>
      <c r="D87" s="183" t="s">
        <v>80</v>
      </c>
      <c r="E87" s="197">
        <v>28.54</v>
      </c>
      <c r="F87" s="68" t="s">
        <v>269</v>
      </c>
      <c r="G87" s="42" t="s">
        <v>819</v>
      </c>
      <c r="H87" s="68" t="s">
        <v>854</v>
      </c>
      <c r="I87" s="68" t="s">
        <v>820</v>
      </c>
      <c r="J87" s="19" t="s">
        <v>2155</v>
      </c>
      <c r="K87" s="19" t="s">
        <v>118</v>
      </c>
      <c r="L87" s="19" t="s">
        <v>2181</v>
      </c>
      <c r="M87" s="19">
        <v>84</v>
      </c>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row>
    <row r="88" spans="1:53" s="20" customFormat="1" ht="15.75" customHeight="1" x14ac:dyDescent="0.25">
      <c r="A88" s="67">
        <v>85</v>
      </c>
      <c r="B88" s="68" t="s">
        <v>845</v>
      </c>
      <c r="C88" s="69" t="s">
        <v>378</v>
      </c>
      <c r="D88" s="183" t="s">
        <v>80</v>
      </c>
      <c r="E88" s="197">
        <v>25.59</v>
      </c>
      <c r="F88" s="68" t="s">
        <v>269</v>
      </c>
      <c r="G88" s="42" t="s">
        <v>817</v>
      </c>
      <c r="H88" s="68" t="s">
        <v>854</v>
      </c>
      <c r="I88" s="68" t="s">
        <v>818</v>
      </c>
      <c r="J88" s="19" t="s">
        <v>2155</v>
      </c>
      <c r="K88" s="19" t="s">
        <v>118</v>
      </c>
      <c r="L88" s="19" t="s">
        <v>2181</v>
      </c>
      <c r="M88" s="19">
        <v>85</v>
      </c>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row>
    <row r="89" spans="1:53" s="20" customFormat="1" ht="15.75" customHeight="1" x14ac:dyDescent="0.25">
      <c r="A89" s="67">
        <v>86</v>
      </c>
      <c r="B89" s="68" t="s">
        <v>845</v>
      </c>
      <c r="C89" s="69" t="s">
        <v>378</v>
      </c>
      <c r="D89" s="183" t="s">
        <v>80</v>
      </c>
      <c r="E89" s="197">
        <v>13.98</v>
      </c>
      <c r="F89" s="68" t="s">
        <v>269</v>
      </c>
      <c r="G89" s="42" t="s">
        <v>815</v>
      </c>
      <c r="H89" s="68" t="s">
        <v>854</v>
      </c>
      <c r="I89" s="71" t="s">
        <v>816</v>
      </c>
      <c r="J89" s="19" t="s">
        <v>2155</v>
      </c>
      <c r="K89" s="19" t="s">
        <v>118</v>
      </c>
      <c r="L89" s="19" t="s">
        <v>2181</v>
      </c>
      <c r="M89" s="19">
        <v>86</v>
      </c>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row>
    <row r="90" spans="1:53" s="20" customFormat="1" ht="15.75" customHeight="1" x14ac:dyDescent="0.25">
      <c r="A90" s="67">
        <v>87</v>
      </c>
      <c r="B90" s="68" t="s">
        <v>845</v>
      </c>
      <c r="C90" s="69" t="s">
        <v>378</v>
      </c>
      <c r="D90" s="183" t="s">
        <v>80</v>
      </c>
      <c r="E90" s="197">
        <v>24.95</v>
      </c>
      <c r="F90" s="68" t="s">
        <v>269</v>
      </c>
      <c r="G90" s="42" t="s">
        <v>813</v>
      </c>
      <c r="H90" s="68" t="s">
        <v>854</v>
      </c>
      <c r="I90" s="68" t="s">
        <v>814</v>
      </c>
      <c r="J90" s="19" t="s">
        <v>2155</v>
      </c>
      <c r="K90" s="19" t="s">
        <v>118</v>
      </c>
      <c r="L90" s="19" t="s">
        <v>2181</v>
      </c>
      <c r="M90" s="19">
        <v>87</v>
      </c>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row>
    <row r="91" spans="1:53" s="20" customFormat="1" ht="15.75" customHeight="1" x14ac:dyDescent="0.25">
      <c r="A91" s="67">
        <v>88</v>
      </c>
      <c r="B91" s="68" t="s">
        <v>845</v>
      </c>
      <c r="C91" s="69" t="s">
        <v>378</v>
      </c>
      <c r="D91" s="183" t="s">
        <v>80</v>
      </c>
      <c r="E91" s="197">
        <v>4.5</v>
      </c>
      <c r="F91" s="68" t="s">
        <v>269</v>
      </c>
      <c r="G91" s="42" t="s">
        <v>811</v>
      </c>
      <c r="H91" s="68" t="s">
        <v>855</v>
      </c>
      <c r="I91" s="68" t="s">
        <v>812</v>
      </c>
      <c r="J91" s="19" t="s">
        <v>2155</v>
      </c>
      <c r="K91" s="19" t="s">
        <v>118</v>
      </c>
      <c r="L91" s="19" t="s">
        <v>2181</v>
      </c>
      <c r="M91" s="19">
        <v>88</v>
      </c>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row>
    <row r="92" spans="1:53" s="20" customFormat="1" ht="15.75" customHeight="1" x14ac:dyDescent="0.25">
      <c r="A92" s="67">
        <v>89</v>
      </c>
      <c r="B92" s="68" t="s">
        <v>845</v>
      </c>
      <c r="C92" s="69" t="s">
        <v>378</v>
      </c>
      <c r="D92" s="183" t="s">
        <v>80</v>
      </c>
      <c r="E92" s="197">
        <v>57.98</v>
      </c>
      <c r="F92" s="68" t="s">
        <v>269</v>
      </c>
      <c r="G92" s="42" t="s">
        <v>809</v>
      </c>
      <c r="H92" s="68" t="s">
        <v>855</v>
      </c>
      <c r="I92" s="68" t="s">
        <v>810</v>
      </c>
      <c r="J92" s="19" t="s">
        <v>2155</v>
      </c>
      <c r="K92" s="19" t="s">
        <v>118</v>
      </c>
      <c r="L92" s="19" t="s">
        <v>2181</v>
      </c>
      <c r="M92" s="19">
        <v>89</v>
      </c>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row>
    <row r="93" spans="1:53" s="20" customFormat="1" ht="15.75" customHeight="1" x14ac:dyDescent="0.25">
      <c r="A93" s="72">
        <v>90</v>
      </c>
      <c r="B93" s="73" t="s">
        <v>845</v>
      </c>
      <c r="C93" s="74" t="s">
        <v>378</v>
      </c>
      <c r="D93" s="184" t="s">
        <v>80</v>
      </c>
      <c r="E93" s="198">
        <v>49.96</v>
      </c>
      <c r="F93" s="73" t="s">
        <v>269</v>
      </c>
      <c r="G93" s="42" t="s">
        <v>807</v>
      </c>
      <c r="H93" s="73" t="s">
        <v>855</v>
      </c>
      <c r="I93" s="73" t="s">
        <v>808</v>
      </c>
      <c r="J93" s="19" t="s">
        <v>2155</v>
      </c>
      <c r="K93" s="19" t="s">
        <v>118</v>
      </c>
      <c r="L93" s="19" t="s">
        <v>2181</v>
      </c>
      <c r="M93" s="19">
        <v>90</v>
      </c>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row>
    <row r="94" spans="1:53" s="20" customFormat="1" ht="15.75" customHeight="1" x14ac:dyDescent="0.25">
      <c r="A94" s="72">
        <v>91</v>
      </c>
      <c r="B94" s="73" t="s">
        <v>845</v>
      </c>
      <c r="C94" s="74" t="s">
        <v>378</v>
      </c>
      <c r="D94" s="184" t="s">
        <v>80</v>
      </c>
      <c r="E94" s="198">
        <v>16.45</v>
      </c>
      <c r="F94" s="73" t="s">
        <v>269</v>
      </c>
      <c r="G94" s="42" t="s">
        <v>805</v>
      </c>
      <c r="H94" s="73" t="s">
        <v>856</v>
      </c>
      <c r="I94" s="73" t="s">
        <v>806</v>
      </c>
      <c r="J94" s="19" t="s">
        <v>2155</v>
      </c>
      <c r="K94" s="19" t="s">
        <v>118</v>
      </c>
      <c r="L94" s="19" t="s">
        <v>2181</v>
      </c>
      <c r="M94" s="19">
        <v>91</v>
      </c>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row>
    <row r="95" spans="1:53" s="20" customFormat="1" ht="15.75" customHeight="1" x14ac:dyDescent="0.25">
      <c r="A95" s="72">
        <v>92</v>
      </c>
      <c r="B95" s="73" t="s">
        <v>845</v>
      </c>
      <c r="C95" s="74" t="s">
        <v>378</v>
      </c>
      <c r="D95" s="184" t="s">
        <v>80</v>
      </c>
      <c r="E95" s="198">
        <v>15.98</v>
      </c>
      <c r="F95" s="73" t="s">
        <v>269</v>
      </c>
      <c r="G95" s="42" t="s">
        <v>803</v>
      </c>
      <c r="H95" s="73" t="s">
        <v>856</v>
      </c>
      <c r="I95" s="73" t="s">
        <v>804</v>
      </c>
      <c r="J95" s="19" t="s">
        <v>2155</v>
      </c>
      <c r="K95" s="19" t="s">
        <v>118</v>
      </c>
      <c r="L95" s="19" t="s">
        <v>2181</v>
      </c>
      <c r="M95" s="19">
        <v>92</v>
      </c>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row>
    <row r="96" spans="1:53" s="20" customFormat="1" ht="15.75" customHeight="1" x14ac:dyDescent="0.25">
      <c r="A96" s="72">
        <v>93</v>
      </c>
      <c r="B96" s="73" t="s">
        <v>845</v>
      </c>
      <c r="C96" s="74" t="s">
        <v>378</v>
      </c>
      <c r="D96" s="184" t="s">
        <v>80</v>
      </c>
      <c r="E96" s="198">
        <v>18.62</v>
      </c>
      <c r="F96" s="73" t="s">
        <v>269</v>
      </c>
      <c r="G96" s="42" t="s">
        <v>801</v>
      </c>
      <c r="H96" s="73" t="s">
        <v>856</v>
      </c>
      <c r="I96" s="73" t="s">
        <v>802</v>
      </c>
      <c r="J96" s="19" t="s">
        <v>2155</v>
      </c>
      <c r="K96" s="19" t="s">
        <v>118</v>
      </c>
      <c r="L96" s="19" t="s">
        <v>2181</v>
      </c>
      <c r="M96" s="19">
        <v>93</v>
      </c>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row>
    <row r="97" spans="1:53" s="20" customFormat="1" ht="15.75" customHeight="1" x14ac:dyDescent="0.25">
      <c r="A97" s="72">
        <v>94</v>
      </c>
      <c r="B97" s="73" t="s">
        <v>845</v>
      </c>
      <c r="C97" s="74" t="s">
        <v>378</v>
      </c>
      <c r="D97" s="184" t="s">
        <v>80</v>
      </c>
      <c r="E97" s="198">
        <v>14.9</v>
      </c>
      <c r="F97" s="73" t="s">
        <v>269</v>
      </c>
      <c r="G97" s="42" t="s">
        <v>799</v>
      </c>
      <c r="H97" s="73" t="s">
        <v>857</v>
      </c>
      <c r="I97" s="73" t="s">
        <v>800</v>
      </c>
      <c r="J97" s="19" t="s">
        <v>2155</v>
      </c>
      <c r="K97" s="19" t="s">
        <v>118</v>
      </c>
      <c r="L97" s="19" t="s">
        <v>2181</v>
      </c>
      <c r="M97" s="19">
        <v>94</v>
      </c>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row>
    <row r="98" spans="1:53" s="20" customFormat="1" ht="15.75" customHeight="1" x14ac:dyDescent="0.25">
      <c r="A98" s="72">
        <v>95</v>
      </c>
      <c r="B98" s="73" t="s">
        <v>845</v>
      </c>
      <c r="C98" s="74" t="s">
        <v>378</v>
      </c>
      <c r="D98" s="184" t="s">
        <v>80</v>
      </c>
      <c r="E98" s="198">
        <v>27.14</v>
      </c>
      <c r="F98" s="73" t="s">
        <v>269</v>
      </c>
      <c r="G98" s="42" t="s">
        <v>797</v>
      </c>
      <c r="H98" s="73" t="s">
        <v>858</v>
      </c>
      <c r="I98" s="73" t="s">
        <v>798</v>
      </c>
      <c r="J98" s="19" t="s">
        <v>2155</v>
      </c>
      <c r="K98" s="19" t="s">
        <v>118</v>
      </c>
      <c r="L98" s="19" t="s">
        <v>2181</v>
      </c>
      <c r="M98" s="19">
        <v>95</v>
      </c>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row>
    <row r="99" spans="1:53" s="20" customFormat="1" ht="15.75" customHeight="1" x14ac:dyDescent="0.25">
      <c r="A99" s="72">
        <v>96</v>
      </c>
      <c r="B99" s="73" t="s">
        <v>845</v>
      </c>
      <c r="C99" s="74" t="s">
        <v>378</v>
      </c>
      <c r="D99" s="184" t="s">
        <v>80</v>
      </c>
      <c r="E99" s="198">
        <v>4.71</v>
      </c>
      <c r="F99" s="73" t="s">
        <v>269</v>
      </c>
      <c r="G99" s="42" t="s">
        <v>795</v>
      </c>
      <c r="H99" s="73" t="s">
        <v>858</v>
      </c>
      <c r="I99" s="73" t="s">
        <v>796</v>
      </c>
      <c r="J99" s="19" t="s">
        <v>2155</v>
      </c>
      <c r="K99" s="19" t="s">
        <v>118</v>
      </c>
      <c r="L99" s="19" t="s">
        <v>2181</v>
      </c>
      <c r="M99" s="19">
        <v>96</v>
      </c>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row>
    <row r="100" spans="1:53" s="20" customFormat="1" ht="15.75" customHeight="1" x14ac:dyDescent="0.25">
      <c r="A100" s="75">
        <v>97</v>
      </c>
      <c r="B100" s="76" t="s">
        <v>845</v>
      </c>
      <c r="C100" s="77" t="s">
        <v>378</v>
      </c>
      <c r="D100" s="185" t="s">
        <v>80</v>
      </c>
      <c r="E100" s="199">
        <v>9.9499999999999993</v>
      </c>
      <c r="F100" s="76" t="s">
        <v>269</v>
      </c>
      <c r="G100" s="42" t="s">
        <v>793</v>
      </c>
      <c r="H100" s="76" t="s">
        <v>858</v>
      </c>
      <c r="I100" s="76" t="s">
        <v>794</v>
      </c>
      <c r="J100" s="19" t="s">
        <v>2155</v>
      </c>
      <c r="K100" s="19" t="s">
        <v>118</v>
      </c>
      <c r="L100" s="19" t="s">
        <v>2181</v>
      </c>
      <c r="M100" s="19">
        <v>97</v>
      </c>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row>
    <row r="101" spans="1:53" s="20" customFormat="1" ht="15.75" customHeight="1" x14ac:dyDescent="0.25">
      <c r="A101" s="75">
        <v>98</v>
      </c>
      <c r="B101" s="76" t="s">
        <v>845</v>
      </c>
      <c r="C101" s="77" t="s">
        <v>378</v>
      </c>
      <c r="D101" s="185" t="s">
        <v>80</v>
      </c>
      <c r="E101" s="199">
        <v>4.75</v>
      </c>
      <c r="F101" s="76" t="s">
        <v>269</v>
      </c>
      <c r="G101" s="42" t="s">
        <v>791</v>
      </c>
      <c r="H101" s="76" t="s">
        <v>859</v>
      </c>
      <c r="I101" s="76" t="s">
        <v>792</v>
      </c>
      <c r="J101" s="19" t="s">
        <v>2155</v>
      </c>
      <c r="K101" s="19" t="s">
        <v>118</v>
      </c>
      <c r="L101" s="19" t="s">
        <v>2181</v>
      </c>
      <c r="M101" s="19">
        <v>98</v>
      </c>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row>
    <row r="102" spans="1:53" s="20" customFormat="1" ht="15.75" customHeight="1" x14ac:dyDescent="0.25">
      <c r="A102" s="75">
        <v>99</v>
      </c>
      <c r="B102" s="76" t="s">
        <v>845</v>
      </c>
      <c r="C102" s="77" t="s">
        <v>378</v>
      </c>
      <c r="D102" s="185" t="s">
        <v>80</v>
      </c>
      <c r="E102" s="199">
        <v>36.94</v>
      </c>
      <c r="F102" s="76" t="s">
        <v>269</v>
      </c>
      <c r="G102" s="42" t="s">
        <v>789</v>
      </c>
      <c r="H102" s="76" t="s">
        <v>859</v>
      </c>
      <c r="I102" s="76" t="s">
        <v>790</v>
      </c>
      <c r="J102" s="19" t="s">
        <v>2155</v>
      </c>
      <c r="K102" s="19" t="s">
        <v>118</v>
      </c>
      <c r="L102" s="19" t="s">
        <v>2181</v>
      </c>
      <c r="M102" s="19">
        <v>99</v>
      </c>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row>
    <row r="103" spans="1:53" s="20" customFormat="1" ht="15.75" customHeight="1" x14ac:dyDescent="0.25">
      <c r="A103" s="75">
        <v>100</v>
      </c>
      <c r="B103" s="76" t="s">
        <v>845</v>
      </c>
      <c r="C103" s="77" t="s">
        <v>378</v>
      </c>
      <c r="D103" s="185" t="s">
        <v>80</v>
      </c>
      <c r="E103" s="199">
        <v>55.95</v>
      </c>
      <c r="F103" s="76" t="s">
        <v>269</v>
      </c>
      <c r="G103" s="42" t="s">
        <v>787</v>
      </c>
      <c r="H103" s="76" t="s">
        <v>859</v>
      </c>
      <c r="I103" s="76" t="s">
        <v>788</v>
      </c>
      <c r="J103" s="19" t="s">
        <v>2155</v>
      </c>
      <c r="K103" s="19" t="s">
        <v>118</v>
      </c>
      <c r="L103" s="19" t="s">
        <v>2181</v>
      </c>
      <c r="M103" s="19">
        <v>100</v>
      </c>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row>
    <row r="104" spans="1:53" s="20" customFormat="1" ht="15.75" customHeight="1" x14ac:dyDescent="0.25">
      <c r="A104" s="75">
        <v>101</v>
      </c>
      <c r="B104" s="76" t="s">
        <v>845</v>
      </c>
      <c r="C104" s="77" t="s">
        <v>378</v>
      </c>
      <c r="D104" s="185" t="s">
        <v>80</v>
      </c>
      <c r="E104" s="199">
        <v>48.9</v>
      </c>
      <c r="F104" s="76" t="s">
        <v>269</v>
      </c>
      <c r="G104" s="42" t="s">
        <v>785</v>
      </c>
      <c r="H104" s="76" t="s">
        <v>860</v>
      </c>
      <c r="I104" s="76" t="s">
        <v>786</v>
      </c>
      <c r="J104" s="19" t="s">
        <v>2155</v>
      </c>
      <c r="K104" s="19" t="s">
        <v>118</v>
      </c>
      <c r="L104" s="19" t="s">
        <v>2181</v>
      </c>
      <c r="M104" s="19">
        <v>101</v>
      </c>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row>
    <row r="105" spans="1:53" s="20" customFormat="1" ht="15.75" customHeight="1" x14ac:dyDescent="0.25">
      <c r="A105" s="75">
        <v>102</v>
      </c>
      <c r="B105" s="76" t="s">
        <v>845</v>
      </c>
      <c r="C105" s="77" t="s">
        <v>378</v>
      </c>
      <c r="D105" s="185" t="s">
        <v>80</v>
      </c>
      <c r="E105" s="199">
        <v>14.94</v>
      </c>
      <c r="F105" s="76" t="s">
        <v>269</v>
      </c>
      <c r="G105" s="42" t="s">
        <v>783</v>
      </c>
      <c r="H105" s="76" t="s">
        <v>860</v>
      </c>
      <c r="I105" s="76" t="s">
        <v>784</v>
      </c>
      <c r="J105" s="19" t="s">
        <v>2155</v>
      </c>
      <c r="K105" s="19" t="s">
        <v>118</v>
      </c>
      <c r="L105" s="19" t="s">
        <v>2181</v>
      </c>
      <c r="M105" s="19">
        <v>102</v>
      </c>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row>
    <row r="106" spans="1:53" s="20" customFormat="1" ht="15.75" customHeight="1" x14ac:dyDescent="0.25">
      <c r="A106" s="75">
        <v>103</v>
      </c>
      <c r="B106" s="76" t="s">
        <v>845</v>
      </c>
      <c r="C106" s="77" t="s">
        <v>378</v>
      </c>
      <c r="D106" s="185" t="s">
        <v>80</v>
      </c>
      <c r="E106" s="199">
        <v>53.51</v>
      </c>
      <c r="F106" s="76" t="s">
        <v>269</v>
      </c>
      <c r="G106" s="42" t="s">
        <v>781</v>
      </c>
      <c r="H106" s="76" t="s">
        <v>861</v>
      </c>
      <c r="I106" s="76" t="s">
        <v>782</v>
      </c>
      <c r="J106" s="19" t="s">
        <v>2155</v>
      </c>
      <c r="K106" s="19" t="s">
        <v>118</v>
      </c>
      <c r="L106" s="19" t="s">
        <v>2181</v>
      </c>
      <c r="M106" s="19">
        <v>103</v>
      </c>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row>
    <row r="107" spans="1:53" s="20" customFormat="1" ht="15.75" customHeight="1" x14ac:dyDescent="0.25">
      <c r="A107" s="75">
        <v>104</v>
      </c>
      <c r="B107" s="76" t="s">
        <v>845</v>
      </c>
      <c r="C107" s="77" t="s">
        <v>378</v>
      </c>
      <c r="D107" s="185" t="s">
        <v>80</v>
      </c>
      <c r="E107" s="199">
        <v>13.95</v>
      </c>
      <c r="F107" s="76" t="s">
        <v>269</v>
      </c>
      <c r="G107" s="42" t="s">
        <v>779</v>
      </c>
      <c r="H107" s="76" t="s">
        <v>861</v>
      </c>
      <c r="I107" s="76" t="s">
        <v>780</v>
      </c>
      <c r="J107" s="19" t="s">
        <v>2155</v>
      </c>
      <c r="K107" s="19" t="s">
        <v>118</v>
      </c>
      <c r="L107" s="19" t="s">
        <v>2181</v>
      </c>
      <c r="M107" s="19">
        <v>104</v>
      </c>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row>
    <row r="108" spans="1:53" s="20" customFormat="1" ht="15.75" customHeight="1" x14ac:dyDescent="0.25">
      <c r="A108" s="75">
        <v>105</v>
      </c>
      <c r="B108" s="76" t="s">
        <v>845</v>
      </c>
      <c r="C108" s="77" t="s">
        <v>378</v>
      </c>
      <c r="D108" s="185" t="s">
        <v>80</v>
      </c>
      <c r="E108" s="199">
        <v>33.53</v>
      </c>
      <c r="F108" s="76" t="s">
        <v>269</v>
      </c>
      <c r="G108" s="42" t="s">
        <v>777</v>
      </c>
      <c r="H108" s="76" t="s">
        <v>861</v>
      </c>
      <c r="I108" s="76" t="s">
        <v>778</v>
      </c>
      <c r="J108" s="19" t="s">
        <v>2155</v>
      </c>
      <c r="K108" s="19" t="s">
        <v>118</v>
      </c>
      <c r="L108" s="19" t="s">
        <v>2181</v>
      </c>
      <c r="M108" s="19">
        <v>105</v>
      </c>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row>
    <row r="109" spans="1:53" s="20" customFormat="1" ht="15.75" customHeight="1" x14ac:dyDescent="0.25">
      <c r="A109" s="75">
        <v>106</v>
      </c>
      <c r="B109" s="76" t="s">
        <v>845</v>
      </c>
      <c r="C109" s="77" t="s">
        <v>378</v>
      </c>
      <c r="D109" s="185" t="s">
        <v>80</v>
      </c>
      <c r="E109" s="199">
        <v>18.98</v>
      </c>
      <c r="F109" s="76" t="s">
        <v>269</v>
      </c>
      <c r="G109" s="42" t="s">
        <v>775</v>
      </c>
      <c r="H109" s="76" t="s">
        <v>861</v>
      </c>
      <c r="I109" s="76" t="s">
        <v>776</v>
      </c>
      <c r="J109" s="19" t="s">
        <v>2155</v>
      </c>
      <c r="K109" s="19" t="s">
        <v>118</v>
      </c>
      <c r="L109" s="19" t="s">
        <v>2181</v>
      </c>
      <c r="M109" s="19">
        <v>106</v>
      </c>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row>
    <row r="110" spans="1:53" s="20" customFormat="1" ht="15.75" customHeight="1" x14ac:dyDescent="0.25">
      <c r="A110" s="75">
        <v>107</v>
      </c>
      <c r="B110" s="76" t="s">
        <v>845</v>
      </c>
      <c r="C110" s="77" t="s">
        <v>378</v>
      </c>
      <c r="D110" s="185" t="s">
        <v>80</v>
      </c>
      <c r="E110" s="199">
        <v>20.98</v>
      </c>
      <c r="F110" s="76" t="s">
        <v>269</v>
      </c>
      <c r="G110" s="42" t="s">
        <v>773</v>
      </c>
      <c r="H110" s="76" t="s">
        <v>861</v>
      </c>
      <c r="I110" s="76" t="s">
        <v>774</v>
      </c>
      <c r="J110" s="19" t="s">
        <v>2155</v>
      </c>
      <c r="K110" s="19" t="s">
        <v>118</v>
      </c>
      <c r="L110" s="19" t="s">
        <v>2181</v>
      </c>
      <c r="M110" s="19">
        <v>107</v>
      </c>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row>
    <row r="111" spans="1:53" s="20" customFormat="1" ht="15.75" customHeight="1" x14ac:dyDescent="0.25">
      <c r="A111" s="75">
        <v>108</v>
      </c>
      <c r="B111" s="76" t="s">
        <v>845</v>
      </c>
      <c r="C111" s="77" t="s">
        <v>378</v>
      </c>
      <c r="D111" s="185" t="s">
        <v>80</v>
      </c>
      <c r="E111" s="199">
        <v>11.69</v>
      </c>
      <c r="F111" s="76" t="s">
        <v>269</v>
      </c>
      <c r="G111" s="42" t="s">
        <v>771</v>
      </c>
      <c r="H111" s="76" t="s">
        <v>862</v>
      </c>
      <c r="I111" s="76" t="s">
        <v>772</v>
      </c>
      <c r="J111" s="19" t="s">
        <v>2155</v>
      </c>
      <c r="K111" s="19" t="s">
        <v>118</v>
      </c>
      <c r="L111" s="19" t="s">
        <v>2181</v>
      </c>
      <c r="M111" s="19">
        <v>108</v>
      </c>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row>
    <row r="112" spans="1:53" s="20" customFormat="1" ht="15.75" customHeight="1" x14ac:dyDescent="0.25">
      <c r="A112" s="75">
        <v>109</v>
      </c>
      <c r="B112" s="76" t="s">
        <v>845</v>
      </c>
      <c r="C112" s="77" t="s">
        <v>378</v>
      </c>
      <c r="D112" s="185" t="s">
        <v>80</v>
      </c>
      <c r="E112" s="199">
        <v>10.96</v>
      </c>
      <c r="F112" s="76" t="s">
        <v>269</v>
      </c>
      <c r="G112" s="42" t="s">
        <v>769</v>
      </c>
      <c r="H112" s="76" t="s">
        <v>862</v>
      </c>
      <c r="I112" s="76" t="s">
        <v>770</v>
      </c>
      <c r="J112" s="19" t="s">
        <v>2155</v>
      </c>
      <c r="K112" s="19" t="s">
        <v>118</v>
      </c>
      <c r="L112" s="19" t="s">
        <v>2181</v>
      </c>
      <c r="M112" s="19">
        <v>109</v>
      </c>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row>
    <row r="113" spans="1:53" s="20" customFormat="1" ht="15.75" customHeight="1" x14ac:dyDescent="0.25">
      <c r="A113" s="75">
        <v>110</v>
      </c>
      <c r="B113" s="76" t="s">
        <v>845</v>
      </c>
      <c r="C113" s="77" t="s">
        <v>378</v>
      </c>
      <c r="D113" s="185" t="s">
        <v>80</v>
      </c>
      <c r="E113" s="199">
        <v>16.57</v>
      </c>
      <c r="F113" s="76" t="s">
        <v>269</v>
      </c>
      <c r="G113" s="42" t="s">
        <v>767</v>
      </c>
      <c r="H113" s="76" t="s">
        <v>863</v>
      </c>
      <c r="I113" s="76" t="s">
        <v>768</v>
      </c>
      <c r="J113" s="19" t="s">
        <v>2155</v>
      </c>
      <c r="K113" s="19" t="s">
        <v>118</v>
      </c>
      <c r="L113" s="19" t="s">
        <v>2181</v>
      </c>
      <c r="M113" s="19">
        <v>110</v>
      </c>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row>
    <row r="114" spans="1:53" s="20" customFormat="1" ht="15.75" customHeight="1" x14ac:dyDescent="0.25">
      <c r="A114" s="75">
        <v>111</v>
      </c>
      <c r="B114" s="76" t="s">
        <v>845</v>
      </c>
      <c r="C114" s="77" t="s">
        <v>378</v>
      </c>
      <c r="D114" s="185" t="s">
        <v>80</v>
      </c>
      <c r="E114" s="199">
        <v>23.52</v>
      </c>
      <c r="F114" s="76" t="s">
        <v>269</v>
      </c>
      <c r="G114" s="42" t="s">
        <v>765</v>
      </c>
      <c r="H114" s="76" t="s">
        <v>863</v>
      </c>
      <c r="I114" s="76" t="s">
        <v>766</v>
      </c>
      <c r="J114" s="19" t="s">
        <v>2155</v>
      </c>
      <c r="K114" s="19" t="s">
        <v>118</v>
      </c>
      <c r="L114" s="19" t="s">
        <v>2181</v>
      </c>
      <c r="M114" s="19">
        <v>111</v>
      </c>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row>
    <row r="115" spans="1:53" s="20" customFormat="1" ht="15.75" customHeight="1" x14ac:dyDescent="0.25">
      <c r="A115" s="75">
        <v>112</v>
      </c>
      <c r="B115" s="76" t="s">
        <v>845</v>
      </c>
      <c r="C115" s="77" t="s">
        <v>378</v>
      </c>
      <c r="D115" s="185" t="s">
        <v>80</v>
      </c>
      <c r="E115" s="199">
        <v>27.38</v>
      </c>
      <c r="F115" s="76" t="s">
        <v>269</v>
      </c>
      <c r="G115" s="42" t="s">
        <v>763</v>
      </c>
      <c r="H115" s="76" t="s">
        <v>864</v>
      </c>
      <c r="I115" s="76" t="s">
        <v>764</v>
      </c>
      <c r="J115" s="19" t="s">
        <v>2155</v>
      </c>
      <c r="K115" s="19" t="s">
        <v>118</v>
      </c>
      <c r="L115" s="19" t="s">
        <v>2181</v>
      </c>
      <c r="M115" s="19">
        <v>112</v>
      </c>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row>
    <row r="116" spans="1:53" s="20" customFormat="1" ht="15.75" customHeight="1" x14ac:dyDescent="0.25">
      <c r="A116" s="75">
        <v>113</v>
      </c>
      <c r="B116" s="76" t="s">
        <v>845</v>
      </c>
      <c r="C116" s="77" t="s">
        <v>378</v>
      </c>
      <c r="D116" s="185" t="s">
        <v>80</v>
      </c>
      <c r="E116" s="199">
        <v>23.9</v>
      </c>
      <c r="F116" s="76" t="s">
        <v>269</v>
      </c>
      <c r="G116" s="42" t="s">
        <v>761</v>
      </c>
      <c r="H116" s="76" t="s">
        <v>864</v>
      </c>
      <c r="I116" s="76" t="s">
        <v>762</v>
      </c>
      <c r="J116" s="19" t="s">
        <v>2155</v>
      </c>
      <c r="K116" s="19" t="s">
        <v>118</v>
      </c>
      <c r="L116" s="19" t="s">
        <v>2181</v>
      </c>
      <c r="M116" s="19">
        <v>113</v>
      </c>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row>
    <row r="117" spans="1:53" s="20" customFormat="1" ht="15.75" customHeight="1" x14ac:dyDescent="0.25">
      <c r="A117" s="75">
        <v>114</v>
      </c>
      <c r="B117" s="76" t="s">
        <v>845</v>
      </c>
      <c r="C117" s="77" t="s">
        <v>378</v>
      </c>
      <c r="D117" s="185" t="s">
        <v>80</v>
      </c>
      <c r="E117" s="199">
        <v>8.94</v>
      </c>
      <c r="F117" s="76" t="s">
        <v>269</v>
      </c>
      <c r="G117" s="42" t="s">
        <v>759</v>
      </c>
      <c r="H117" s="76" t="s">
        <v>864</v>
      </c>
      <c r="I117" s="76" t="s">
        <v>760</v>
      </c>
      <c r="J117" s="19" t="s">
        <v>2155</v>
      </c>
      <c r="K117" s="19" t="s">
        <v>118</v>
      </c>
      <c r="L117" s="19" t="s">
        <v>2181</v>
      </c>
      <c r="M117" s="19">
        <v>114</v>
      </c>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row>
    <row r="118" spans="1:53" s="20" customFormat="1" ht="15.75" customHeight="1" x14ac:dyDescent="0.25">
      <c r="A118" s="75">
        <v>115</v>
      </c>
      <c r="B118" s="76" t="s">
        <v>845</v>
      </c>
      <c r="C118" s="77" t="s">
        <v>378</v>
      </c>
      <c r="D118" s="185" t="s">
        <v>81</v>
      </c>
      <c r="E118" s="199">
        <v>32.36</v>
      </c>
      <c r="F118" s="76" t="s">
        <v>269</v>
      </c>
      <c r="G118" s="42" t="s">
        <v>757</v>
      </c>
      <c r="H118" s="76" t="s">
        <v>865</v>
      </c>
      <c r="I118" s="76" t="s">
        <v>758</v>
      </c>
      <c r="J118" s="19" t="s">
        <v>2155</v>
      </c>
      <c r="K118" s="19" t="s">
        <v>118</v>
      </c>
      <c r="L118" s="19" t="s">
        <v>2181</v>
      </c>
      <c r="M118" s="19">
        <v>115</v>
      </c>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row>
    <row r="119" spans="1:53" s="20" customFormat="1" ht="15.75" customHeight="1" x14ac:dyDescent="0.25">
      <c r="A119" s="75">
        <v>116</v>
      </c>
      <c r="B119" s="76" t="s">
        <v>845</v>
      </c>
      <c r="C119" s="77" t="s">
        <v>378</v>
      </c>
      <c r="D119" s="185" t="s">
        <v>81</v>
      </c>
      <c r="E119" s="199">
        <v>22.57</v>
      </c>
      <c r="F119" s="76" t="s">
        <v>269</v>
      </c>
      <c r="G119" s="42" t="s">
        <v>755</v>
      </c>
      <c r="H119" s="76" t="s">
        <v>865</v>
      </c>
      <c r="I119" s="76" t="s">
        <v>756</v>
      </c>
      <c r="J119" s="19" t="s">
        <v>2155</v>
      </c>
      <c r="K119" s="19" t="s">
        <v>118</v>
      </c>
      <c r="L119" s="19" t="s">
        <v>2181</v>
      </c>
      <c r="M119" s="19">
        <v>116</v>
      </c>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row>
    <row r="120" spans="1:53" s="20" customFormat="1" ht="15.75" customHeight="1" x14ac:dyDescent="0.25">
      <c r="A120" s="75">
        <v>117</v>
      </c>
      <c r="B120" s="76" t="s">
        <v>845</v>
      </c>
      <c r="C120" s="77" t="s">
        <v>378</v>
      </c>
      <c r="D120" s="185" t="s">
        <v>81</v>
      </c>
      <c r="E120" s="199">
        <v>13.98</v>
      </c>
      <c r="F120" s="76" t="s">
        <v>269</v>
      </c>
      <c r="G120" s="42" t="s">
        <v>753</v>
      </c>
      <c r="H120" s="76" t="s">
        <v>865</v>
      </c>
      <c r="I120" s="76" t="s">
        <v>754</v>
      </c>
      <c r="J120" s="19" t="s">
        <v>2155</v>
      </c>
      <c r="K120" s="19" t="s">
        <v>118</v>
      </c>
      <c r="L120" s="19" t="s">
        <v>2181</v>
      </c>
      <c r="M120" s="19">
        <v>117</v>
      </c>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row>
    <row r="121" spans="1:53" s="20" customFormat="1" ht="15.75" customHeight="1" x14ac:dyDescent="0.25">
      <c r="A121" s="75">
        <v>118</v>
      </c>
      <c r="B121" s="76" t="s">
        <v>845</v>
      </c>
      <c r="C121" s="77" t="s">
        <v>378</v>
      </c>
      <c r="D121" s="185" t="s">
        <v>81</v>
      </c>
      <c r="E121" s="199">
        <v>52.73</v>
      </c>
      <c r="F121" s="76" t="s">
        <v>269</v>
      </c>
      <c r="G121" s="42" t="s">
        <v>751</v>
      </c>
      <c r="H121" s="76" t="s">
        <v>866</v>
      </c>
      <c r="I121" s="76" t="s">
        <v>752</v>
      </c>
      <c r="J121" s="19" t="s">
        <v>2155</v>
      </c>
      <c r="K121" s="19" t="s">
        <v>118</v>
      </c>
      <c r="L121" s="19" t="s">
        <v>2181</v>
      </c>
      <c r="M121" s="19">
        <v>118</v>
      </c>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row>
    <row r="122" spans="1:53" s="20" customFormat="1" ht="15.75" customHeight="1" x14ac:dyDescent="0.25">
      <c r="A122" s="75">
        <v>119</v>
      </c>
      <c r="B122" s="76" t="s">
        <v>845</v>
      </c>
      <c r="C122" s="77" t="s">
        <v>378</v>
      </c>
      <c r="D122" s="185" t="s">
        <v>81</v>
      </c>
      <c r="E122" s="199">
        <v>66.91</v>
      </c>
      <c r="F122" s="76" t="s">
        <v>269</v>
      </c>
      <c r="G122" s="42" t="s">
        <v>749</v>
      </c>
      <c r="H122" s="76" t="s">
        <v>867</v>
      </c>
      <c r="I122" s="76" t="s">
        <v>750</v>
      </c>
      <c r="J122" s="19" t="s">
        <v>2155</v>
      </c>
      <c r="K122" s="19" t="s">
        <v>118</v>
      </c>
      <c r="L122" s="19" t="s">
        <v>2181</v>
      </c>
      <c r="M122" s="19">
        <v>119</v>
      </c>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row>
    <row r="123" spans="1:53" s="20" customFormat="1" ht="15.75" customHeight="1" x14ac:dyDescent="0.25">
      <c r="A123" s="75">
        <v>120</v>
      </c>
      <c r="B123" s="76" t="s">
        <v>845</v>
      </c>
      <c r="C123" s="77" t="s">
        <v>378</v>
      </c>
      <c r="D123" s="185" t="s">
        <v>81</v>
      </c>
      <c r="E123" s="199">
        <v>25.94</v>
      </c>
      <c r="F123" s="76" t="s">
        <v>269</v>
      </c>
      <c r="G123" s="42" t="s">
        <v>747</v>
      </c>
      <c r="H123" s="76" t="s">
        <v>868</v>
      </c>
      <c r="I123" s="76" t="s">
        <v>748</v>
      </c>
      <c r="J123" s="19" t="s">
        <v>2155</v>
      </c>
      <c r="K123" s="19" t="s">
        <v>118</v>
      </c>
      <c r="L123" s="19" t="s">
        <v>2181</v>
      </c>
      <c r="M123" s="19">
        <v>120</v>
      </c>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row>
    <row r="124" spans="1:53" s="20" customFormat="1" ht="15.75" customHeight="1" x14ac:dyDescent="0.25">
      <c r="A124" s="75">
        <v>121</v>
      </c>
      <c r="B124" s="76" t="s">
        <v>845</v>
      </c>
      <c r="C124" s="77" t="s">
        <v>378</v>
      </c>
      <c r="D124" s="185" t="s">
        <v>81</v>
      </c>
      <c r="E124" s="199">
        <v>25.95</v>
      </c>
      <c r="F124" s="76" t="s">
        <v>269</v>
      </c>
      <c r="G124" s="42" t="s">
        <v>745</v>
      </c>
      <c r="H124" s="76" t="s">
        <v>868</v>
      </c>
      <c r="I124" s="76" t="s">
        <v>746</v>
      </c>
      <c r="J124" s="19" t="s">
        <v>2155</v>
      </c>
      <c r="K124" s="19" t="s">
        <v>118</v>
      </c>
      <c r="L124" s="19" t="s">
        <v>2181</v>
      </c>
      <c r="M124" s="19">
        <v>121</v>
      </c>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row>
    <row r="125" spans="1:53" s="20" customFormat="1" ht="15.75" customHeight="1" x14ac:dyDescent="0.25">
      <c r="A125" s="75">
        <v>122</v>
      </c>
      <c r="B125" s="76" t="s">
        <v>845</v>
      </c>
      <c r="C125" s="77" t="s">
        <v>378</v>
      </c>
      <c r="D125" s="185" t="s">
        <v>81</v>
      </c>
      <c r="E125" s="199">
        <v>24.65</v>
      </c>
      <c r="F125" s="76" t="s">
        <v>269</v>
      </c>
      <c r="G125" s="42" t="s">
        <v>743</v>
      </c>
      <c r="H125" s="76" t="s">
        <v>869</v>
      </c>
      <c r="I125" s="76" t="s">
        <v>744</v>
      </c>
      <c r="J125" s="19" t="s">
        <v>2155</v>
      </c>
      <c r="K125" s="19" t="s">
        <v>118</v>
      </c>
      <c r="L125" s="19" t="s">
        <v>2181</v>
      </c>
      <c r="M125" s="19">
        <v>122</v>
      </c>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row>
    <row r="126" spans="1:53" s="20" customFormat="1" ht="15.75" customHeight="1" x14ac:dyDescent="0.25">
      <c r="A126" s="75">
        <v>123</v>
      </c>
      <c r="B126" s="76" t="s">
        <v>845</v>
      </c>
      <c r="C126" s="77" t="s">
        <v>378</v>
      </c>
      <c r="D126" s="185" t="s">
        <v>81</v>
      </c>
      <c r="E126" s="199">
        <v>40.24</v>
      </c>
      <c r="F126" s="76" t="s">
        <v>269</v>
      </c>
      <c r="G126" s="42" t="s">
        <v>741</v>
      </c>
      <c r="H126" s="76" t="s">
        <v>870</v>
      </c>
      <c r="I126" s="76" t="s">
        <v>742</v>
      </c>
      <c r="J126" s="19" t="s">
        <v>2155</v>
      </c>
      <c r="K126" s="19" t="s">
        <v>118</v>
      </c>
      <c r="L126" s="19" t="s">
        <v>2181</v>
      </c>
      <c r="M126" s="19">
        <v>123</v>
      </c>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row>
    <row r="127" spans="1:53" s="20" customFormat="1" ht="15.75" customHeight="1" x14ac:dyDescent="0.25">
      <c r="A127" s="75">
        <v>124</v>
      </c>
      <c r="B127" s="76" t="s">
        <v>845</v>
      </c>
      <c r="C127" s="77" t="s">
        <v>378</v>
      </c>
      <c r="D127" s="185" t="s">
        <v>81</v>
      </c>
      <c r="E127" s="199">
        <v>16.940000000000001</v>
      </c>
      <c r="F127" s="76" t="s">
        <v>269</v>
      </c>
      <c r="G127" s="42" t="s">
        <v>739</v>
      </c>
      <c r="H127" s="76" t="s">
        <v>870</v>
      </c>
      <c r="I127" s="76" t="s">
        <v>740</v>
      </c>
      <c r="J127" s="19" t="s">
        <v>2155</v>
      </c>
      <c r="K127" s="19" t="s">
        <v>118</v>
      </c>
      <c r="L127" s="19" t="s">
        <v>2181</v>
      </c>
      <c r="M127" s="19">
        <v>124</v>
      </c>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row>
    <row r="128" spans="1:53" s="20" customFormat="1" ht="15.75" customHeight="1" x14ac:dyDescent="0.25">
      <c r="A128" s="75">
        <v>125</v>
      </c>
      <c r="B128" s="76" t="s">
        <v>845</v>
      </c>
      <c r="C128" s="77" t="s">
        <v>378</v>
      </c>
      <c r="D128" s="185" t="s">
        <v>81</v>
      </c>
      <c r="E128" s="199">
        <v>26.96</v>
      </c>
      <c r="F128" s="76" t="s">
        <v>269</v>
      </c>
      <c r="G128" s="42" t="s">
        <v>737</v>
      </c>
      <c r="H128" s="76" t="s">
        <v>870</v>
      </c>
      <c r="I128" s="76" t="s">
        <v>738</v>
      </c>
      <c r="J128" s="19" t="s">
        <v>2155</v>
      </c>
      <c r="K128" s="19" t="s">
        <v>118</v>
      </c>
      <c r="L128" s="19" t="s">
        <v>2181</v>
      </c>
      <c r="M128" s="19">
        <v>125</v>
      </c>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row>
    <row r="129" spans="1:53" s="20" customFormat="1" ht="15.75" customHeight="1" x14ac:dyDescent="0.25">
      <c r="A129" s="75">
        <v>126</v>
      </c>
      <c r="B129" s="76" t="s">
        <v>845</v>
      </c>
      <c r="C129" s="77" t="s">
        <v>378</v>
      </c>
      <c r="D129" s="185" t="s">
        <v>81</v>
      </c>
      <c r="E129" s="199">
        <v>27.94</v>
      </c>
      <c r="F129" s="76" t="s">
        <v>269</v>
      </c>
      <c r="G129" s="42" t="s">
        <v>735</v>
      </c>
      <c r="H129" s="76" t="s">
        <v>871</v>
      </c>
      <c r="I129" s="76" t="s">
        <v>736</v>
      </c>
      <c r="J129" s="19" t="s">
        <v>2155</v>
      </c>
      <c r="K129" s="19" t="s">
        <v>118</v>
      </c>
      <c r="L129" s="19" t="s">
        <v>2181</v>
      </c>
      <c r="M129" s="19">
        <v>126</v>
      </c>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row>
    <row r="130" spans="1:53" s="20" customFormat="1" ht="15.75" customHeight="1" x14ac:dyDescent="0.25">
      <c r="A130" s="75">
        <v>127</v>
      </c>
      <c r="B130" s="76" t="s">
        <v>845</v>
      </c>
      <c r="C130" s="77" t="s">
        <v>378</v>
      </c>
      <c r="D130" s="185" t="s">
        <v>81</v>
      </c>
      <c r="E130" s="199">
        <v>27.01</v>
      </c>
      <c r="F130" s="76" t="s">
        <v>269</v>
      </c>
      <c r="G130" s="42" t="s">
        <v>733</v>
      </c>
      <c r="H130" s="76" t="s">
        <v>872</v>
      </c>
      <c r="I130" s="76" t="s">
        <v>734</v>
      </c>
      <c r="J130" s="19" t="s">
        <v>2155</v>
      </c>
      <c r="K130" s="19" t="s">
        <v>118</v>
      </c>
      <c r="L130" s="19" t="s">
        <v>2181</v>
      </c>
      <c r="M130" s="19">
        <v>127</v>
      </c>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row>
    <row r="131" spans="1:53" s="20" customFormat="1" ht="15.75" customHeight="1" x14ac:dyDescent="0.25">
      <c r="A131" s="75">
        <v>128</v>
      </c>
      <c r="B131" s="76" t="s">
        <v>845</v>
      </c>
      <c r="C131" s="77" t="s">
        <v>378</v>
      </c>
      <c r="D131" s="185" t="s">
        <v>81</v>
      </c>
      <c r="E131" s="199">
        <v>34.26</v>
      </c>
      <c r="F131" s="76" t="s">
        <v>269</v>
      </c>
      <c r="G131" s="42" t="s">
        <v>731</v>
      </c>
      <c r="H131" s="76" t="s">
        <v>873</v>
      </c>
      <c r="I131" s="76" t="s">
        <v>732</v>
      </c>
      <c r="J131" s="19" t="s">
        <v>2155</v>
      </c>
      <c r="K131" s="19" t="s">
        <v>118</v>
      </c>
      <c r="L131" s="19" t="s">
        <v>2181</v>
      </c>
      <c r="M131" s="19">
        <v>128</v>
      </c>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row>
    <row r="132" spans="1:53" s="20" customFormat="1" ht="15.75" customHeight="1" x14ac:dyDescent="0.25">
      <c r="A132" s="75">
        <v>129</v>
      </c>
      <c r="B132" s="76" t="s">
        <v>845</v>
      </c>
      <c r="C132" s="77" t="s">
        <v>378</v>
      </c>
      <c r="D132" s="185" t="s">
        <v>82</v>
      </c>
      <c r="E132" s="199">
        <v>44.47</v>
      </c>
      <c r="F132" s="76" t="s">
        <v>269</v>
      </c>
      <c r="G132" s="42" t="s">
        <v>729</v>
      </c>
      <c r="H132" s="76" t="s">
        <v>874</v>
      </c>
      <c r="I132" s="76" t="s">
        <v>730</v>
      </c>
      <c r="J132" s="19" t="s">
        <v>2155</v>
      </c>
      <c r="K132" s="19" t="s">
        <v>118</v>
      </c>
      <c r="L132" s="19" t="s">
        <v>2181</v>
      </c>
      <c r="M132" s="19">
        <v>129</v>
      </c>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row>
    <row r="133" spans="1:53" s="20" customFormat="1" ht="15.75" customHeight="1" x14ac:dyDescent="0.25">
      <c r="A133" s="75">
        <v>130</v>
      </c>
      <c r="B133" s="76" t="s">
        <v>845</v>
      </c>
      <c r="C133" s="77" t="s">
        <v>378</v>
      </c>
      <c r="D133" s="185" t="s">
        <v>82</v>
      </c>
      <c r="E133" s="199">
        <v>30.41</v>
      </c>
      <c r="F133" s="76" t="s">
        <v>269</v>
      </c>
      <c r="G133" s="42" t="s">
        <v>727</v>
      </c>
      <c r="H133" s="76" t="s">
        <v>874</v>
      </c>
      <c r="I133" s="76" t="s">
        <v>728</v>
      </c>
      <c r="J133" s="19" t="s">
        <v>2155</v>
      </c>
      <c r="K133" s="19" t="s">
        <v>118</v>
      </c>
      <c r="L133" s="19" t="s">
        <v>2181</v>
      </c>
      <c r="M133" s="19">
        <v>130</v>
      </c>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row>
    <row r="134" spans="1:53" s="20" customFormat="1" ht="15.75" customHeight="1" x14ac:dyDescent="0.25">
      <c r="A134" s="75">
        <v>131</v>
      </c>
      <c r="B134" s="76" t="s">
        <v>845</v>
      </c>
      <c r="C134" s="77" t="s">
        <v>378</v>
      </c>
      <c r="D134" s="185" t="s">
        <v>82</v>
      </c>
      <c r="E134" s="199">
        <v>40.51</v>
      </c>
      <c r="F134" s="76" t="s">
        <v>269</v>
      </c>
      <c r="G134" s="42" t="s">
        <v>725</v>
      </c>
      <c r="H134" s="76" t="s">
        <v>875</v>
      </c>
      <c r="I134" s="76" t="s">
        <v>726</v>
      </c>
      <c r="J134" s="19" t="s">
        <v>2155</v>
      </c>
      <c r="K134" s="19" t="s">
        <v>118</v>
      </c>
      <c r="L134" s="19" t="s">
        <v>2181</v>
      </c>
      <c r="M134" s="19">
        <v>131</v>
      </c>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row>
    <row r="135" spans="1:53" s="20" customFormat="1" ht="15.75" customHeight="1" x14ac:dyDescent="0.25">
      <c r="A135" s="75">
        <v>132</v>
      </c>
      <c r="B135" s="76" t="s">
        <v>845</v>
      </c>
      <c r="C135" s="77" t="s">
        <v>378</v>
      </c>
      <c r="D135" s="185" t="s">
        <v>82</v>
      </c>
      <c r="E135" s="199">
        <v>25.3</v>
      </c>
      <c r="F135" s="76" t="s">
        <v>269</v>
      </c>
      <c r="G135" s="42" t="s">
        <v>723</v>
      </c>
      <c r="H135" s="76" t="s">
        <v>876</v>
      </c>
      <c r="I135" s="76" t="s">
        <v>724</v>
      </c>
      <c r="J135" s="19" t="s">
        <v>2155</v>
      </c>
      <c r="K135" s="19" t="s">
        <v>118</v>
      </c>
      <c r="L135" s="19" t="s">
        <v>2181</v>
      </c>
      <c r="M135" s="19">
        <v>132</v>
      </c>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row>
    <row r="136" spans="1:53" s="20" customFormat="1" ht="15.75" customHeight="1" x14ac:dyDescent="0.25">
      <c r="A136" s="75">
        <v>133</v>
      </c>
      <c r="B136" s="76" t="s">
        <v>845</v>
      </c>
      <c r="C136" s="77" t="s">
        <v>378</v>
      </c>
      <c r="D136" s="185" t="s">
        <v>82</v>
      </c>
      <c r="E136" s="199">
        <v>25.6</v>
      </c>
      <c r="F136" s="76" t="s">
        <v>269</v>
      </c>
      <c r="G136" s="42" t="s">
        <v>721</v>
      </c>
      <c r="H136" s="76" t="s">
        <v>876</v>
      </c>
      <c r="I136" s="78" t="s">
        <v>722</v>
      </c>
      <c r="J136" s="19" t="s">
        <v>2155</v>
      </c>
      <c r="K136" s="19" t="s">
        <v>118</v>
      </c>
      <c r="L136" s="19" t="s">
        <v>2181</v>
      </c>
      <c r="M136" s="19">
        <v>133</v>
      </c>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row>
    <row r="137" spans="1:53" s="20" customFormat="1" ht="15.75" customHeight="1" x14ac:dyDescent="0.25">
      <c r="A137" s="75">
        <v>134</v>
      </c>
      <c r="B137" s="76" t="s">
        <v>845</v>
      </c>
      <c r="C137" s="77" t="s">
        <v>378</v>
      </c>
      <c r="D137" s="185" t="s">
        <v>82</v>
      </c>
      <c r="E137" s="199">
        <v>23.54</v>
      </c>
      <c r="F137" s="76" t="s">
        <v>269</v>
      </c>
      <c r="G137" s="42" t="s">
        <v>719</v>
      </c>
      <c r="H137" s="76" t="s">
        <v>877</v>
      </c>
      <c r="I137" s="76" t="s">
        <v>720</v>
      </c>
      <c r="J137" s="19" t="s">
        <v>2155</v>
      </c>
      <c r="K137" s="19" t="s">
        <v>118</v>
      </c>
      <c r="L137" s="19" t="s">
        <v>2181</v>
      </c>
      <c r="M137" s="19">
        <v>134</v>
      </c>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row>
    <row r="138" spans="1:53" s="20" customFormat="1" ht="15.75" customHeight="1" x14ac:dyDescent="0.25">
      <c r="A138" s="75">
        <v>135</v>
      </c>
      <c r="B138" s="76" t="s">
        <v>845</v>
      </c>
      <c r="C138" s="77" t="s">
        <v>378</v>
      </c>
      <c r="D138" s="185" t="s">
        <v>82</v>
      </c>
      <c r="E138" s="199">
        <v>38.22</v>
      </c>
      <c r="F138" s="76" t="s">
        <v>269</v>
      </c>
      <c r="G138" s="42" t="s">
        <v>717</v>
      </c>
      <c r="H138" s="76" t="s">
        <v>877</v>
      </c>
      <c r="I138" s="76" t="s">
        <v>718</v>
      </c>
      <c r="J138" s="19" t="s">
        <v>2155</v>
      </c>
      <c r="K138" s="19" t="s">
        <v>118</v>
      </c>
      <c r="L138" s="19" t="s">
        <v>2181</v>
      </c>
      <c r="M138" s="19">
        <v>135</v>
      </c>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row>
    <row r="139" spans="1:53" s="20" customFormat="1" ht="15.75" customHeight="1" x14ac:dyDescent="0.25">
      <c r="A139" s="75">
        <v>136</v>
      </c>
      <c r="B139" s="76" t="s">
        <v>845</v>
      </c>
      <c r="C139" s="77" t="s">
        <v>378</v>
      </c>
      <c r="D139" s="185" t="s">
        <v>82</v>
      </c>
      <c r="E139" s="199">
        <v>20.8</v>
      </c>
      <c r="F139" s="76" t="s">
        <v>269</v>
      </c>
      <c r="G139" s="42" t="s">
        <v>715</v>
      </c>
      <c r="H139" s="76" t="s">
        <v>878</v>
      </c>
      <c r="I139" s="76" t="s">
        <v>716</v>
      </c>
      <c r="J139" s="19" t="s">
        <v>2155</v>
      </c>
      <c r="K139" s="19" t="s">
        <v>118</v>
      </c>
      <c r="L139" s="19" t="s">
        <v>2181</v>
      </c>
      <c r="M139" s="19">
        <v>136</v>
      </c>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row>
    <row r="140" spans="1:53" s="20" customFormat="1" ht="15.75" customHeight="1" x14ac:dyDescent="0.25">
      <c r="A140" s="75">
        <v>137</v>
      </c>
      <c r="B140" s="76" t="s">
        <v>845</v>
      </c>
      <c r="C140" s="77" t="s">
        <v>378</v>
      </c>
      <c r="D140" s="185" t="s">
        <v>82</v>
      </c>
      <c r="E140" s="199">
        <v>26.5</v>
      </c>
      <c r="F140" s="76" t="s">
        <v>269</v>
      </c>
      <c r="G140" s="42" t="s">
        <v>713</v>
      </c>
      <c r="H140" s="76" t="s">
        <v>878</v>
      </c>
      <c r="I140" s="76" t="s">
        <v>714</v>
      </c>
      <c r="J140" s="19" t="s">
        <v>2155</v>
      </c>
      <c r="K140" s="19" t="s">
        <v>118</v>
      </c>
      <c r="L140" s="19" t="s">
        <v>2181</v>
      </c>
      <c r="M140" s="19">
        <v>137</v>
      </c>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row>
    <row r="141" spans="1:53" s="20" customFormat="1" ht="15.75" customHeight="1" x14ac:dyDescent="0.25">
      <c r="A141" s="75">
        <v>138</v>
      </c>
      <c r="B141" s="76" t="s">
        <v>845</v>
      </c>
      <c r="C141" s="77" t="s">
        <v>378</v>
      </c>
      <c r="D141" s="185" t="s">
        <v>82</v>
      </c>
      <c r="E141" s="199">
        <v>31.65</v>
      </c>
      <c r="F141" s="76" t="s">
        <v>269</v>
      </c>
      <c r="G141" s="42" t="s">
        <v>711</v>
      </c>
      <c r="H141" s="76" t="s">
        <v>879</v>
      </c>
      <c r="I141" s="76" t="s">
        <v>712</v>
      </c>
      <c r="J141" s="19" t="s">
        <v>2155</v>
      </c>
      <c r="K141" s="19" t="s">
        <v>118</v>
      </c>
      <c r="L141" s="19" t="s">
        <v>2181</v>
      </c>
      <c r="M141" s="19">
        <v>138</v>
      </c>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row>
    <row r="142" spans="1:53" s="20" customFormat="1" ht="15.75" customHeight="1" x14ac:dyDescent="0.25">
      <c r="A142" s="75">
        <v>139</v>
      </c>
      <c r="B142" s="76" t="s">
        <v>845</v>
      </c>
      <c r="C142" s="77" t="s">
        <v>378</v>
      </c>
      <c r="D142" s="185" t="s">
        <v>82</v>
      </c>
      <c r="E142" s="199">
        <v>15.52</v>
      </c>
      <c r="F142" s="76" t="s">
        <v>269</v>
      </c>
      <c r="G142" s="42" t="s">
        <v>709</v>
      </c>
      <c r="H142" s="76" t="s">
        <v>879</v>
      </c>
      <c r="I142" s="76" t="s">
        <v>710</v>
      </c>
      <c r="J142" s="19" t="s">
        <v>2155</v>
      </c>
      <c r="K142" s="19" t="s">
        <v>118</v>
      </c>
      <c r="L142" s="19" t="s">
        <v>2181</v>
      </c>
      <c r="M142" s="19">
        <v>139</v>
      </c>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row>
    <row r="143" spans="1:53" s="20" customFormat="1" ht="15.75" customHeight="1" x14ac:dyDescent="0.25">
      <c r="A143" s="75">
        <v>140</v>
      </c>
      <c r="B143" s="76" t="s">
        <v>845</v>
      </c>
      <c r="C143" s="77" t="s">
        <v>378</v>
      </c>
      <c r="D143" s="185" t="s">
        <v>82</v>
      </c>
      <c r="E143" s="199">
        <v>27.25</v>
      </c>
      <c r="F143" s="76" t="s">
        <v>269</v>
      </c>
      <c r="G143" s="42" t="s">
        <v>707</v>
      </c>
      <c r="H143" s="76" t="s">
        <v>880</v>
      </c>
      <c r="I143" s="76" t="s">
        <v>708</v>
      </c>
      <c r="J143" s="19" t="s">
        <v>2155</v>
      </c>
      <c r="K143" s="19" t="s">
        <v>118</v>
      </c>
      <c r="L143" s="19" t="s">
        <v>2181</v>
      </c>
      <c r="M143" s="19">
        <v>140</v>
      </c>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row>
    <row r="144" spans="1:53" s="20" customFormat="1" ht="15.75" customHeight="1" x14ac:dyDescent="0.25">
      <c r="A144" s="75">
        <v>141</v>
      </c>
      <c r="B144" s="76" t="s">
        <v>845</v>
      </c>
      <c r="C144" s="77" t="s">
        <v>378</v>
      </c>
      <c r="D144" s="185" t="s">
        <v>82</v>
      </c>
      <c r="E144" s="199">
        <v>21.57</v>
      </c>
      <c r="F144" s="76" t="s">
        <v>269</v>
      </c>
      <c r="G144" s="42" t="s">
        <v>705</v>
      </c>
      <c r="H144" s="76" t="s">
        <v>880</v>
      </c>
      <c r="I144" s="78" t="s">
        <v>706</v>
      </c>
      <c r="J144" s="19" t="s">
        <v>2155</v>
      </c>
      <c r="K144" s="19" t="s">
        <v>118</v>
      </c>
      <c r="L144" s="19" t="s">
        <v>2181</v>
      </c>
      <c r="M144" s="19">
        <v>141</v>
      </c>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row>
    <row r="145" spans="1:53" s="20" customFormat="1" ht="15.75" customHeight="1" x14ac:dyDescent="0.25">
      <c r="A145" s="75">
        <v>142</v>
      </c>
      <c r="B145" s="76" t="s">
        <v>845</v>
      </c>
      <c r="C145" s="77" t="s">
        <v>378</v>
      </c>
      <c r="D145" s="185" t="s">
        <v>82</v>
      </c>
      <c r="E145" s="199">
        <v>35.86</v>
      </c>
      <c r="F145" s="76" t="s">
        <v>269</v>
      </c>
      <c r="G145" s="42" t="s">
        <v>703</v>
      </c>
      <c r="H145" s="76" t="s">
        <v>881</v>
      </c>
      <c r="I145" s="76" t="s">
        <v>704</v>
      </c>
      <c r="J145" s="19" t="s">
        <v>2155</v>
      </c>
      <c r="K145" s="19" t="s">
        <v>118</v>
      </c>
      <c r="L145" s="19" t="s">
        <v>2181</v>
      </c>
      <c r="M145" s="19">
        <v>142</v>
      </c>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row>
    <row r="146" spans="1:53" s="20" customFormat="1" ht="15.75" customHeight="1" x14ac:dyDescent="0.25">
      <c r="A146" s="75">
        <v>143</v>
      </c>
      <c r="B146" s="76" t="s">
        <v>845</v>
      </c>
      <c r="C146" s="77" t="s">
        <v>700</v>
      </c>
      <c r="D146" s="185" t="s">
        <v>82</v>
      </c>
      <c r="E146" s="199">
        <v>20.2</v>
      </c>
      <c r="F146" s="76" t="s">
        <v>269</v>
      </c>
      <c r="G146" s="42" t="s">
        <v>701</v>
      </c>
      <c r="H146" s="76" t="s">
        <v>882</v>
      </c>
      <c r="I146" s="76" t="s">
        <v>702</v>
      </c>
      <c r="J146" s="19" t="s">
        <v>2155</v>
      </c>
      <c r="K146" s="19" t="s">
        <v>118</v>
      </c>
      <c r="L146" s="19" t="s">
        <v>2181</v>
      </c>
      <c r="M146" s="19">
        <v>143</v>
      </c>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row>
    <row r="147" spans="1:53" s="20" customFormat="1" ht="15.75" customHeight="1" x14ac:dyDescent="0.25">
      <c r="A147" s="75">
        <v>144</v>
      </c>
      <c r="B147" s="76" t="s">
        <v>845</v>
      </c>
      <c r="C147" s="77" t="s">
        <v>378</v>
      </c>
      <c r="D147" s="185" t="s">
        <v>82</v>
      </c>
      <c r="E147" s="199">
        <v>14.06</v>
      </c>
      <c r="F147" s="76" t="s">
        <v>269</v>
      </c>
      <c r="G147" s="42" t="s">
        <v>698</v>
      </c>
      <c r="H147" s="76" t="s">
        <v>882</v>
      </c>
      <c r="I147" s="76" t="s">
        <v>699</v>
      </c>
      <c r="J147" s="19" t="s">
        <v>2155</v>
      </c>
      <c r="K147" s="19" t="s">
        <v>118</v>
      </c>
      <c r="L147" s="19" t="s">
        <v>2181</v>
      </c>
      <c r="M147" s="19">
        <v>144</v>
      </c>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row>
    <row r="148" spans="1:53" s="20" customFormat="1" ht="15.75" customHeight="1" x14ac:dyDescent="0.25">
      <c r="A148" s="75">
        <v>145</v>
      </c>
      <c r="B148" s="76" t="s">
        <v>845</v>
      </c>
      <c r="C148" s="77" t="s">
        <v>378</v>
      </c>
      <c r="D148" s="185" t="s">
        <v>82</v>
      </c>
      <c r="E148" s="199">
        <v>19.899999999999999</v>
      </c>
      <c r="F148" s="76" t="s">
        <v>269</v>
      </c>
      <c r="G148" s="42" t="s">
        <v>696</v>
      </c>
      <c r="H148" s="76" t="s">
        <v>882</v>
      </c>
      <c r="I148" s="76" t="s">
        <v>697</v>
      </c>
      <c r="J148" s="19" t="s">
        <v>2155</v>
      </c>
      <c r="K148" s="19" t="s">
        <v>118</v>
      </c>
      <c r="L148" s="19" t="s">
        <v>2181</v>
      </c>
      <c r="M148" s="19">
        <v>145</v>
      </c>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row>
    <row r="149" spans="1:53" s="20" customFormat="1" ht="15.75" customHeight="1" x14ac:dyDescent="0.25">
      <c r="A149" s="75">
        <v>146</v>
      </c>
      <c r="B149" s="76" t="s">
        <v>845</v>
      </c>
      <c r="C149" s="77" t="s">
        <v>378</v>
      </c>
      <c r="D149" s="185" t="s">
        <v>82</v>
      </c>
      <c r="E149" s="199">
        <v>11.74</v>
      </c>
      <c r="F149" s="76" t="s">
        <v>269</v>
      </c>
      <c r="G149" s="42" t="s">
        <v>694</v>
      </c>
      <c r="H149" s="76" t="s">
        <v>882</v>
      </c>
      <c r="I149" s="76" t="s">
        <v>695</v>
      </c>
      <c r="J149" s="19" t="s">
        <v>2155</v>
      </c>
      <c r="K149" s="19" t="s">
        <v>118</v>
      </c>
      <c r="L149" s="19" t="s">
        <v>2181</v>
      </c>
      <c r="M149" s="19">
        <v>146</v>
      </c>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row>
    <row r="150" spans="1:53" s="20" customFormat="1" ht="15.75" customHeight="1" x14ac:dyDescent="0.25">
      <c r="A150" s="75">
        <v>147</v>
      </c>
      <c r="B150" s="76" t="s">
        <v>845</v>
      </c>
      <c r="C150" s="77" t="s">
        <v>378</v>
      </c>
      <c r="D150" s="185" t="s">
        <v>82</v>
      </c>
      <c r="E150" s="199">
        <v>26.5</v>
      </c>
      <c r="F150" s="76" t="s">
        <v>269</v>
      </c>
      <c r="G150" s="42" t="s">
        <v>692</v>
      </c>
      <c r="H150" s="76" t="s">
        <v>883</v>
      </c>
      <c r="I150" s="76" t="s">
        <v>693</v>
      </c>
      <c r="J150" s="19" t="s">
        <v>2155</v>
      </c>
      <c r="K150" s="19" t="s">
        <v>118</v>
      </c>
      <c r="L150" s="19" t="s">
        <v>2181</v>
      </c>
      <c r="M150" s="19">
        <v>147</v>
      </c>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row>
    <row r="151" spans="1:53" s="20" customFormat="1" ht="15.75" customHeight="1" x14ac:dyDescent="0.25">
      <c r="A151" s="75">
        <v>148</v>
      </c>
      <c r="B151" s="76" t="s">
        <v>845</v>
      </c>
      <c r="C151" s="77" t="s">
        <v>378</v>
      </c>
      <c r="D151" s="185" t="s">
        <v>82</v>
      </c>
      <c r="E151" s="199">
        <v>25.93</v>
      </c>
      <c r="F151" s="76" t="s">
        <v>269</v>
      </c>
      <c r="G151" s="42" t="s">
        <v>690</v>
      </c>
      <c r="H151" s="76" t="s">
        <v>883</v>
      </c>
      <c r="I151" s="76" t="s">
        <v>691</v>
      </c>
      <c r="J151" s="19" t="s">
        <v>2155</v>
      </c>
      <c r="K151" s="19" t="s">
        <v>118</v>
      </c>
      <c r="L151" s="19" t="s">
        <v>2181</v>
      </c>
      <c r="M151" s="19">
        <v>148</v>
      </c>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row>
    <row r="152" spans="1:53" s="20" customFormat="1" ht="15.75" customHeight="1" x14ac:dyDescent="0.25">
      <c r="A152" s="79">
        <v>149</v>
      </c>
      <c r="B152" s="80" t="s">
        <v>845</v>
      </c>
      <c r="C152" s="80" t="s">
        <v>378</v>
      </c>
      <c r="D152" s="186" t="s">
        <v>82</v>
      </c>
      <c r="E152" s="200">
        <v>19.510000000000002</v>
      </c>
      <c r="F152" s="80" t="s">
        <v>269</v>
      </c>
      <c r="G152" s="42" t="s">
        <v>688</v>
      </c>
      <c r="H152" s="80" t="s">
        <v>884</v>
      </c>
      <c r="I152" s="80" t="s">
        <v>689</v>
      </c>
      <c r="J152" s="19" t="s">
        <v>2155</v>
      </c>
      <c r="K152" s="19" t="s">
        <v>118</v>
      </c>
      <c r="L152" s="19" t="s">
        <v>2181</v>
      </c>
      <c r="M152" s="19">
        <v>149</v>
      </c>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row>
    <row r="153" spans="1:53" s="20" customFormat="1" ht="15.75" customHeight="1" x14ac:dyDescent="0.25">
      <c r="A153" s="75">
        <v>150</v>
      </c>
      <c r="B153" s="76" t="s">
        <v>845</v>
      </c>
      <c r="C153" s="76" t="s">
        <v>378</v>
      </c>
      <c r="D153" s="185" t="s">
        <v>82</v>
      </c>
      <c r="E153" s="199">
        <v>7.94</v>
      </c>
      <c r="F153" s="76" t="s">
        <v>269</v>
      </c>
      <c r="G153" s="42" t="s">
        <v>686</v>
      </c>
      <c r="H153" s="76" t="s">
        <v>884</v>
      </c>
      <c r="I153" s="76" t="s">
        <v>687</v>
      </c>
      <c r="J153" s="19" t="s">
        <v>2155</v>
      </c>
      <c r="K153" s="19" t="s">
        <v>118</v>
      </c>
      <c r="L153" s="19" t="s">
        <v>2181</v>
      </c>
      <c r="M153" s="19">
        <v>150</v>
      </c>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row>
    <row r="154" spans="1:53" s="20" customFormat="1" ht="15.75" customHeight="1" x14ac:dyDescent="0.25">
      <c r="A154" s="75">
        <v>151</v>
      </c>
      <c r="B154" s="76" t="s">
        <v>845</v>
      </c>
      <c r="C154" s="76" t="s">
        <v>378</v>
      </c>
      <c r="D154" s="185" t="s">
        <v>83</v>
      </c>
      <c r="E154" s="199">
        <v>27.7</v>
      </c>
      <c r="F154" s="76" t="s">
        <v>269</v>
      </c>
      <c r="G154" s="42" t="s">
        <v>684</v>
      </c>
      <c r="H154" s="76" t="s">
        <v>885</v>
      </c>
      <c r="I154" s="76" t="s">
        <v>685</v>
      </c>
      <c r="J154" s="19" t="s">
        <v>2155</v>
      </c>
      <c r="K154" s="19" t="s">
        <v>118</v>
      </c>
      <c r="L154" s="19" t="s">
        <v>2181</v>
      </c>
      <c r="M154" s="19">
        <v>151</v>
      </c>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row>
    <row r="155" spans="1:53" s="20" customFormat="1" ht="15.75" customHeight="1" x14ac:dyDescent="0.25">
      <c r="A155" s="75">
        <v>152</v>
      </c>
      <c r="B155" s="76" t="s">
        <v>845</v>
      </c>
      <c r="C155" s="76" t="s">
        <v>378</v>
      </c>
      <c r="D155" s="185" t="s">
        <v>83</v>
      </c>
      <c r="E155" s="199">
        <v>26.69</v>
      </c>
      <c r="F155" s="76" t="s">
        <v>269</v>
      </c>
      <c r="G155" s="42" t="s">
        <v>682</v>
      </c>
      <c r="H155" s="76" t="s">
        <v>886</v>
      </c>
      <c r="I155" s="76" t="s">
        <v>683</v>
      </c>
      <c r="J155" s="19" t="s">
        <v>2155</v>
      </c>
      <c r="K155" s="19" t="s">
        <v>118</v>
      </c>
      <c r="L155" s="19" t="s">
        <v>2181</v>
      </c>
      <c r="M155" s="19">
        <v>152</v>
      </c>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row>
    <row r="156" spans="1:53" s="20" customFormat="1" ht="15.75" customHeight="1" x14ac:dyDescent="0.25">
      <c r="A156" s="75">
        <v>153</v>
      </c>
      <c r="B156" s="76" t="s">
        <v>845</v>
      </c>
      <c r="C156" s="76" t="s">
        <v>378</v>
      </c>
      <c r="D156" s="185" t="s">
        <v>83</v>
      </c>
      <c r="E156" s="199">
        <v>23.58</v>
      </c>
      <c r="F156" s="76" t="s">
        <v>269</v>
      </c>
      <c r="G156" s="42" t="s">
        <v>680</v>
      </c>
      <c r="H156" s="76" t="s">
        <v>886</v>
      </c>
      <c r="I156" s="76" t="s">
        <v>681</v>
      </c>
      <c r="J156" s="19" t="s">
        <v>2155</v>
      </c>
      <c r="K156" s="19" t="s">
        <v>118</v>
      </c>
      <c r="L156" s="19" t="s">
        <v>2181</v>
      </c>
      <c r="M156" s="19">
        <v>153</v>
      </c>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row>
    <row r="157" spans="1:53" s="20" customFormat="1" ht="15.75" customHeight="1" x14ac:dyDescent="0.25">
      <c r="A157" s="75">
        <v>154</v>
      </c>
      <c r="B157" s="76" t="s">
        <v>845</v>
      </c>
      <c r="C157" s="76" t="s">
        <v>378</v>
      </c>
      <c r="D157" s="185" t="s">
        <v>83</v>
      </c>
      <c r="E157" s="199">
        <v>27.61</v>
      </c>
      <c r="F157" s="76" t="s">
        <v>269</v>
      </c>
      <c r="G157" s="42" t="s">
        <v>678</v>
      </c>
      <c r="H157" s="76" t="s">
        <v>886</v>
      </c>
      <c r="I157" s="76" t="s">
        <v>679</v>
      </c>
      <c r="J157" s="19" t="s">
        <v>2155</v>
      </c>
      <c r="K157" s="19" t="s">
        <v>118</v>
      </c>
      <c r="L157" s="19" t="s">
        <v>2181</v>
      </c>
      <c r="M157" s="19">
        <v>154</v>
      </c>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row>
    <row r="158" spans="1:53" s="20" customFormat="1" ht="15.75" customHeight="1" x14ac:dyDescent="0.25">
      <c r="A158" s="75">
        <v>155</v>
      </c>
      <c r="B158" s="76" t="s">
        <v>845</v>
      </c>
      <c r="C158" s="76" t="s">
        <v>378</v>
      </c>
      <c r="D158" s="185" t="s">
        <v>83</v>
      </c>
      <c r="E158" s="199">
        <v>24.78</v>
      </c>
      <c r="F158" s="76" t="s">
        <v>269</v>
      </c>
      <c r="G158" s="42" t="s">
        <v>676</v>
      </c>
      <c r="H158" s="76" t="s">
        <v>886</v>
      </c>
      <c r="I158" s="76" t="s">
        <v>677</v>
      </c>
      <c r="J158" s="19" t="s">
        <v>2155</v>
      </c>
      <c r="K158" s="19" t="s">
        <v>118</v>
      </c>
      <c r="L158" s="19" t="s">
        <v>2181</v>
      </c>
      <c r="M158" s="19">
        <v>155</v>
      </c>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row>
    <row r="159" spans="1:53" s="20" customFormat="1" ht="15.75" customHeight="1" x14ac:dyDescent="0.25">
      <c r="A159" s="75">
        <v>156</v>
      </c>
      <c r="B159" s="76" t="s">
        <v>845</v>
      </c>
      <c r="C159" s="76" t="s">
        <v>378</v>
      </c>
      <c r="D159" s="185" t="s">
        <v>83</v>
      </c>
      <c r="E159" s="199">
        <v>26.94</v>
      </c>
      <c r="F159" s="76" t="s">
        <v>269</v>
      </c>
      <c r="G159" s="42" t="s">
        <v>674</v>
      </c>
      <c r="H159" s="76" t="s">
        <v>887</v>
      </c>
      <c r="I159" s="76" t="s">
        <v>675</v>
      </c>
      <c r="J159" s="19" t="s">
        <v>2155</v>
      </c>
      <c r="K159" s="19" t="s">
        <v>118</v>
      </c>
      <c r="L159" s="19" t="s">
        <v>2181</v>
      </c>
      <c r="M159" s="19">
        <v>156</v>
      </c>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row>
    <row r="160" spans="1:53" s="20" customFormat="1" ht="15.75" customHeight="1" x14ac:dyDescent="0.25">
      <c r="A160" s="75">
        <v>157</v>
      </c>
      <c r="B160" s="76" t="s">
        <v>845</v>
      </c>
      <c r="C160" s="76" t="s">
        <v>378</v>
      </c>
      <c r="D160" s="185" t="s">
        <v>83</v>
      </c>
      <c r="E160" s="199">
        <v>24.44</v>
      </c>
      <c r="F160" s="76" t="s">
        <v>269</v>
      </c>
      <c r="G160" s="42" t="s">
        <v>672</v>
      </c>
      <c r="H160" s="76" t="s">
        <v>887</v>
      </c>
      <c r="I160" s="76" t="s">
        <v>673</v>
      </c>
      <c r="J160" s="19" t="s">
        <v>2155</v>
      </c>
      <c r="K160" s="19" t="s">
        <v>118</v>
      </c>
      <c r="L160" s="19" t="s">
        <v>2181</v>
      </c>
      <c r="M160" s="19">
        <v>157</v>
      </c>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row>
    <row r="161" spans="1:53" s="20" customFormat="1" ht="15.75" customHeight="1" x14ac:dyDescent="0.25">
      <c r="A161" s="75">
        <v>158</v>
      </c>
      <c r="B161" s="76" t="s">
        <v>845</v>
      </c>
      <c r="C161" s="76" t="s">
        <v>381</v>
      </c>
      <c r="D161" s="185" t="s">
        <v>83</v>
      </c>
      <c r="E161" s="199">
        <v>7.9</v>
      </c>
      <c r="F161" s="76" t="s">
        <v>269</v>
      </c>
      <c r="G161" s="42" t="s">
        <v>670</v>
      </c>
      <c r="H161" s="76" t="s">
        <v>888</v>
      </c>
      <c r="I161" s="76" t="s">
        <v>671</v>
      </c>
      <c r="J161" s="19" t="s">
        <v>2155</v>
      </c>
      <c r="K161" s="19" t="s">
        <v>118</v>
      </c>
      <c r="L161" s="19" t="s">
        <v>2181</v>
      </c>
      <c r="M161" s="19">
        <v>158</v>
      </c>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row>
    <row r="162" spans="1:53" s="20" customFormat="1" ht="15.75" customHeight="1" x14ac:dyDescent="0.25">
      <c r="A162" s="75">
        <v>159</v>
      </c>
      <c r="B162" s="76" t="s">
        <v>845</v>
      </c>
      <c r="C162" s="76" t="s">
        <v>378</v>
      </c>
      <c r="D162" s="185" t="s">
        <v>83</v>
      </c>
      <c r="E162" s="199">
        <v>18.899999999999999</v>
      </c>
      <c r="F162" s="76" t="s">
        <v>269</v>
      </c>
      <c r="G162" s="42" t="s">
        <v>668</v>
      </c>
      <c r="H162" s="76" t="s">
        <v>889</v>
      </c>
      <c r="I162" s="76" t="s">
        <v>669</v>
      </c>
      <c r="J162" s="19" t="s">
        <v>2155</v>
      </c>
      <c r="K162" s="19" t="s">
        <v>118</v>
      </c>
      <c r="L162" s="19" t="s">
        <v>2181</v>
      </c>
      <c r="M162" s="19">
        <v>159</v>
      </c>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row>
    <row r="163" spans="1:53" s="20" customFormat="1" ht="15.75" customHeight="1" x14ac:dyDescent="0.25">
      <c r="A163" s="75">
        <v>160</v>
      </c>
      <c r="B163" s="76" t="s">
        <v>845</v>
      </c>
      <c r="C163" s="76" t="s">
        <v>378</v>
      </c>
      <c r="D163" s="185" t="s">
        <v>83</v>
      </c>
      <c r="E163" s="199">
        <v>19.989999999999998</v>
      </c>
      <c r="F163" s="76" t="s">
        <v>269</v>
      </c>
      <c r="G163" s="42" t="s">
        <v>666</v>
      </c>
      <c r="H163" s="76" t="s">
        <v>889</v>
      </c>
      <c r="I163" s="76" t="s">
        <v>667</v>
      </c>
      <c r="J163" s="19" t="s">
        <v>2155</v>
      </c>
      <c r="K163" s="19" t="s">
        <v>118</v>
      </c>
      <c r="L163" s="19" t="s">
        <v>2181</v>
      </c>
      <c r="M163" s="19">
        <v>160</v>
      </c>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row>
    <row r="164" spans="1:53" s="20" customFormat="1" ht="15.75" customHeight="1" x14ac:dyDescent="0.25">
      <c r="A164" s="75">
        <v>161</v>
      </c>
      <c r="B164" s="76" t="s">
        <v>845</v>
      </c>
      <c r="C164" s="76" t="s">
        <v>378</v>
      </c>
      <c r="D164" s="185" t="s">
        <v>83</v>
      </c>
      <c r="E164" s="199">
        <v>14.02</v>
      </c>
      <c r="F164" s="76" t="s">
        <v>269</v>
      </c>
      <c r="G164" s="42" t="s">
        <v>664</v>
      </c>
      <c r="H164" s="76" t="s">
        <v>889</v>
      </c>
      <c r="I164" s="76" t="s">
        <v>665</v>
      </c>
      <c r="J164" s="19" t="s">
        <v>2155</v>
      </c>
      <c r="K164" s="19" t="s">
        <v>118</v>
      </c>
      <c r="L164" s="19" t="s">
        <v>2181</v>
      </c>
      <c r="M164" s="19">
        <v>161</v>
      </c>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row>
    <row r="165" spans="1:53" s="20" customFormat="1" ht="15.75" customHeight="1" x14ac:dyDescent="0.25">
      <c r="A165" s="75">
        <v>162</v>
      </c>
      <c r="B165" s="76" t="s">
        <v>845</v>
      </c>
      <c r="C165" s="76" t="s">
        <v>378</v>
      </c>
      <c r="D165" s="185" t="s">
        <v>83</v>
      </c>
      <c r="E165" s="199">
        <v>25.93</v>
      </c>
      <c r="F165" s="76" t="s">
        <v>269</v>
      </c>
      <c r="G165" s="42" t="s">
        <v>662</v>
      </c>
      <c r="H165" s="76" t="s">
        <v>889</v>
      </c>
      <c r="I165" s="76" t="s">
        <v>663</v>
      </c>
      <c r="J165" s="19" t="s">
        <v>2155</v>
      </c>
      <c r="K165" s="19" t="s">
        <v>118</v>
      </c>
      <c r="L165" s="19" t="s">
        <v>2181</v>
      </c>
      <c r="M165" s="19">
        <v>162</v>
      </c>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row>
    <row r="166" spans="1:53" s="20" customFormat="1" ht="15.75" customHeight="1" x14ac:dyDescent="0.25">
      <c r="A166" s="75">
        <v>163</v>
      </c>
      <c r="B166" s="76" t="s">
        <v>845</v>
      </c>
      <c r="C166" s="76" t="s">
        <v>378</v>
      </c>
      <c r="D166" s="185" t="s">
        <v>83</v>
      </c>
      <c r="E166" s="199">
        <v>26.14</v>
      </c>
      <c r="F166" s="76" t="s">
        <v>269</v>
      </c>
      <c r="G166" s="42" t="s">
        <v>660</v>
      </c>
      <c r="H166" s="76" t="s">
        <v>890</v>
      </c>
      <c r="I166" s="76" t="s">
        <v>661</v>
      </c>
      <c r="J166" s="19" t="s">
        <v>2155</v>
      </c>
      <c r="K166" s="19" t="s">
        <v>118</v>
      </c>
      <c r="L166" s="19" t="s">
        <v>2181</v>
      </c>
      <c r="M166" s="19">
        <v>163</v>
      </c>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row>
    <row r="167" spans="1:53" s="20" customFormat="1" ht="15.75" customHeight="1" x14ac:dyDescent="0.25">
      <c r="A167" s="75">
        <v>164</v>
      </c>
      <c r="B167" s="76" t="s">
        <v>845</v>
      </c>
      <c r="C167" s="76" t="s">
        <v>378</v>
      </c>
      <c r="D167" s="185" t="s">
        <v>83</v>
      </c>
      <c r="E167" s="199">
        <v>25.96</v>
      </c>
      <c r="F167" s="76" t="s">
        <v>269</v>
      </c>
      <c r="G167" s="42" t="s">
        <v>658</v>
      </c>
      <c r="H167" s="76" t="s">
        <v>890</v>
      </c>
      <c r="I167" s="76" t="s">
        <v>659</v>
      </c>
      <c r="J167" s="19" t="s">
        <v>2155</v>
      </c>
      <c r="K167" s="19" t="s">
        <v>118</v>
      </c>
      <c r="L167" s="19" t="s">
        <v>2181</v>
      </c>
      <c r="M167" s="19">
        <v>164</v>
      </c>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row>
    <row r="168" spans="1:53" s="20" customFormat="1" ht="15.75" customHeight="1" x14ac:dyDescent="0.25">
      <c r="A168" s="75">
        <v>165</v>
      </c>
      <c r="B168" s="76" t="s">
        <v>845</v>
      </c>
      <c r="C168" s="76" t="s">
        <v>378</v>
      </c>
      <c r="D168" s="185" t="s">
        <v>83</v>
      </c>
      <c r="E168" s="199">
        <v>4.7300000000000004</v>
      </c>
      <c r="F168" s="76" t="s">
        <v>269</v>
      </c>
      <c r="G168" s="42" t="s">
        <v>656</v>
      </c>
      <c r="H168" s="76" t="s">
        <v>890</v>
      </c>
      <c r="I168" s="76" t="s">
        <v>657</v>
      </c>
      <c r="J168" s="19" t="s">
        <v>2155</v>
      </c>
      <c r="K168" s="19" t="s">
        <v>118</v>
      </c>
      <c r="L168" s="19" t="s">
        <v>2181</v>
      </c>
      <c r="M168" s="19">
        <v>165</v>
      </c>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row>
    <row r="169" spans="1:53" s="20" customFormat="1" ht="15.75" customHeight="1" x14ac:dyDescent="0.25">
      <c r="A169" s="75">
        <v>166</v>
      </c>
      <c r="B169" s="76" t="s">
        <v>845</v>
      </c>
      <c r="C169" s="76" t="s">
        <v>378</v>
      </c>
      <c r="D169" s="185" t="s">
        <v>83</v>
      </c>
      <c r="E169" s="199">
        <v>33.54</v>
      </c>
      <c r="F169" s="76" t="s">
        <v>269</v>
      </c>
      <c r="G169" s="42" t="s">
        <v>654</v>
      </c>
      <c r="H169" s="76" t="s">
        <v>890</v>
      </c>
      <c r="I169" s="76" t="s">
        <v>655</v>
      </c>
      <c r="J169" s="19" t="s">
        <v>2155</v>
      </c>
      <c r="K169" s="19" t="s">
        <v>118</v>
      </c>
      <c r="L169" s="19" t="s">
        <v>2181</v>
      </c>
      <c r="M169" s="19">
        <v>166</v>
      </c>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row>
    <row r="170" spans="1:53" s="20" customFormat="1" ht="15.75" customHeight="1" x14ac:dyDescent="0.25">
      <c r="A170" s="75">
        <v>167</v>
      </c>
      <c r="B170" s="76" t="s">
        <v>845</v>
      </c>
      <c r="C170" s="76" t="s">
        <v>378</v>
      </c>
      <c r="D170" s="185" t="s">
        <v>83</v>
      </c>
      <c r="E170" s="199">
        <v>24.94</v>
      </c>
      <c r="F170" s="76" t="s">
        <v>269</v>
      </c>
      <c r="G170" s="42" t="s">
        <v>652</v>
      </c>
      <c r="H170" s="76" t="s">
        <v>891</v>
      </c>
      <c r="I170" s="76" t="s">
        <v>653</v>
      </c>
      <c r="J170" s="19" t="s">
        <v>2155</v>
      </c>
      <c r="K170" s="19" t="s">
        <v>118</v>
      </c>
      <c r="L170" s="19" t="s">
        <v>2181</v>
      </c>
      <c r="M170" s="19">
        <v>167</v>
      </c>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row>
    <row r="171" spans="1:53" s="20" customFormat="1" ht="15.75" customHeight="1" x14ac:dyDescent="0.25">
      <c r="A171" s="75">
        <v>168</v>
      </c>
      <c r="B171" s="76" t="s">
        <v>845</v>
      </c>
      <c r="C171" s="76" t="s">
        <v>378</v>
      </c>
      <c r="D171" s="185" t="s">
        <v>83</v>
      </c>
      <c r="E171" s="199">
        <v>48.95</v>
      </c>
      <c r="F171" s="76" t="s">
        <v>269</v>
      </c>
      <c r="G171" s="42" t="s">
        <v>650</v>
      </c>
      <c r="H171" s="76" t="s">
        <v>891</v>
      </c>
      <c r="I171" s="76" t="s">
        <v>651</v>
      </c>
      <c r="J171" s="19" t="s">
        <v>2155</v>
      </c>
      <c r="K171" s="19" t="s">
        <v>118</v>
      </c>
      <c r="L171" s="19" t="s">
        <v>2181</v>
      </c>
      <c r="M171" s="19">
        <v>168</v>
      </c>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row>
    <row r="172" spans="1:53" s="20" customFormat="1" ht="15.75" customHeight="1" x14ac:dyDescent="0.25">
      <c r="A172" s="75">
        <v>169</v>
      </c>
      <c r="B172" s="76" t="s">
        <v>845</v>
      </c>
      <c r="C172" s="76" t="s">
        <v>378</v>
      </c>
      <c r="D172" s="185" t="s">
        <v>83</v>
      </c>
      <c r="E172" s="199">
        <v>27.95</v>
      </c>
      <c r="F172" s="76" t="s">
        <v>269</v>
      </c>
      <c r="G172" s="42" t="s">
        <v>648</v>
      </c>
      <c r="H172" s="76" t="s">
        <v>892</v>
      </c>
      <c r="I172" s="76" t="s">
        <v>649</v>
      </c>
      <c r="J172" s="19" t="s">
        <v>2155</v>
      </c>
      <c r="K172" s="19" t="s">
        <v>118</v>
      </c>
      <c r="L172" s="19" t="s">
        <v>2181</v>
      </c>
      <c r="M172" s="19">
        <v>169</v>
      </c>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row>
    <row r="173" spans="1:53" s="20" customFormat="1" ht="15.75" customHeight="1" x14ac:dyDescent="0.25">
      <c r="A173" s="75">
        <v>170</v>
      </c>
      <c r="B173" s="76" t="s">
        <v>845</v>
      </c>
      <c r="C173" s="76" t="s">
        <v>378</v>
      </c>
      <c r="D173" s="185" t="s">
        <v>83</v>
      </c>
      <c r="E173" s="199">
        <v>20.6</v>
      </c>
      <c r="F173" s="76" t="s">
        <v>269</v>
      </c>
      <c r="G173" s="42" t="s">
        <v>646</v>
      </c>
      <c r="H173" s="76" t="s">
        <v>892</v>
      </c>
      <c r="I173" s="76" t="s">
        <v>647</v>
      </c>
      <c r="J173" s="19" t="s">
        <v>2155</v>
      </c>
      <c r="K173" s="19" t="s">
        <v>118</v>
      </c>
      <c r="L173" s="19" t="s">
        <v>2181</v>
      </c>
      <c r="M173" s="19">
        <v>170</v>
      </c>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row>
    <row r="174" spans="1:53" s="20" customFormat="1" ht="15.75" customHeight="1" x14ac:dyDescent="0.25">
      <c r="A174" s="75">
        <v>171</v>
      </c>
      <c r="B174" s="76" t="s">
        <v>845</v>
      </c>
      <c r="C174" s="76" t="s">
        <v>378</v>
      </c>
      <c r="D174" s="185" t="s">
        <v>83</v>
      </c>
      <c r="E174" s="199">
        <v>18.649999999999999</v>
      </c>
      <c r="F174" s="76" t="s">
        <v>269</v>
      </c>
      <c r="G174" s="42" t="s">
        <v>644</v>
      </c>
      <c r="H174" s="76" t="s">
        <v>892</v>
      </c>
      <c r="I174" s="76" t="s">
        <v>645</v>
      </c>
      <c r="J174" s="19" t="s">
        <v>2155</v>
      </c>
      <c r="K174" s="19" t="s">
        <v>118</v>
      </c>
      <c r="L174" s="19" t="s">
        <v>2181</v>
      </c>
      <c r="M174" s="19">
        <v>171</v>
      </c>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row>
    <row r="175" spans="1:53" s="20" customFormat="1" ht="15.75" customHeight="1" x14ac:dyDescent="0.25">
      <c r="A175" s="75">
        <v>172</v>
      </c>
      <c r="B175" s="76" t="s">
        <v>845</v>
      </c>
      <c r="C175" s="76" t="s">
        <v>378</v>
      </c>
      <c r="D175" s="185" t="s">
        <v>83</v>
      </c>
      <c r="E175" s="199">
        <v>26.36</v>
      </c>
      <c r="F175" s="76" t="s">
        <v>269</v>
      </c>
      <c r="G175" s="42" t="s">
        <v>642</v>
      </c>
      <c r="H175" s="76" t="s">
        <v>893</v>
      </c>
      <c r="I175" s="76" t="s">
        <v>643</v>
      </c>
      <c r="J175" s="19" t="s">
        <v>2155</v>
      </c>
      <c r="K175" s="19" t="s">
        <v>118</v>
      </c>
      <c r="L175" s="19" t="s">
        <v>2181</v>
      </c>
      <c r="M175" s="19">
        <v>172</v>
      </c>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row>
    <row r="176" spans="1:53" s="20" customFormat="1" ht="15.75" customHeight="1" x14ac:dyDescent="0.25">
      <c r="A176" s="75">
        <v>173</v>
      </c>
      <c r="B176" s="76" t="s">
        <v>845</v>
      </c>
      <c r="C176" s="76" t="s">
        <v>378</v>
      </c>
      <c r="D176" s="185" t="s">
        <v>83</v>
      </c>
      <c r="E176" s="199">
        <v>33.64</v>
      </c>
      <c r="F176" s="76" t="s">
        <v>269</v>
      </c>
      <c r="G176" s="42" t="s">
        <v>640</v>
      </c>
      <c r="H176" s="76" t="s">
        <v>893</v>
      </c>
      <c r="I176" s="76" t="s">
        <v>641</v>
      </c>
      <c r="J176" s="19" t="s">
        <v>2155</v>
      </c>
      <c r="K176" s="19" t="s">
        <v>118</v>
      </c>
      <c r="L176" s="19" t="s">
        <v>2181</v>
      </c>
      <c r="M176" s="19">
        <v>173</v>
      </c>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row>
    <row r="177" spans="1:53" s="20" customFormat="1" ht="15.75" customHeight="1" x14ac:dyDescent="0.25">
      <c r="A177" s="75">
        <v>174</v>
      </c>
      <c r="B177" s="76" t="s">
        <v>845</v>
      </c>
      <c r="C177" s="76" t="s">
        <v>381</v>
      </c>
      <c r="D177" s="185" t="s">
        <v>83</v>
      </c>
      <c r="E177" s="199">
        <v>7.65</v>
      </c>
      <c r="F177" s="76" t="s">
        <v>269</v>
      </c>
      <c r="G177" s="42" t="s">
        <v>638</v>
      </c>
      <c r="H177" s="76" t="s">
        <v>894</v>
      </c>
      <c r="I177" s="76" t="s">
        <v>639</v>
      </c>
      <c r="J177" s="19" t="s">
        <v>2155</v>
      </c>
      <c r="K177" s="19" t="s">
        <v>118</v>
      </c>
      <c r="L177" s="19" t="s">
        <v>2181</v>
      </c>
      <c r="M177" s="19">
        <v>174</v>
      </c>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row>
    <row r="178" spans="1:53" s="20" customFormat="1" ht="15.75" customHeight="1" x14ac:dyDescent="0.25">
      <c r="A178" s="75">
        <v>175</v>
      </c>
      <c r="B178" s="76" t="s">
        <v>845</v>
      </c>
      <c r="C178" s="76" t="s">
        <v>378</v>
      </c>
      <c r="D178" s="185" t="s">
        <v>83</v>
      </c>
      <c r="E178" s="199">
        <v>29.58</v>
      </c>
      <c r="F178" s="76" t="s">
        <v>269</v>
      </c>
      <c r="G178" s="42" t="s">
        <v>636</v>
      </c>
      <c r="H178" s="76" t="s">
        <v>894</v>
      </c>
      <c r="I178" s="76" t="s">
        <v>637</v>
      </c>
      <c r="J178" s="19" t="s">
        <v>2155</v>
      </c>
      <c r="K178" s="19" t="s">
        <v>118</v>
      </c>
      <c r="L178" s="19" t="s">
        <v>2181</v>
      </c>
      <c r="M178" s="19">
        <v>175</v>
      </c>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row>
    <row r="179" spans="1:53" s="20" customFormat="1" ht="15.75" customHeight="1" x14ac:dyDescent="0.25">
      <c r="A179" s="75">
        <v>176</v>
      </c>
      <c r="B179" s="76" t="s">
        <v>845</v>
      </c>
      <c r="C179" s="76" t="s">
        <v>378</v>
      </c>
      <c r="D179" s="185" t="s">
        <v>84</v>
      </c>
      <c r="E179" s="199">
        <v>12.96</v>
      </c>
      <c r="F179" s="76" t="s">
        <v>269</v>
      </c>
      <c r="G179" s="42" t="s">
        <v>634</v>
      </c>
      <c r="H179" s="76" t="s">
        <v>895</v>
      </c>
      <c r="I179" s="76" t="s">
        <v>635</v>
      </c>
      <c r="J179" s="19" t="s">
        <v>2155</v>
      </c>
      <c r="K179" s="19" t="s">
        <v>118</v>
      </c>
      <c r="L179" s="19" t="s">
        <v>2181</v>
      </c>
      <c r="M179" s="19">
        <v>176</v>
      </c>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row>
    <row r="180" spans="1:53" s="20" customFormat="1" ht="15.75" customHeight="1" x14ac:dyDescent="0.25">
      <c r="A180" s="75">
        <v>177</v>
      </c>
      <c r="B180" s="76" t="s">
        <v>845</v>
      </c>
      <c r="C180" s="76" t="s">
        <v>378</v>
      </c>
      <c r="D180" s="185" t="s">
        <v>84</v>
      </c>
      <c r="E180" s="199">
        <v>32.96</v>
      </c>
      <c r="F180" s="76" t="s">
        <v>269</v>
      </c>
      <c r="G180" s="42" t="s">
        <v>632</v>
      </c>
      <c r="H180" s="76" t="s">
        <v>896</v>
      </c>
      <c r="I180" s="76" t="s">
        <v>633</v>
      </c>
      <c r="J180" s="19" t="s">
        <v>2155</v>
      </c>
      <c r="K180" s="19" t="s">
        <v>118</v>
      </c>
      <c r="L180" s="19" t="s">
        <v>2181</v>
      </c>
      <c r="M180" s="19">
        <v>177</v>
      </c>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row>
    <row r="181" spans="1:53" s="20" customFormat="1" ht="15.75" customHeight="1" x14ac:dyDescent="0.25">
      <c r="A181" s="75">
        <v>178</v>
      </c>
      <c r="B181" s="76" t="s">
        <v>845</v>
      </c>
      <c r="C181" s="76" t="s">
        <v>378</v>
      </c>
      <c r="D181" s="185" t="s">
        <v>84</v>
      </c>
      <c r="E181" s="199">
        <v>25.95</v>
      </c>
      <c r="F181" s="76" t="s">
        <v>269</v>
      </c>
      <c r="G181" s="42" t="s">
        <v>630</v>
      </c>
      <c r="H181" s="76" t="s">
        <v>896</v>
      </c>
      <c r="I181" s="76" t="s">
        <v>631</v>
      </c>
      <c r="J181" s="19" t="s">
        <v>2155</v>
      </c>
      <c r="K181" s="19" t="s">
        <v>118</v>
      </c>
      <c r="L181" s="19" t="s">
        <v>2181</v>
      </c>
      <c r="M181" s="19">
        <v>178</v>
      </c>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row>
    <row r="182" spans="1:53" s="20" customFormat="1" ht="15.75" customHeight="1" x14ac:dyDescent="0.25">
      <c r="A182" s="75">
        <v>179</v>
      </c>
      <c r="B182" s="76" t="s">
        <v>845</v>
      </c>
      <c r="C182" s="76" t="s">
        <v>378</v>
      </c>
      <c r="D182" s="185" t="s">
        <v>84</v>
      </c>
      <c r="E182" s="199">
        <v>24.25</v>
      </c>
      <c r="F182" s="76" t="s">
        <v>269</v>
      </c>
      <c r="G182" s="42" t="s">
        <v>628</v>
      </c>
      <c r="H182" s="76" t="s">
        <v>896</v>
      </c>
      <c r="I182" s="76" t="s">
        <v>629</v>
      </c>
      <c r="J182" s="19" t="s">
        <v>2155</v>
      </c>
      <c r="K182" s="19" t="s">
        <v>118</v>
      </c>
      <c r="L182" s="19" t="s">
        <v>2181</v>
      </c>
      <c r="M182" s="19">
        <v>179</v>
      </c>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row>
    <row r="183" spans="1:53" s="20" customFormat="1" ht="15.75" customHeight="1" x14ac:dyDescent="0.25">
      <c r="A183" s="75">
        <v>180</v>
      </c>
      <c r="B183" s="76" t="s">
        <v>845</v>
      </c>
      <c r="C183" s="76" t="s">
        <v>378</v>
      </c>
      <c r="D183" s="185" t="s">
        <v>84</v>
      </c>
      <c r="E183" s="199">
        <v>22.86</v>
      </c>
      <c r="F183" s="76" t="s">
        <v>269</v>
      </c>
      <c r="G183" s="42" t="s">
        <v>626</v>
      </c>
      <c r="H183" s="76" t="s">
        <v>896</v>
      </c>
      <c r="I183" s="76" t="s">
        <v>627</v>
      </c>
      <c r="J183" s="19" t="s">
        <v>2155</v>
      </c>
      <c r="K183" s="19" t="s">
        <v>118</v>
      </c>
      <c r="L183" s="19" t="s">
        <v>2181</v>
      </c>
      <c r="M183" s="19">
        <v>180</v>
      </c>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row>
    <row r="184" spans="1:53" s="20" customFormat="1" ht="15.75" customHeight="1" x14ac:dyDescent="0.25">
      <c r="A184" s="75">
        <v>181</v>
      </c>
      <c r="B184" s="76" t="s">
        <v>845</v>
      </c>
      <c r="C184" s="76" t="s">
        <v>378</v>
      </c>
      <c r="D184" s="185" t="s">
        <v>84</v>
      </c>
      <c r="E184" s="199">
        <v>30.95</v>
      </c>
      <c r="F184" s="76" t="s">
        <v>269</v>
      </c>
      <c r="G184" s="42" t="s">
        <v>624</v>
      </c>
      <c r="H184" s="76" t="s">
        <v>897</v>
      </c>
      <c r="I184" s="76" t="s">
        <v>625</v>
      </c>
      <c r="J184" s="19" t="s">
        <v>2155</v>
      </c>
      <c r="K184" s="19" t="s">
        <v>118</v>
      </c>
      <c r="L184" s="19" t="s">
        <v>2181</v>
      </c>
      <c r="M184" s="19">
        <v>181</v>
      </c>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row>
    <row r="185" spans="1:53" s="20" customFormat="1" ht="15.75" customHeight="1" x14ac:dyDescent="0.25">
      <c r="A185" s="75">
        <v>182</v>
      </c>
      <c r="B185" s="76" t="s">
        <v>845</v>
      </c>
      <c r="C185" s="76" t="s">
        <v>378</v>
      </c>
      <c r="D185" s="185" t="s">
        <v>84</v>
      </c>
      <c r="E185" s="199">
        <v>30.95</v>
      </c>
      <c r="F185" s="76" t="s">
        <v>269</v>
      </c>
      <c r="G185" s="42" t="s">
        <v>622</v>
      </c>
      <c r="H185" s="76" t="s">
        <v>898</v>
      </c>
      <c r="I185" s="76" t="s">
        <v>623</v>
      </c>
      <c r="J185" s="19" t="s">
        <v>2155</v>
      </c>
      <c r="K185" s="19" t="s">
        <v>118</v>
      </c>
      <c r="L185" s="19" t="s">
        <v>2181</v>
      </c>
      <c r="M185" s="19">
        <v>182</v>
      </c>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row>
    <row r="186" spans="1:53" s="20" customFormat="1" ht="15.75" customHeight="1" x14ac:dyDescent="0.25">
      <c r="A186" s="75">
        <v>183</v>
      </c>
      <c r="B186" s="76" t="s">
        <v>845</v>
      </c>
      <c r="C186" s="76" t="s">
        <v>378</v>
      </c>
      <c r="D186" s="185" t="s">
        <v>84</v>
      </c>
      <c r="E186" s="199">
        <v>27.29</v>
      </c>
      <c r="F186" s="76" t="s">
        <v>269</v>
      </c>
      <c r="G186" s="42" t="s">
        <v>620</v>
      </c>
      <c r="H186" s="76" t="s">
        <v>897</v>
      </c>
      <c r="I186" s="76" t="s">
        <v>621</v>
      </c>
      <c r="J186" s="19" t="s">
        <v>2155</v>
      </c>
      <c r="K186" s="19" t="s">
        <v>118</v>
      </c>
      <c r="L186" s="19" t="s">
        <v>2181</v>
      </c>
      <c r="M186" s="19">
        <v>183</v>
      </c>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row>
    <row r="187" spans="1:53" s="20" customFormat="1" ht="15.75" customHeight="1" x14ac:dyDescent="0.25">
      <c r="A187" s="75">
        <v>184</v>
      </c>
      <c r="B187" s="76" t="s">
        <v>845</v>
      </c>
      <c r="C187" s="76" t="s">
        <v>378</v>
      </c>
      <c r="D187" s="185" t="s">
        <v>84</v>
      </c>
      <c r="E187" s="199">
        <v>23.61</v>
      </c>
      <c r="F187" s="76" t="s">
        <v>269</v>
      </c>
      <c r="G187" s="42" t="s">
        <v>618</v>
      </c>
      <c r="H187" s="76" t="s">
        <v>899</v>
      </c>
      <c r="I187" s="76" t="s">
        <v>619</v>
      </c>
      <c r="J187" s="19" t="s">
        <v>2155</v>
      </c>
      <c r="K187" s="19" t="s">
        <v>118</v>
      </c>
      <c r="L187" s="19" t="s">
        <v>2181</v>
      </c>
      <c r="M187" s="19">
        <v>184</v>
      </c>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row>
    <row r="188" spans="1:53" s="20" customFormat="1" ht="15.75" customHeight="1" x14ac:dyDescent="0.25">
      <c r="A188" s="75">
        <v>185</v>
      </c>
      <c r="B188" s="76" t="s">
        <v>845</v>
      </c>
      <c r="C188" s="76" t="s">
        <v>381</v>
      </c>
      <c r="D188" s="185" t="s">
        <v>84</v>
      </c>
      <c r="E188" s="199">
        <v>7.4</v>
      </c>
      <c r="F188" s="76" t="s">
        <v>269</v>
      </c>
      <c r="G188" s="42" t="s">
        <v>616</v>
      </c>
      <c r="H188" s="76" t="s">
        <v>899</v>
      </c>
      <c r="I188" s="76" t="s">
        <v>617</v>
      </c>
      <c r="J188" s="19" t="s">
        <v>2155</v>
      </c>
      <c r="K188" s="19" t="s">
        <v>118</v>
      </c>
      <c r="L188" s="19" t="s">
        <v>2181</v>
      </c>
      <c r="M188" s="19">
        <v>185</v>
      </c>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row>
    <row r="189" spans="1:53" s="20" customFormat="1" ht="15.75" customHeight="1" x14ac:dyDescent="0.25">
      <c r="A189" s="75">
        <v>186</v>
      </c>
      <c r="B189" s="76" t="s">
        <v>845</v>
      </c>
      <c r="C189" s="76" t="s">
        <v>378</v>
      </c>
      <c r="D189" s="185" t="s">
        <v>84</v>
      </c>
      <c r="E189" s="199">
        <v>34.18</v>
      </c>
      <c r="F189" s="76" t="s">
        <v>269</v>
      </c>
      <c r="G189" s="42" t="s">
        <v>614</v>
      </c>
      <c r="H189" s="76" t="s">
        <v>899</v>
      </c>
      <c r="I189" s="76" t="s">
        <v>615</v>
      </c>
      <c r="J189" s="19" t="s">
        <v>2155</v>
      </c>
      <c r="K189" s="19" t="s">
        <v>118</v>
      </c>
      <c r="L189" s="19" t="s">
        <v>2181</v>
      </c>
      <c r="M189" s="19">
        <v>186</v>
      </c>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row>
    <row r="190" spans="1:53" s="20" customFormat="1" ht="15.75" customHeight="1" x14ac:dyDescent="0.25">
      <c r="A190" s="75">
        <v>187</v>
      </c>
      <c r="B190" s="76" t="s">
        <v>845</v>
      </c>
      <c r="C190" s="76" t="s">
        <v>378</v>
      </c>
      <c r="D190" s="185" t="s">
        <v>84</v>
      </c>
      <c r="E190" s="199">
        <v>24.67</v>
      </c>
      <c r="F190" s="76" t="s">
        <v>269</v>
      </c>
      <c r="G190" s="42" t="s">
        <v>612</v>
      </c>
      <c r="H190" s="76" t="s">
        <v>900</v>
      </c>
      <c r="I190" s="76" t="s">
        <v>613</v>
      </c>
      <c r="J190" s="19" t="s">
        <v>2155</v>
      </c>
      <c r="K190" s="19" t="s">
        <v>118</v>
      </c>
      <c r="L190" s="19" t="s">
        <v>2181</v>
      </c>
      <c r="M190" s="19">
        <v>187</v>
      </c>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row>
    <row r="191" spans="1:53" s="20" customFormat="1" ht="15.75" customHeight="1" x14ac:dyDescent="0.25">
      <c r="A191" s="75">
        <v>188</v>
      </c>
      <c r="B191" s="76" t="s">
        <v>845</v>
      </c>
      <c r="C191" s="76" t="s">
        <v>378</v>
      </c>
      <c r="D191" s="185" t="s">
        <v>84</v>
      </c>
      <c r="E191" s="199">
        <v>11.99</v>
      </c>
      <c r="F191" s="76" t="s">
        <v>269</v>
      </c>
      <c r="G191" s="42" t="s">
        <v>610</v>
      </c>
      <c r="H191" s="76" t="s">
        <v>900</v>
      </c>
      <c r="I191" s="76" t="s">
        <v>611</v>
      </c>
      <c r="J191" s="19" t="s">
        <v>2155</v>
      </c>
      <c r="K191" s="19" t="s">
        <v>118</v>
      </c>
      <c r="L191" s="19" t="s">
        <v>2181</v>
      </c>
      <c r="M191" s="19">
        <v>188</v>
      </c>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row>
    <row r="192" spans="1:53" s="20" customFormat="1" ht="15.75" customHeight="1" x14ac:dyDescent="0.25">
      <c r="A192" s="75">
        <v>189</v>
      </c>
      <c r="B192" s="76" t="s">
        <v>845</v>
      </c>
      <c r="C192" s="76" t="s">
        <v>378</v>
      </c>
      <c r="D192" s="185" t="s">
        <v>84</v>
      </c>
      <c r="E192" s="199">
        <v>25.55</v>
      </c>
      <c r="F192" s="76" t="s">
        <v>269</v>
      </c>
      <c r="G192" s="42" t="s">
        <v>608</v>
      </c>
      <c r="H192" s="76" t="s">
        <v>900</v>
      </c>
      <c r="I192" s="76" t="s">
        <v>609</v>
      </c>
      <c r="J192" s="19" t="s">
        <v>2155</v>
      </c>
      <c r="K192" s="19" t="s">
        <v>118</v>
      </c>
      <c r="L192" s="19" t="s">
        <v>2181</v>
      </c>
      <c r="M192" s="19">
        <v>189</v>
      </c>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row>
    <row r="193" spans="1:53" s="20" customFormat="1" ht="15.75" customHeight="1" x14ac:dyDescent="0.25">
      <c r="A193" s="75">
        <v>190</v>
      </c>
      <c r="B193" s="76" t="s">
        <v>845</v>
      </c>
      <c r="C193" s="76" t="s">
        <v>378</v>
      </c>
      <c r="D193" s="185" t="s">
        <v>84</v>
      </c>
      <c r="E193" s="199">
        <v>26.1</v>
      </c>
      <c r="F193" s="76" t="s">
        <v>269</v>
      </c>
      <c r="G193" s="42" t="s">
        <v>606</v>
      </c>
      <c r="H193" s="76" t="s">
        <v>900</v>
      </c>
      <c r="I193" s="76" t="s">
        <v>607</v>
      </c>
      <c r="J193" s="19" t="s">
        <v>2155</v>
      </c>
      <c r="K193" s="19" t="s">
        <v>118</v>
      </c>
      <c r="L193" s="19" t="s">
        <v>2181</v>
      </c>
      <c r="M193" s="19">
        <v>190</v>
      </c>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row>
    <row r="194" spans="1:53" s="20" customFormat="1" ht="15.75" customHeight="1" x14ac:dyDescent="0.25">
      <c r="A194" s="75">
        <v>191</v>
      </c>
      <c r="B194" s="76" t="s">
        <v>845</v>
      </c>
      <c r="C194" s="76" t="s">
        <v>378</v>
      </c>
      <c r="D194" s="185" t="s">
        <v>84</v>
      </c>
      <c r="E194" s="199">
        <v>4.7300000000000004</v>
      </c>
      <c r="F194" s="76" t="s">
        <v>269</v>
      </c>
      <c r="G194" s="42" t="s">
        <v>604</v>
      </c>
      <c r="H194" s="76" t="s">
        <v>900</v>
      </c>
      <c r="I194" s="76" t="s">
        <v>605</v>
      </c>
      <c r="J194" s="19" t="s">
        <v>2155</v>
      </c>
      <c r="K194" s="19" t="s">
        <v>118</v>
      </c>
      <c r="L194" s="19" t="s">
        <v>2181</v>
      </c>
      <c r="M194" s="19">
        <v>191</v>
      </c>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row>
    <row r="195" spans="1:53" s="20" customFormat="1" ht="15.75" customHeight="1" x14ac:dyDescent="0.25">
      <c r="A195" s="75">
        <v>192</v>
      </c>
      <c r="B195" s="76" t="s">
        <v>845</v>
      </c>
      <c r="C195" s="76" t="s">
        <v>378</v>
      </c>
      <c r="D195" s="185" t="s">
        <v>84</v>
      </c>
      <c r="E195" s="199">
        <v>29.53</v>
      </c>
      <c r="F195" s="76" t="s">
        <v>269</v>
      </c>
      <c r="G195" s="42" t="s">
        <v>602</v>
      </c>
      <c r="H195" s="76" t="s">
        <v>901</v>
      </c>
      <c r="I195" s="76" t="s">
        <v>603</v>
      </c>
      <c r="J195" s="19" t="s">
        <v>2155</v>
      </c>
      <c r="K195" s="19" t="s">
        <v>118</v>
      </c>
      <c r="L195" s="19" t="s">
        <v>2181</v>
      </c>
      <c r="M195" s="19">
        <v>192</v>
      </c>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row>
    <row r="196" spans="1:53" s="20" customFormat="1" ht="15.75" customHeight="1" x14ac:dyDescent="0.25">
      <c r="A196" s="75">
        <v>193</v>
      </c>
      <c r="B196" s="76" t="s">
        <v>845</v>
      </c>
      <c r="C196" s="76" t="s">
        <v>378</v>
      </c>
      <c r="D196" s="185" t="s">
        <v>84</v>
      </c>
      <c r="E196" s="199">
        <v>9.59</v>
      </c>
      <c r="F196" s="76" t="s">
        <v>269</v>
      </c>
      <c r="G196" s="42" t="s">
        <v>600</v>
      </c>
      <c r="H196" s="76" t="s">
        <v>902</v>
      </c>
      <c r="I196" s="76" t="s">
        <v>601</v>
      </c>
      <c r="J196" s="19" t="s">
        <v>2155</v>
      </c>
      <c r="K196" s="19" t="s">
        <v>118</v>
      </c>
      <c r="L196" s="19" t="s">
        <v>2181</v>
      </c>
      <c r="M196" s="19">
        <v>193</v>
      </c>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row>
    <row r="197" spans="1:53" s="20" customFormat="1" ht="15.75" customHeight="1" x14ac:dyDescent="0.25">
      <c r="A197" s="75">
        <v>194</v>
      </c>
      <c r="B197" s="76" t="s">
        <v>845</v>
      </c>
      <c r="C197" s="76" t="s">
        <v>378</v>
      </c>
      <c r="D197" s="185" t="s">
        <v>84</v>
      </c>
      <c r="E197" s="199">
        <v>21.17</v>
      </c>
      <c r="F197" s="76" t="s">
        <v>269</v>
      </c>
      <c r="G197" s="42" t="s">
        <v>598</v>
      </c>
      <c r="H197" s="76" t="s">
        <v>902</v>
      </c>
      <c r="I197" s="76" t="s">
        <v>599</v>
      </c>
      <c r="J197" s="19" t="s">
        <v>2155</v>
      </c>
      <c r="K197" s="19" t="s">
        <v>118</v>
      </c>
      <c r="L197" s="19" t="s">
        <v>2181</v>
      </c>
      <c r="M197" s="19">
        <v>194</v>
      </c>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row>
    <row r="198" spans="1:53" s="20" customFormat="1" ht="15.75" customHeight="1" x14ac:dyDescent="0.25">
      <c r="A198" s="75">
        <v>195</v>
      </c>
      <c r="B198" s="76" t="s">
        <v>845</v>
      </c>
      <c r="C198" s="76" t="s">
        <v>378</v>
      </c>
      <c r="D198" s="185" t="s">
        <v>84</v>
      </c>
      <c r="E198" s="199">
        <v>30.61</v>
      </c>
      <c r="F198" s="76" t="s">
        <v>269</v>
      </c>
      <c r="G198" s="42" t="s">
        <v>596</v>
      </c>
      <c r="H198" s="76" t="s">
        <v>903</v>
      </c>
      <c r="I198" s="76" t="s">
        <v>597</v>
      </c>
      <c r="J198" s="19" t="s">
        <v>2155</v>
      </c>
      <c r="K198" s="19" t="s">
        <v>118</v>
      </c>
      <c r="L198" s="19" t="s">
        <v>2181</v>
      </c>
      <c r="M198" s="19">
        <v>195</v>
      </c>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row>
    <row r="199" spans="1:53" s="20" customFormat="1" ht="15.75" customHeight="1" x14ac:dyDescent="0.25">
      <c r="A199" s="75">
        <v>196</v>
      </c>
      <c r="B199" s="76" t="s">
        <v>845</v>
      </c>
      <c r="C199" s="76" t="s">
        <v>378</v>
      </c>
      <c r="D199" s="185" t="s">
        <v>84</v>
      </c>
      <c r="E199" s="199">
        <v>16.61</v>
      </c>
      <c r="F199" s="76" t="s">
        <v>269</v>
      </c>
      <c r="G199" s="42" t="s">
        <v>594</v>
      </c>
      <c r="H199" s="76" t="s">
        <v>903</v>
      </c>
      <c r="I199" s="76" t="s">
        <v>595</v>
      </c>
      <c r="J199" s="19" t="s">
        <v>2155</v>
      </c>
      <c r="K199" s="19" t="s">
        <v>118</v>
      </c>
      <c r="L199" s="19" t="s">
        <v>2181</v>
      </c>
      <c r="M199" s="19">
        <v>196</v>
      </c>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row>
    <row r="200" spans="1:53" s="20" customFormat="1" ht="15.75" customHeight="1" x14ac:dyDescent="0.25">
      <c r="A200" s="75">
        <v>197</v>
      </c>
      <c r="B200" s="76" t="s">
        <v>845</v>
      </c>
      <c r="C200" s="76" t="s">
        <v>378</v>
      </c>
      <c r="D200" s="185" t="s">
        <v>84</v>
      </c>
      <c r="E200" s="199">
        <v>22.06</v>
      </c>
      <c r="F200" s="76" t="s">
        <v>269</v>
      </c>
      <c r="G200" s="42" t="s">
        <v>592</v>
      </c>
      <c r="H200" s="76" t="s">
        <v>903</v>
      </c>
      <c r="I200" s="76" t="s">
        <v>593</v>
      </c>
      <c r="J200" s="19" t="s">
        <v>2155</v>
      </c>
      <c r="K200" s="19" t="s">
        <v>118</v>
      </c>
      <c r="L200" s="19" t="s">
        <v>2181</v>
      </c>
      <c r="M200" s="19">
        <v>197</v>
      </c>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row>
    <row r="201" spans="1:53" s="20" customFormat="1" ht="15.75" customHeight="1" x14ac:dyDescent="0.25">
      <c r="A201" s="75">
        <v>198</v>
      </c>
      <c r="B201" s="76" t="s">
        <v>845</v>
      </c>
      <c r="C201" s="76" t="s">
        <v>378</v>
      </c>
      <c r="D201" s="185" t="s">
        <v>84</v>
      </c>
      <c r="E201" s="199">
        <v>25.78</v>
      </c>
      <c r="F201" s="76" t="s">
        <v>269</v>
      </c>
      <c r="G201" s="42" t="s">
        <v>590</v>
      </c>
      <c r="H201" s="76" t="s">
        <v>903</v>
      </c>
      <c r="I201" s="76" t="s">
        <v>591</v>
      </c>
      <c r="J201" s="19" t="s">
        <v>2155</v>
      </c>
      <c r="K201" s="19" t="s">
        <v>118</v>
      </c>
      <c r="L201" s="19" t="s">
        <v>2181</v>
      </c>
      <c r="M201" s="19">
        <v>198</v>
      </c>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row>
    <row r="202" spans="1:53" s="20" customFormat="1" ht="15.75" customHeight="1" x14ac:dyDescent="0.25">
      <c r="A202" s="75">
        <v>199</v>
      </c>
      <c r="B202" s="76" t="s">
        <v>845</v>
      </c>
      <c r="C202" s="76" t="s">
        <v>378</v>
      </c>
      <c r="D202" s="185" t="s">
        <v>84</v>
      </c>
      <c r="E202" s="199">
        <v>27.98</v>
      </c>
      <c r="F202" s="76" t="s">
        <v>269</v>
      </c>
      <c r="G202" s="42" t="s">
        <v>588</v>
      </c>
      <c r="H202" s="76" t="s">
        <v>904</v>
      </c>
      <c r="I202" s="76" t="s">
        <v>589</v>
      </c>
      <c r="J202" s="19" t="s">
        <v>2155</v>
      </c>
      <c r="K202" s="19" t="s">
        <v>118</v>
      </c>
      <c r="L202" s="19" t="s">
        <v>2181</v>
      </c>
      <c r="M202" s="19">
        <v>199</v>
      </c>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row>
    <row r="203" spans="1:53" s="20" customFormat="1" ht="15.75" customHeight="1" x14ac:dyDescent="0.25">
      <c r="A203" s="75">
        <v>200</v>
      </c>
      <c r="B203" s="76" t="s">
        <v>845</v>
      </c>
      <c r="C203" s="76" t="s">
        <v>378</v>
      </c>
      <c r="D203" s="185" t="s">
        <v>84</v>
      </c>
      <c r="E203" s="199">
        <v>36.64</v>
      </c>
      <c r="F203" s="76" t="s">
        <v>269</v>
      </c>
      <c r="G203" s="42" t="s">
        <v>586</v>
      </c>
      <c r="H203" s="76" t="s">
        <v>904</v>
      </c>
      <c r="I203" s="76" t="s">
        <v>587</v>
      </c>
      <c r="J203" s="19" t="s">
        <v>2155</v>
      </c>
      <c r="K203" s="19" t="s">
        <v>118</v>
      </c>
      <c r="L203" s="19" t="s">
        <v>2181</v>
      </c>
      <c r="M203" s="19">
        <v>200</v>
      </c>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row>
    <row r="204" spans="1:53" s="20" customFormat="1" ht="15.75" customHeight="1" x14ac:dyDescent="0.25">
      <c r="A204" s="75">
        <v>201</v>
      </c>
      <c r="B204" s="76" t="s">
        <v>845</v>
      </c>
      <c r="C204" s="76" t="s">
        <v>378</v>
      </c>
      <c r="D204" s="185" t="s">
        <v>84</v>
      </c>
      <c r="E204" s="199">
        <v>37.880000000000003</v>
      </c>
      <c r="F204" s="76" t="s">
        <v>269</v>
      </c>
      <c r="G204" s="42" t="s">
        <v>584</v>
      </c>
      <c r="H204" s="76" t="s">
        <v>904</v>
      </c>
      <c r="I204" s="76" t="s">
        <v>585</v>
      </c>
      <c r="J204" s="19" t="s">
        <v>2155</v>
      </c>
      <c r="K204" s="19" t="s">
        <v>118</v>
      </c>
      <c r="L204" s="19" t="s">
        <v>2181</v>
      </c>
      <c r="M204" s="19">
        <v>201</v>
      </c>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row>
    <row r="205" spans="1:53" s="20" customFormat="1" ht="15.75" customHeight="1" x14ac:dyDescent="0.25">
      <c r="A205" s="75">
        <v>202</v>
      </c>
      <c r="B205" s="76" t="s">
        <v>845</v>
      </c>
      <c r="C205" s="76" t="s">
        <v>378</v>
      </c>
      <c r="D205" s="185" t="s">
        <v>84</v>
      </c>
      <c r="E205" s="199">
        <v>38.24</v>
      </c>
      <c r="F205" s="76" t="s">
        <v>269</v>
      </c>
      <c r="G205" s="42" t="s">
        <v>582</v>
      </c>
      <c r="H205" s="76" t="s">
        <v>905</v>
      </c>
      <c r="I205" s="76" t="s">
        <v>583</v>
      </c>
      <c r="J205" s="19" t="s">
        <v>2155</v>
      </c>
      <c r="K205" s="19" t="s">
        <v>118</v>
      </c>
      <c r="L205" s="19" t="s">
        <v>2181</v>
      </c>
      <c r="M205" s="19">
        <v>202</v>
      </c>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row>
    <row r="206" spans="1:53" s="20" customFormat="1" ht="15.75" customHeight="1" x14ac:dyDescent="0.25">
      <c r="A206" s="75">
        <v>203</v>
      </c>
      <c r="B206" s="76" t="s">
        <v>845</v>
      </c>
      <c r="C206" s="76" t="s">
        <v>378</v>
      </c>
      <c r="D206" s="185" t="s">
        <v>84</v>
      </c>
      <c r="E206" s="199">
        <v>4.7300000000000004</v>
      </c>
      <c r="F206" s="76" t="s">
        <v>269</v>
      </c>
      <c r="G206" s="42" t="s">
        <v>580</v>
      </c>
      <c r="H206" s="76" t="s">
        <v>905</v>
      </c>
      <c r="I206" s="76" t="s">
        <v>581</v>
      </c>
      <c r="J206" s="19" t="s">
        <v>2155</v>
      </c>
      <c r="K206" s="19" t="s">
        <v>118</v>
      </c>
      <c r="L206" s="19" t="s">
        <v>2181</v>
      </c>
      <c r="M206" s="19">
        <v>203</v>
      </c>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row>
    <row r="207" spans="1:53" s="20" customFormat="1" ht="15.75" customHeight="1" x14ac:dyDescent="0.25">
      <c r="A207" s="75">
        <v>204</v>
      </c>
      <c r="B207" s="76" t="s">
        <v>845</v>
      </c>
      <c r="C207" s="76" t="s">
        <v>378</v>
      </c>
      <c r="D207" s="185" t="s">
        <v>84</v>
      </c>
      <c r="E207" s="199">
        <v>22.94</v>
      </c>
      <c r="F207" s="76" t="s">
        <v>269</v>
      </c>
      <c r="G207" s="42" t="s">
        <v>578</v>
      </c>
      <c r="H207" s="76" t="s">
        <v>905</v>
      </c>
      <c r="I207" s="76" t="s">
        <v>579</v>
      </c>
      <c r="J207" s="19" t="s">
        <v>2155</v>
      </c>
      <c r="K207" s="19" t="s">
        <v>118</v>
      </c>
      <c r="L207" s="19" t="s">
        <v>2181</v>
      </c>
      <c r="M207" s="19">
        <v>204</v>
      </c>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row>
    <row r="208" spans="1:53" s="20" customFormat="1" ht="15.75" customHeight="1" x14ac:dyDescent="0.25">
      <c r="A208" s="75">
        <v>205</v>
      </c>
      <c r="B208" s="76" t="s">
        <v>845</v>
      </c>
      <c r="C208" s="76" t="s">
        <v>378</v>
      </c>
      <c r="D208" s="185" t="s">
        <v>84</v>
      </c>
      <c r="E208" s="199">
        <v>12.97</v>
      </c>
      <c r="F208" s="76" t="s">
        <v>269</v>
      </c>
      <c r="G208" s="42" t="s">
        <v>576</v>
      </c>
      <c r="H208" s="76" t="s">
        <v>905</v>
      </c>
      <c r="I208" s="76" t="s">
        <v>577</v>
      </c>
      <c r="J208" s="19" t="s">
        <v>2155</v>
      </c>
      <c r="K208" s="19" t="s">
        <v>118</v>
      </c>
      <c r="L208" s="19" t="s">
        <v>2181</v>
      </c>
      <c r="M208" s="19">
        <v>205</v>
      </c>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row>
    <row r="209" spans="1:53" s="20" customFormat="1" ht="15.75" customHeight="1" x14ac:dyDescent="0.25">
      <c r="A209" s="75">
        <v>206</v>
      </c>
      <c r="B209" s="76" t="s">
        <v>845</v>
      </c>
      <c r="C209" s="76" t="s">
        <v>378</v>
      </c>
      <c r="D209" s="185" t="s">
        <v>84</v>
      </c>
      <c r="E209" s="199">
        <v>21.98</v>
      </c>
      <c r="F209" s="76" t="s">
        <v>269</v>
      </c>
      <c r="G209" s="42" t="s">
        <v>574</v>
      </c>
      <c r="H209" s="76" t="s">
        <v>906</v>
      </c>
      <c r="I209" s="76" t="s">
        <v>575</v>
      </c>
      <c r="J209" s="19" t="s">
        <v>2155</v>
      </c>
      <c r="K209" s="19" t="s">
        <v>118</v>
      </c>
      <c r="L209" s="19" t="s">
        <v>2181</v>
      </c>
      <c r="M209" s="19">
        <v>206</v>
      </c>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row>
    <row r="210" spans="1:53" s="20" customFormat="1" ht="15.75" customHeight="1" x14ac:dyDescent="0.25">
      <c r="A210" s="75">
        <v>207</v>
      </c>
      <c r="B210" s="76" t="s">
        <v>845</v>
      </c>
      <c r="C210" s="76" t="s">
        <v>378</v>
      </c>
      <c r="D210" s="185" t="s">
        <v>84</v>
      </c>
      <c r="E210" s="199">
        <v>16.2</v>
      </c>
      <c r="F210" s="76" t="s">
        <v>269</v>
      </c>
      <c r="G210" s="42" t="s">
        <v>572</v>
      </c>
      <c r="H210" s="76" t="s">
        <v>906</v>
      </c>
      <c r="I210" s="76" t="s">
        <v>573</v>
      </c>
      <c r="J210" s="19" t="s">
        <v>2155</v>
      </c>
      <c r="K210" s="19" t="s">
        <v>118</v>
      </c>
      <c r="L210" s="19" t="s">
        <v>2181</v>
      </c>
      <c r="M210" s="19">
        <v>207</v>
      </c>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row>
    <row r="211" spans="1:53" s="20" customFormat="1" ht="15.75" customHeight="1" x14ac:dyDescent="0.25">
      <c r="A211" s="75">
        <v>208</v>
      </c>
      <c r="B211" s="76" t="s">
        <v>845</v>
      </c>
      <c r="C211" s="76" t="s">
        <v>378</v>
      </c>
      <c r="D211" s="185" t="s">
        <v>84</v>
      </c>
      <c r="E211" s="199">
        <v>14.49</v>
      </c>
      <c r="F211" s="76" t="s">
        <v>269</v>
      </c>
      <c r="G211" s="42" t="s">
        <v>570</v>
      </c>
      <c r="H211" s="76" t="s">
        <v>906</v>
      </c>
      <c r="I211" s="76" t="s">
        <v>571</v>
      </c>
      <c r="J211" s="19" t="s">
        <v>2155</v>
      </c>
      <c r="K211" s="19" t="s">
        <v>118</v>
      </c>
      <c r="L211" s="19" t="s">
        <v>2181</v>
      </c>
      <c r="M211" s="19">
        <v>208</v>
      </c>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row>
    <row r="212" spans="1:53" s="20" customFormat="1" ht="15.75" customHeight="1" x14ac:dyDescent="0.25">
      <c r="A212" s="75">
        <v>209</v>
      </c>
      <c r="B212" s="76" t="s">
        <v>845</v>
      </c>
      <c r="C212" s="76" t="s">
        <v>378</v>
      </c>
      <c r="D212" s="185" t="s">
        <v>84</v>
      </c>
      <c r="E212" s="199">
        <v>32.94</v>
      </c>
      <c r="F212" s="76" t="s">
        <v>269</v>
      </c>
      <c r="G212" s="42" t="s">
        <v>568</v>
      </c>
      <c r="H212" s="76" t="s">
        <v>906</v>
      </c>
      <c r="I212" s="76" t="s">
        <v>569</v>
      </c>
      <c r="J212" s="19" t="s">
        <v>2155</v>
      </c>
      <c r="K212" s="19" t="s">
        <v>118</v>
      </c>
      <c r="L212" s="19" t="s">
        <v>2181</v>
      </c>
      <c r="M212" s="19">
        <v>209</v>
      </c>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row>
    <row r="213" spans="1:53" s="20" customFormat="1" ht="15.75" customHeight="1" x14ac:dyDescent="0.25">
      <c r="A213" s="75">
        <v>210</v>
      </c>
      <c r="B213" s="76" t="s">
        <v>845</v>
      </c>
      <c r="C213" s="76" t="s">
        <v>378</v>
      </c>
      <c r="D213" s="185" t="s">
        <v>84</v>
      </c>
      <c r="E213" s="199">
        <v>17.940000000000001</v>
      </c>
      <c r="F213" s="76" t="s">
        <v>269</v>
      </c>
      <c r="G213" s="42" t="s">
        <v>566</v>
      </c>
      <c r="H213" s="76" t="s">
        <v>907</v>
      </c>
      <c r="I213" s="76" t="s">
        <v>567</v>
      </c>
      <c r="J213" s="19" t="s">
        <v>2155</v>
      </c>
      <c r="K213" s="19" t="s">
        <v>118</v>
      </c>
      <c r="L213" s="19" t="s">
        <v>2181</v>
      </c>
      <c r="M213" s="19">
        <v>210</v>
      </c>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row>
    <row r="214" spans="1:53" s="20" customFormat="1" ht="15.75" customHeight="1" x14ac:dyDescent="0.25">
      <c r="A214" s="81">
        <v>211</v>
      </c>
      <c r="B214" s="82" t="s">
        <v>845</v>
      </c>
      <c r="C214" s="82" t="s">
        <v>378</v>
      </c>
      <c r="D214" s="187" t="s">
        <v>84</v>
      </c>
      <c r="E214" s="201">
        <v>22.99</v>
      </c>
      <c r="F214" s="82" t="s">
        <v>269</v>
      </c>
      <c r="G214" s="42" t="s">
        <v>564</v>
      </c>
      <c r="H214" s="82" t="s">
        <v>907</v>
      </c>
      <c r="I214" s="82" t="s">
        <v>565</v>
      </c>
      <c r="J214" s="19" t="s">
        <v>2155</v>
      </c>
      <c r="K214" s="19" t="s">
        <v>118</v>
      </c>
      <c r="L214" s="19" t="s">
        <v>2181</v>
      </c>
      <c r="M214" s="19">
        <v>211</v>
      </c>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row>
    <row r="215" spans="1:53" s="20" customFormat="1" ht="15.75" customHeight="1" x14ac:dyDescent="0.25">
      <c r="A215" s="81">
        <v>212</v>
      </c>
      <c r="B215" s="82" t="s">
        <v>845</v>
      </c>
      <c r="C215" s="82" t="s">
        <v>378</v>
      </c>
      <c r="D215" s="187" t="s">
        <v>84</v>
      </c>
      <c r="E215" s="201">
        <v>22.98</v>
      </c>
      <c r="F215" s="82" t="s">
        <v>269</v>
      </c>
      <c r="G215" s="42" t="s">
        <v>562</v>
      </c>
      <c r="H215" s="82" t="s">
        <v>907</v>
      </c>
      <c r="I215" s="82" t="s">
        <v>563</v>
      </c>
      <c r="J215" s="19" t="s">
        <v>2155</v>
      </c>
      <c r="K215" s="19" t="s">
        <v>118</v>
      </c>
      <c r="L215" s="19" t="s">
        <v>2181</v>
      </c>
      <c r="M215" s="19">
        <v>212</v>
      </c>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row>
    <row r="216" spans="1:53" s="20" customFormat="1" ht="15.75" customHeight="1" x14ac:dyDescent="0.25">
      <c r="A216" s="81">
        <v>213</v>
      </c>
      <c r="B216" s="82" t="s">
        <v>845</v>
      </c>
      <c r="C216" s="82" t="s">
        <v>378</v>
      </c>
      <c r="D216" s="187" t="s">
        <v>84</v>
      </c>
      <c r="E216" s="201">
        <v>60.99</v>
      </c>
      <c r="F216" s="82" t="s">
        <v>269</v>
      </c>
      <c r="G216" s="42" t="s">
        <v>560</v>
      </c>
      <c r="H216" s="82" t="s">
        <v>908</v>
      </c>
      <c r="I216" s="82" t="s">
        <v>561</v>
      </c>
      <c r="J216" s="19" t="s">
        <v>2155</v>
      </c>
      <c r="K216" s="19" t="s">
        <v>118</v>
      </c>
      <c r="L216" s="19" t="s">
        <v>2181</v>
      </c>
      <c r="M216" s="19">
        <v>213</v>
      </c>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row>
    <row r="217" spans="1:53" s="20" customFormat="1" ht="15.75" customHeight="1" x14ac:dyDescent="0.25">
      <c r="A217" s="81">
        <v>214</v>
      </c>
      <c r="B217" s="82" t="s">
        <v>845</v>
      </c>
      <c r="C217" s="82" t="s">
        <v>381</v>
      </c>
      <c r="D217" s="187" t="s">
        <v>84</v>
      </c>
      <c r="E217" s="201">
        <v>22.9</v>
      </c>
      <c r="F217" s="82" t="s">
        <v>269</v>
      </c>
      <c r="G217" s="42" t="s">
        <v>558</v>
      </c>
      <c r="H217" s="82" t="s">
        <v>908</v>
      </c>
      <c r="I217" s="82" t="s">
        <v>559</v>
      </c>
      <c r="J217" s="19" t="s">
        <v>2155</v>
      </c>
      <c r="K217" s="19" t="s">
        <v>118</v>
      </c>
      <c r="L217" s="19" t="s">
        <v>2181</v>
      </c>
      <c r="M217" s="19">
        <v>214</v>
      </c>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row>
    <row r="218" spans="1:53" s="20" customFormat="1" ht="15.75" customHeight="1" x14ac:dyDescent="0.25">
      <c r="A218" s="81">
        <v>215</v>
      </c>
      <c r="B218" s="82" t="s">
        <v>845</v>
      </c>
      <c r="C218" s="82" t="s">
        <v>378</v>
      </c>
      <c r="D218" s="187" t="s">
        <v>84</v>
      </c>
      <c r="E218" s="201">
        <v>11.63</v>
      </c>
      <c r="F218" s="82" t="s">
        <v>269</v>
      </c>
      <c r="G218" s="42" t="s">
        <v>556</v>
      </c>
      <c r="H218" s="82" t="s">
        <v>909</v>
      </c>
      <c r="I218" s="82" t="s">
        <v>557</v>
      </c>
      <c r="J218" s="19" t="s">
        <v>2155</v>
      </c>
      <c r="K218" s="19" t="s">
        <v>118</v>
      </c>
      <c r="L218" s="19" t="s">
        <v>2181</v>
      </c>
      <c r="M218" s="19">
        <v>215</v>
      </c>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row>
    <row r="219" spans="1:53" s="20" customFormat="1" ht="15.75" customHeight="1" x14ac:dyDescent="0.25">
      <c r="A219" s="81">
        <v>216</v>
      </c>
      <c r="B219" s="82" t="s">
        <v>845</v>
      </c>
      <c r="C219" s="82" t="s">
        <v>378</v>
      </c>
      <c r="D219" s="187" t="s">
        <v>84</v>
      </c>
      <c r="E219" s="201">
        <v>12.65</v>
      </c>
      <c r="F219" s="82" t="s">
        <v>269</v>
      </c>
      <c r="G219" s="42" t="s">
        <v>554</v>
      </c>
      <c r="H219" s="82" t="s">
        <v>909</v>
      </c>
      <c r="I219" s="82" t="s">
        <v>555</v>
      </c>
      <c r="J219" s="19" t="s">
        <v>2155</v>
      </c>
      <c r="K219" s="19" t="s">
        <v>118</v>
      </c>
      <c r="L219" s="19" t="s">
        <v>2181</v>
      </c>
      <c r="M219" s="19">
        <v>216</v>
      </c>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row>
    <row r="220" spans="1:53" s="20" customFormat="1" ht="15.75" customHeight="1" x14ac:dyDescent="0.25">
      <c r="A220" s="81">
        <v>217</v>
      </c>
      <c r="B220" s="82" t="s">
        <v>845</v>
      </c>
      <c r="C220" s="82" t="s">
        <v>381</v>
      </c>
      <c r="D220" s="187" t="s">
        <v>84</v>
      </c>
      <c r="E220" s="201">
        <v>8.1999999999999993</v>
      </c>
      <c r="F220" s="82" t="s">
        <v>269</v>
      </c>
      <c r="G220" s="42" t="s">
        <v>552</v>
      </c>
      <c r="H220" s="82" t="s">
        <v>910</v>
      </c>
      <c r="I220" s="82" t="s">
        <v>553</v>
      </c>
      <c r="J220" s="19" t="s">
        <v>2155</v>
      </c>
      <c r="K220" s="19" t="s">
        <v>118</v>
      </c>
      <c r="L220" s="19" t="s">
        <v>2181</v>
      </c>
      <c r="M220" s="19">
        <v>217</v>
      </c>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row>
    <row r="221" spans="1:53" s="20" customFormat="1" ht="15.75" customHeight="1" x14ac:dyDescent="0.25">
      <c r="A221" s="81">
        <v>218</v>
      </c>
      <c r="B221" s="82" t="s">
        <v>845</v>
      </c>
      <c r="C221" s="82" t="s">
        <v>378</v>
      </c>
      <c r="D221" s="187" t="s">
        <v>84</v>
      </c>
      <c r="E221" s="201">
        <v>8.89</v>
      </c>
      <c r="F221" s="82" t="s">
        <v>269</v>
      </c>
      <c r="G221" s="42" t="s">
        <v>550</v>
      </c>
      <c r="H221" s="82" t="s">
        <v>910</v>
      </c>
      <c r="I221" s="82" t="s">
        <v>551</v>
      </c>
      <c r="J221" s="19" t="s">
        <v>2155</v>
      </c>
      <c r="K221" s="19" t="s">
        <v>118</v>
      </c>
      <c r="L221" s="19" t="s">
        <v>2181</v>
      </c>
      <c r="M221" s="19">
        <v>218</v>
      </c>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row>
    <row r="222" spans="1:53" s="20" customFormat="1" ht="15.75" customHeight="1" x14ac:dyDescent="0.25">
      <c r="A222" s="81">
        <v>219</v>
      </c>
      <c r="B222" s="82" t="s">
        <v>845</v>
      </c>
      <c r="C222" s="82" t="s">
        <v>378</v>
      </c>
      <c r="D222" s="187" t="s">
        <v>84</v>
      </c>
      <c r="E222" s="201">
        <v>19.98</v>
      </c>
      <c r="F222" s="82" t="s">
        <v>269</v>
      </c>
      <c r="G222" s="42" t="s">
        <v>548</v>
      </c>
      <c r="H222" s="82" t="s">
        <v>910</v>
      </c>
      <c r="I222" s="82" t="s">
        <v>549</v>
      </c>
      <c r="J222" s="20" t="s">
        <v>2155</v>
      </c>
      <c r="K222" s="20" t="s">
        <v>118</v>
      </c>
      <c r="L222" s="20" t="s">
        <v>2181</v>
      </c>
      <c r="M222" s="20">
        <v>219</v>
      </c>
    </row>
    <row r="223" spans="1:53" s="20" customFormat="1" ht="15.75" customHeight="1" x14ac:dyDescent="0.25">
      <c r="A223" s="81">
        <v>220</v>
      </c>
      <c r="B223" s="82" t="s">
        <v>845</v>
      </c>
      <c r="C223" s="82" t="s">
        <v>378</v>
      </c>
      <c r="D223" s="187" t="s">
        <v>84</v>
      </c>
      <c r="E223" s="201">
        <v>7.84</v>
      </c>
      <c r="F223" s="82" t="s">
        <v>269</v>
      </c>
      <c r="G223" s="42" t="s">
        <v>546</v>
      </c>
      <c r="H223" s="82" t="s">
        <v>911</v>
      </c>
      <c r="I223" s="82" t="s">
        <v>547</v>
      </c>
      <c r="J223" s="20" t="s">
        <v>2155</v>
      </c>
      <c r="K223" s="20" t="s">
        <v>118</v>
      </c>
      <c r="L223" s="20" t="s">
        <v>2181</v>
      </c>
      <c r="M223" s="20">
        <v>220</v>
      </c>
    </row>
    <row r="224" spans="1:53" s="20" customFormat="1" ht="15.75" customHeight="1" x14ac:dyDescent="0.25">
      <c r="A224" s="81">
        <v>221</v>
      </c>
      <c r="B224" s="82" t="s">
        <v>845</v>
      </c>
      <c r="C224" s="82" t="s">
        <v>378</v>
      </c>
      <c r="D224" s="187" t="s">
        <v>84</v>
      </c>
      <c r="E224" s="201">
        <v>18.93</v>
      </c>
      <c r="F224" s="82" t="s">
        <v>269</v>
      </c>
      <c r="G224" s="42" t="s">
        <v>544</v>
      </c>
      <c r="H224" s="82" t="s">
        <v>912</v>
      </c>
      <c r="I224" s="82" t="s">
        <v>545</v>
      </c>
      <c r="J224" s="20" t="s">
        <v>2155</v>
      </c>
      <c r="K224" s="20" t="s">
        <v>118</v>
      </c>
      <c r="L224" s="20" t="s">
        <v>2181</v>
      </c>
      <c r="M224" s="20">
        <v>221</v>
      </c>
    </row>
    <row r="225" spans="1:13" s="20" customFormat="1" ht="15.75" customHeight="1" x14ac:dyDescent="0.25">
      <c r="A225" s="81">
        <v>222</v>
      </c>
      <c r="B225" s="82" t="s">
        <v>845</v>
      </c>
      <c r="C225" s="82" t="s">
        <v>378</v>
      </c>
      <c r="D225" s="187" t="s">
        <v>146</v>
      </c>
      <c r="E225" s="201">
        <v>31.69</v>
      </c>
      <c r="F225" s="82" t="s">
        <v>269</v>
      </c>
      <c r="G225" s="42" t="s">
        <v>542</v>
      </c>
      <c r="H225" s="82" t="s">
        <v>913</v>
      </c>
      <c r="I225" s="82" t="s">
        <v>543</v>
      </c>
      <c r="J225" s="20" t="s">
        <v>2155</v>
      </c>
      <c r="K225" s="20" t="s">
        <v>118</v>
      </c>
      <c r="L225" s="20" t="s">
        <v>2181</v>
      </c>
      <c r="M225" s="20">
        <v>222</v>
      </c>
    </row>
    <row r="226" spans="1:13" s="20" customFormat="1" ht="15.75" customHeight="1" x14ac:dyDescent="0.25">
      <c r="A226" s="81">
        <v>223</v>
      </c>
      <c r="B226" s="82" t="s">
        <v>845</v>
      </c>
      <c r="C226" s="82" t="s">
        <v>378</v>
      </c>
      <c r="D226" s="187" t="s">
        <v>146</v>
      </c>
      <c r="E226" s="201">
        <v>16.07</v>
      </c>
      <c r="F226" s="82" t="s">
        <v>269</v>
      </c>
      <c r="G226" s="42" t="s">
        <v>540</v>
      </c>
      <c r="H226" s="82" t="s">
        <v>914</v>
      </c>
      <c r="I226" s="82" t="s">
        <v>541</v>
      </c>
      <c r="J226" s="20" t="s">
        <v>2155</v>
      </c>
      <c r="K226" s="20" t="s">
        <v>118</v>
      </c>
      <c r="L226" s="20" t="s">
        <v>2181</v>
      </c>
      <c r="M226" s="20">
        <v>223</v>
      </c>
    </row>
    <row r="227" spans="1:13" s="20" customFormat="1" ht="15.75" customHeight="1" x14ac:dyDescent="0.25">
      <c r="A227" s="81">
        <v>224</v>
      </c>
      <c r="B227" s="82" t="s">
        <v>845</v>
      </c>
      <c r="C227" s="82" t="s">
        <v>378</v>
      </c>
      <c r="D227" s="187" t="s">
        <v>146</v>
      </c>
      <c r="E227" s="201">
        <v>14.95</v>
      </c>
      <c r="F227" s="82" t="s">
        <v>269</v>
      </c>
      <c r="G227" s="42" t="s">
        <v>538</v>
      </c>
      <c r="H227" s="82" t="s">
        <v>914</v>
      </c>
      <c r="I227" s="82" t="s">
        <v>539</v>
      </c>
      <c r="J227" s="20" t="s">
        <v>2155</v>
      </c>
      <c r="K227" s="20" t="s">
        <v>118</v>
      </c>
      <c r="L227" s="20" t="s">
        <v>2181</v>
      </c>
      <c r="M227" s="20">
        <v>224</v>
      </c>
    </row>
    <row r="228" spans="1:13" s="20" customFormat="1" ht="15.75" customHeight="1" x14ac:dyDescent="0.25">
      <c r="A228" s="81">
        <v>225</v>
      </c>
      <c r="B228" s="82" t="s">
        <v>845</v>
      </c>
      <c r="C228" s="82" t="s">
        <v>378</v>
      </c>
      <c r="D228" s="187" t="s">
        <v>146</v>
      </c>
      <c r="E228" s="201">
        <v>16.95</v>
      </c>
      <c r="F228" s="82" t="s">
        <v>269</v>
      </c>
      <c r="G228" s="42" t="s">
        <v>536</v>
      </c>
      <c r="H228" s="82" t="s">
        <v>914</v>
      </c>
      <c r="I228" s="82" t="s">
        <v>537</v>
      </c>
      <c r="J228" s="20" t="s">
        <v>2155</v>
      </c>
      <c r="K228" s="20" t="s">
        <v>118</v>
      </c>
      <c r="L228" s="20" t="s">
        <v>2181</v>
      </c>
      <c r="M228" s="20">
        <v>225</v>
      </c>
    </row>
    <row r="229" spans="1:13" s="20" customFormat="1" ht="15.75" customHeight="1" x14ac:dyDescent="0.25">
      <c r="A229" s="81">
        <v>226</v>
      </c>
      <c r="B229" s="82" t="s">
        <v>845</v>
      </c>
      <c r="C229" s="82" t="s">
        <v>378</v>
      </c>
      <c r="D229" s="187" t="s">
        <v>146</v>
      </c>
      <c r="E229" s="201">
        <v>13</v>
      </c>
      <c r="F229" s="82" t="s">
        <v>269</v>
      </c>
      <c r="G229" s="42" t="s">
        <v>534</v>
      </c>
      <c r="H229" s="82" t="s">
        <v>915</v>
      </c>
      <c r="I229" s="82" t="s">
        <v>535</v>
      </c>
      <c r="J229" s="20" t="s">
        <v>2155</v>
      </c>
      <c r="K229" s="20" t="s">
        <v>118</v>
      </c>
      <c r="L229" s="20" t="s">
        <v>2181</v>
      </c>
      <c r="M229" s="20">
        <v>226</v>
      </c>
    </row>
    <row r="230" spans="1:13" s="20" customFormat="1" ht="15.75" customHeight="1" x14ac:dyDescent="0.25">
      <c r="A230" s="81">
        <v>227</v>
      </c>
      <c r="B230" s="82" t="s">
        <v>845</v>
      </c>
      <c r="C230" s="82" t="s">
        <v>378</v>
      </c>
      <c r="D230" s="187" t="s">
        <v>146</v>
      </c>
      <c r="E230" s="201">
        <v>5.34</v>
      </c>
      <c r="F230" s="82" t="s">
        <v>269</v>
      </c>
      <c r="G230" s="42" t="s">
        <v>532</v>
      </c>
      <c r="H230" s="82" t="s">
        <v>916</v>
      </c>
      <c r="I230" s="82" t="s">
        <v>533</v>
      </c>
      <c r="J230" s="20" t="s">
        <v>2155</v>
      </c>
      <c r="K230" s="20" t="s">
        <v>118</v>
      </c>
      <c r="L230" s="20" t="s">
        <v>2181</v>
      </c>
      <c r="M230" s="20">
        <v>227</v>
      </c>
    </row>
    <row r="231" spans="1:13" s="20" customFormat="1" ht="15.75" customHeight="1" x14ac:dyDescent="0.25">
      <c r="A231" s="81">
        <v>228</v>
      </c>
      <c r="B231" s="82" t="s">
        <v>845</v>
      </c>
      <c r="C231" s="82" t="s">
        <v>381</v>
      </c>
      <c r="D231" s="187" t="s">
        <v>146</v>
      </c>
      <c r="E231" s="201">
        <v>9.26</v>
      </c>
      <c r="F231" s="82" t="s">
        <v>269</v>
      </c>
      <c r="G231" s="42" t="s">
        <v>530</v>
      </c>
      <c r="H231" s="82" t="s">
        <v>916</v>
      </c>
      <c r="I231" s="82" t="s">
        <v>531</v>
      </c>
      <c r="J231" s="20" t="s">
        <v>2155</v>
      </c>
      <c r="K231" s="20" t="s">
        <v>118</v>
      </c>
      <c r="L231" s="20" t="s">
        <v>2181</v>
      </c>
      <c r="M231" s="20">
        <v>228</v>
      </c>
    </row>
    <row r="232" spans="1:13" s="20" customFormat="1" ht="15.75" customHeight="1" x14ac:dyDescent="0.25">
      <c r="A232" s="81">
        <v>229</v>
      </c>
      <c r="B232" s="82" t="s">
        <v>845</v>
      </c>
      <c r="C232" s="82" t="s">
        <v>378</v>
      </c>
      <c r="D232" s="187" t="s">
        <v>146</v>
      </c>
      <c r="E232" s="201">
        <v>4.72</v>
      </c>
      <c r="F232" s="82" t="s">
        <v>269</v>
      </c>
      <c r="G232" s="42" t="s">
        <v>528</v>
      </c>
      <c r="H232" s="82" t="s">
        <v>916</v>
      </c>
      <c r="I232" s="82" t="s">
        <v>529</v>
      </c>
      <c r="J232" s="20" t="s">
        <v>2155</v>
      </c>
      <c r="K232" s="20" t="s">
        <v>118</v>
      </c>
      <c r="L232" s="20" t="s">
        <v>2181</v>
      </c>
      <c r="M232" s="20">
        <v>229</v>
      </c>
    </row>
    <row r="233" spans="1:13" s="20" customFormat="1" ht="15.75" customHeight="1" x14ac:dyDescent="0.25">
      <c r="A233" s="81">
        <v>230</v>
      </c>
      <c r="B233" s="82" t="s">
        <v>845</v>
      </c>
      <c r="C233" s="82" t="s">
        <v>378</v>
      </c>
      <c r="D233" s="187" t="s">
        <v>146</v>
      </c>
      <c r="E233" s="201">
        <v>38.909999999999997</v>
      </c>
      <c r="F233" s="82" t="s">
        <v>269</v>
      </c>
      <c r="G233" s="42" t="s">
        <v>526</v>
      </c>
      <c r="H233" s="82" t="s">
        <v>916</v>
      </c>
      <c r="I233" s="82" t="s">
        <v>527</v>
      </c>
      <c r="J233" s="20" t="s">
        <v>2155</v>
      </c>
      <c r="K233" s="20" t="s">
        <v>118</v>
      </c>
      <c r="L233" s="20" t="s">
        <v>2181</v>
      </c>
      <c r="M233" s="20">
        <v>230</v>
      </c>
    </row>
    <row r="234" spans="1:13" s="20" customFormat="1" ht="15.75" customHeight="1" x14ac:dyDescent="0.25">
      <c r="A234" s="81">
        <v>231</v>
      </c>
      <c r="B234" s="82" t="s">
        <v>845</v>
      </c>
      <c r="C234" s="82" t="s">
        <v>381</v>
      </c>
      <c r="D234" s="187" t="s">
        <v>146</v>
      </c>
      <c r="E234" s="201">
        <v>27.84</v>
      </c>
      <c r="F234" s="82" t="s">
        <v>269</v>
      </c>
      <c r="G234" s="42" t="s">
        <v>524</v>
      </c>
      <c r="H234" s="82" t="s">
        <v>916</v>
      </c>
      <c r="I234" s="82" t="s">
        <v>525</v>
      </c>
      <c r="J234" s="20" t="s">
        <v>2155</v>
      </c>
      <c r="K234" s="20" t="s">
        <v>118</v>
      </c>
      <c r="L234" s="20" t="s">
        <v>2181</v>
      </c>
      <c r="M234" s="20">
        <v>231</v>
      </c>
    </row>
    <row r="235" spans="1:13" s="20" customFormat="1" ht="15.75" customHeight="1" x14ac:dyDescent="0.25">
      <c r="A235" s="81">
        <v>232</v>
      </c>
      <c r="B235" s="82" t="s">
        <v>845</v>
      </c>
      <c r="C235" s="82" t="s">
        <v>378</v>
      </c>
      <c r="D235" s="187" t="s">
        <v>146</v>
      </c>
      <c r="E235" s="201">
        <v>26.97</v>
      </c>
      <c r="F235" s="82" t="s">
        <v>269</v>
      </c>
      <c r="G235" s="42" t="s">
        <v>522</v>
      </c>
      <c r="H235" s="82" t="s">
        <v>917</v>
      </c>
      <c r="I235" s="82" t="s">
        <v>523</v>
      </c>
      <c r="J235" s="20" t="s">
        <v>2155</v>
      </c>
      <c r="K235" s="20" t="s">
        <v>118</v>
      </c>
      <c r="L235" s="20" t="s">
        <v>2181</v>
      </c>
      <c r="M235" s="20">
        <v>232</v>
      </c>
    </row>
    <row r="236" spans="1:13" s="20" customFormat="1" ht="15.75" customHeight="1" x14ac:dyDescent="0.25">
      <c r="A236" s="81">
        <v>233</v>
      </c>
      <c r="B236" s="82" t="s">
        <v>845</v>
      </c>
      <c r="C236" s="82" t="s">
        <v>378</v>
      </c>
      <c r="D236" s="187" t="s">
        <v>146</v>
      </c>
      <c r="E236" s="201">
        <v>20.309999999999999</v>
      </c>
      <c r="F236" s="82" t="s">
        <v>269</v>
      </c>
      <c r="G236" s="42" t="s">
        <v>520</v>
      </c>
      <c r="H236" s="82" t="s">
        <v>917</v>
      </c>
      <c r="I236" s="82" t="s">
        <v>521</v>
      </c>
      <c r="J236" s="20" t="s">
        <v>2155</v>
      </c>
      <c r="K236" s="20" t="s">
        <v>118</v>
      </c>
      <c r="L236" s="20" t="s">
        <v>2181</v>
      </c>
      <c r="M236" s="20">
        <v>233</v>
      </c>
    </row>
    <row r="237" spans="1:13" s="20" customFormat="1" ht="15.75" customHeight="1" x14ac:dyDescent="0.25">
      <c r="A237" s="81">
        <v>234</v>
      </c>
      <c r="B237" s="82" t="s">
        <v>845</v>
      </c>
      <c r="C237" s="82" t="s">
        <v>378</v>
      </c>
      <c r="D237" s="187" t="s">
        <v>146</v>
      </c>
      <c r="E237" s="201">
        <v>3</v>
      </c>
      <c r="F237" s="82" t="s">
        <v>269</v>
      </c>
      <c r="G237" s="42" t="s">
        <v>518</v>
      </c>
      <c r="H237" s="82" t="s">
        <v>917</v>
      </c>
      <c r="I237" s="82" t="s">
        <v>519</v>
      </c>
      <c r="J237" s="20" t="s">
        <v>2155</v>
      </c>
      <c r="K237" s="20" t="s">
        <v>118</v>
      </c>
      <c r="L237" s="20" t="s">
        <v>2181</v>
      </c>
      <c r="M237" s="20">
        <v>234</v>
      </c>
    </row>
    <row r="238" spans="1:13" s="20" customFormat="1" ht="15.75" customHeight="1" x14ac:dyDescent="0.25">
      <c r="A238" s="81">
        <v>235</v>
      </c>
      <c r="B238" s="82" t="s">
        <v>845</v>
      </c>
      <c r="C238" s="82" t="s">
        <v>378</v>
      </c>
      <c r="D238" s="187" t="s">
        <v>146</v>
      </c>
      <c r="E238" s="201">
        <v>22.93</v>
      </c>
      <c r="F238" s="82" t="s">
        <v>269</v>
      </c>
      <c r="G238" s="42" t="s">
        <v>516</v>
      </c>
      <c r="H238" s="82" t="s">
        <v>917</v>
      </c>
      <c r="I238" s="82" t="s">
        <v>517</v>
      </c>
      <c r="J238" s="20" t="s">
        <v>2155</v>
      </c>
      <c r="K238" s="20" t="s">
        <v>118</v>
      </c>
      <c r="L238" s="20" t="s">
        <v>2181</v>
      </c>
      <c r="M238" s="20">
        <v>235</v>
      </c>
    </row>
    <row r="239" spans="1:13" s="20" customFormat="1" ht="15.75" customHeight="1" x14ac:dyDescent="0.25">
      <c r="A239" s="81">
        <v>236</v>
      </c>
      <c r="B239" s="82" t="s">
        <v>845</v>
      </c>
      <c r="C239" s="82" t="s">
        <v>378</v>
      </c>
      <c r="D239" s="187" t="s">
        <v>146</v>
      </c>
      <c r="E239" s="201">
        <v>21.96</v>
      </c>
      <c r="F239" s="82" t="s">
        <v>269</v>
      </c>
      <c r="G239" s="42" t="s">
        <v>514</v>
      </c>
      <c r="H239" s="82" t="s">
        <v>917</v>
      </c>
      <c r="I239" s="82" t="s">
        <v>515</v>
      </c>
      <c r="J239" s="20" t="s">
        <v>2155</v>
      </c>
      <c r="K239" s="20" t="s">
        <v>118</v>
      </c>
      <c r="L239" s="20" t="s">
        <v>2181</v>
      </c>
      <c r="M239" s="20">
        <v>236</v>
      </c>
    </row>
    <row r="240" spans="1:13" s="20" customFormat="1" ht="15.75" customHeight="1" x14ac:dyDescent="0.25">
      <c r="A240" s="81">
        <v>237</v>
      </c>
      <c r="B240" s="82" t="s">
        <v>845</v>
      </c>
      <c r="C240" s="82" t="s">
        <v>378</v>
      </c>
      <c r="D240" s="187" t="s">
        <v>146</v>
      </c>
      <c r="E240" s="201">
        <v>7.94</v>
      </c>
      <c r="F240" s="82" t="s">
        <v>269</v>
      </c>
      <c r="G240" s="42" t="s">
        <v>512</v>
      </c>
      <c r="H240" s="82" t="s">
        <v>917</v>
      </c>
      <c r="I240" s="82" t="s">
        <v>513</v>
      </c>
      <c r="J240" s="20" t="s">
        <v>2155</v>
      </c>
      <c r="K240" s="20" t="s">
        <v>118</v>
      </c>
      <c r="L240" s="20" t="s">
        <v>2181</v>
      </c>
      <c r="M240" s="20">
        <v>237</v>
      </c>
    </row>
    <row r="241" spans="1:13" s="20" customFormat="1" ht="15.75" customHeight="1" x14ac:dyDescent="0.25">
      <c r="A241" s="81">
        <v>238</v>
      </c>
      <c r="B241" s="82" t="s">
        <v>845</v>
      </c>
      <c r="C241" s="82" t="s">
        <v>378</v>
      </c>
      <c r="D241" s="187" t="s">
        <v>146</v>
      </c>
      <c r="E241" s="201">
        <v>13.77</v>
      </c>
      <c r="F241" s="82" t="s">
        <v>269</v>
      </c>
      <c r="G241" s="42" t="s">
        <v>510</v>
      </c>
      <c r="H241" s="82" t="s">
        <v>918</v>
      </c>
      <c r="I241" s="82" t="s">
        <v>511</v>
      </c>
      <c r="J241" s="20" t="s">
        <v>2155</v>
      </c>
      <c r="K241" s="20" t="s">
        <v>118</v>
      </c>
      <c r="L241" s="20" t="s">
        <v>2181</v>
      </c>
      <c r="M241" s="20">
        <v>238</v>
      </c>
    </row>
    <row r="242" spans="1:13" s="20" customFormat="1" ht="15.75" customHeight="1" x14ac:dyDescent="0.25">
      <c r="A242" s="81">
        <v>239</v>
      </c>
      <c r="B242" s="82" t="s">
        <v>845</v>
      </c>
      <c r="C242" s="82" t="s">
        <v>378</v>
      </c>
      <c r="D242" s="187" t="s">
        <v>146</v>
      </c>
      <c r="E242" s="201">
        <v>14.94</v>
      </c>
      <c r="F242" s="82" t="s">
        <v>269</v>
      </c>
      <c r="G242" s="42" t="s">
        <v>508</v>
      </c>
      <c r="H242" s="82" t="s">
        <v>918</v>
      </c>
      <c r="I242" s="82" t="s">
        <v>509</v>
      </c>
      <c r="J242" s="20" t="s">
        <v>2155</v>
      </c>
      <c r="K242" s="20" t="s">
        <v>118</v>
      </c>
      <c r="L242" s="20" t="s">
        <v>2181</v>
      </c>
      <c r="M242" s="20">
        <v>239</v>
      </c>
    </row>
    <row r="243" spans="1:13" s="20" customFormat="1" ht="15.75" customHeight="1" x14ac:dyDescent="0.25">
      <c r="A243" s="81">
        <v>240</v>
      </c>
      <c r="B243" s="82" t="s">
        <v>845</v>
      </c>
      <c r="C243" s="82" t="s">
        <v>378</v>
      </c>
      <c r="D243" s="187" t="s">
        <v>146</v>
      </c>
      <c r="E243" s="201">
        <v>7.38</v>
      </c>
      <c r="F243" s="82" t="s">
        <v>269</v>
      </c>
      <c r="G243" s="42" t="s">
        <v>506</v>
      </c>
      <c r="H243" s="82" t="s">
        <v>918</v>
      </c>
      <c r="I243" s="82" t="s">
        <v>507</v>
      </c>
      <c r="J243" s="20" t="s">
        <v>2155</v>
      </c>
      <c r="K243" s="20" t="s">
        <v>118</v>
      </c>
      <c r="L243" s="20" t="s">
        <v>2181</v>
      </c>
      <c r="M243" s="20">
        <v>240</v>
      </c>
    </row>
    <row r="244" spans="1:13" s="20" customFormat="1" ht="15.75" customHeight="1" x14ac:dyDescent="0.25">
      <c r="A244" s="81">
        <v>241</v>
      </c>
      <c r="B244" s="82" t="s">
        <v>845</v>
      </c>
      <c r="C244" s="82" t="s">
        <v>378</v>
      </c>
      <c r="D244" s="187" t="s">
        <v>146</v>
      </c>
      <c r="E244" s="201">
        <v>29.96</v>
      </c>
      <c r="F244" s="82" t="s">
        <v>269</v>
      </c>
      <c r="G244" s="42" t="s">
        <v>504</v>
      </c>
      <c r="H244" s="82" t="s">
        <v>918</v>
      </c>
      <c r="I244" s="82" t="s">
        <v>505</v>
      </c>
      <c r="J244" s="20" t="s">
        <v>2155</v>
      </c>
      <c r="K244" s="20" t="s">
        <v>118</v>
      </c>
      <c r="L244" s="20" t="s">
        <v>2181</v>
      </c>
      <c r="M244" s="20">
        <v>241</v>
      </c>
    </row>
    <row r="245" spans="1:13" s="20" customFormat="1" ht="15.75" customHeight="1" x14ac:dyDescent="0.25">
      <c r="A245" s="81">
        <v>242</v>
      </c>
      <c r="B245" s="82" t="s">
        <v>845</v>
      </c>
      <c r="C245" s="82" t="s">
        <v>378</v>
      </c>
      <c r="D245" s="187" t="s">
        <v>146</v>
      </c>
      <c r="E245" s="201">
        <v>13.95</v>
      </c>
      <c r="F245" s="82" t="s">
        <v>269</v>
      </c>
      <c r="G245" s="42" t="s">
        <v>502</v>
      </c>
      <c r="H245" s="82" t="s">
        <v>918</v>
      </c>
      <c r="I245" s="82" t="s">
        <v>503</v>
      </c>
      <c r="J245" s="20" t="s">
        <v>2155</v>
      </c>
      <c r="K245" s="20" t="s">
        <v>118</v>
      </c>
      <c r="L245" s="20" t="s">
        <v>2181</v>
      </c>
      <c r="M245" s="20">
        <v>242</v>
      </c>
    </row>
    <row r="246" spans="1:13" s="20" customFormat="1" ht="15.75" customHeight="1" x14ac:dyDescent="0.25">
      <c r="A246" s="81">
        <v>243</v>
      </c>
      <c r="B246" s="82" t="s">
        <v>845</v>
      </c>
      <c r="C246" s="82" t="s">
        <v>378</v>
      </c>
      <c r="D246" s="187" t="s">
        <v>146</v>
      </c>
      <c r="E246" s="201">
        <v>30.99</v>
      </c>
      <c r="F246" s="82" t="s">
        <v>269</v>
      </c>
      <c r="G246" s="42" t="s">
        <v>500</v>
      </c>
      <c r="H246" s="82" t="s">
        <v>919</v>
      </c>
      <c r="I246" s="82" t="s">
        <v>501</v>
      </c>
      <c r="J246" s="20" t="s">
        <v>2155</v>
      </c>
      <c r="K246" s="20" t="s">
        <v>118</v>
      </c>
      <c r="L246" s="20" t="s">
        <v>2181</v>
      </c>
      <c r="M246" s="20">
        <v>243</v>
      </c>
    </row>
    <row r="247" spans="1:13" s="20" customFormat="1" ht="15.75" customHeight="1" x14ac:dyDescent="0.25">
      <c r="A247" s="81">
        <v>244</v>
      </c>
      <c r="B247" s="82" t="s">
        <v>845</v>
      </c>
      <c r="C247" s="82" t="s">
        <v>378</v>
      </c>
      <c r="D247" s="187" t="s">
        <v>146</v>
      </c>
      <c r="E247" s="201">
        <v>47.63</v>
      </c>
      <c r="F247" s="82" t="s">
        <v>269</v>
      </c>
      <c r="G247" s="42" t="s">
        <v>498</v>
      </c>
      <c r="H247" s="82" t="s">
        <v>920</v>
      </c>
      <c r="I247" s="82" t="s">
        <v>499</v>
      </c>
      <c r="J247" s="20" t="s">
        <v>2155</v>
      </c>
      <c r="K247" s="20" t="s">
        <v>118</v>
      </c>
      <c r="L247" s="20" t="s">
        <v>2181</v>
      </c>
      <c r="M247" s="20">
        <v>244</v>
      </c>
    </row>
    <row r="248" spans="1:13" s="20" customFormat="1" ht="15.75" customHeight="1" x14ac:dyDescent="0.25">
      <c r="A248" s="81">
        <v>245</v>
      </c>
      <c r="B248" s="82" t="s">
        <v>845</v>
      </c>
      <c r="C248" s="82" t="s">
        <v>378</v>
      </c>
      <c r="D248" s="187" t="s">
        <v>146</v>
      </c>
      <c r="E248" s="201">
        <v>58.95</v>
      </c>
      <c r="F248" s="82" t="s">
        <v>269</v>
      </c>
      <c r="G248" s="42" t="s">
        <v>496</v>
      </c>
      <c r="H248" s="82" t="s">
        <v>920</v>
      </c>
      <c r="I248" s="82" t="s">
        <v>497</v>
      </c>
      <c r="J248" s="20" t="s">
        <v>2155</v>
      </c>
      <c r="K248" s="20" t="s">
        <v>118</v>
      </c>
      <c r="L248" s="20" t="s">
        <v>2181</v>
      </c>
      <c r="M248" s="20">
        <v>245</v>
      </c>
    </row>
    <row r="249" spans="1:13" s="20" customFormat="1" ht="15.75" customHeight="1" x14ac:dyDescent="0.25">
      <c r="A249" s="81">
        <v>246</v>
      </c>
      <c r="B249" s="82" t="s">
        <v>845</v>
      </c>
      <c r="C249" s="82" t="s">
        <v>378</v>
      </c>
      <c r="D249" s="187" t="s">
        <v>146</v>
      </c>
      <c r="E249" s="201">
        <v>29.94</v>
      </c>
      <c r="F249" s="82" t="s">
        <v>269</v>
      </c>
      <c r="G249" s="42" t="s">
        <v>494</v>
      </c>
      <c r="H249" s="82" t="s">
        <v>921</v>
      </c>
      <c r="I249" s="82" t="s">
        <v>495</v>
      </c>
      <c r="J249" s="20" t="s">
        <v>2155</v>
      </c>
      <c r="K249" s="20" t="s">
        <v>118</v>
      </c>
      <c r="L249" s="20" t="s">
        <v>2181</v>
      </c>
      <c r="M249" s="20">
        <v>246</v>
      </c>
    </row>
    <row r="250" spans="1:13" s="20" customFormat="1" ht="15.75" customHeight="1" x14ac:dyDescent="0.25">
      <c r="A250" s="81">
        <v>247</v>
      </c>
      <c r="B250" s="82" t="s">
        <v>845</v>
      </c>
      <c r="C250" s="82" t="s">
        <v>378</v>
      </c>
      <c r="D250" s="187" t="s">
        <v>146</v>
      </c>
      <c r="E250" s="201">
        <v>14.94</v>
      </c>
      <c r="F250" s="82" t="s">
        <v>269</v>
      </c>
      <c r="G250" s="42" t="s">
        <v>492</v>
      </c>
      <c r="H250" s="82" t="s">
        <v>921</v>
      </c>
      <c r="I250" s="82" t="s">
        <v>493</v>
      </c>
      <c r="J250" s="20" t="s">
        <v>2155</v>
      </c>
      <c r="K250" s="20" t="s">
        <v>118</v>
      </c>
      <c r="L250" s="20" t="s">
        <v>2181</v>
      </c>
      <c r="M250" s="20">
        <v>247</v>
      </c>
    </row>
    <row r="251" spans="1:13" s="20" customFormat="1" ht="15.75" customHeight="1" x14ac:dyDescent="0.25">
      <c r="A251" s="83">
        <v>248</v>
      </c>
      <c r="B251" s="84" t="s">
        <v>845</v>
      </c>
      <c r="C251" s="84" t="s">
        <v>378</v>
      </c>
      <c r="D251" s="188" t="s">
        <v>146</v>
      </c>
      <c r="E251" s="202">
        <v>20.99</v>
      </c>
      <c r="F251" s="84" t="s">
        <v>269</v>
      </c>
      <c r="G251" s="42" t="s">
        <v>490</v>
      </c>
      <c r="H251" s="84" t="s">
        <v>922</v>
      </c>
      <c r="I251" s="84" t="s">
        <v>491</v>
      </c>
      <c r="J251" s="20" t="s">
        <v>2155</v>
      </c>
      <c r="K251" s="20" t="s">
        <v>118</v>
      </c>
      <c r="L251" s="20" t="s">
        <v>2181</v>
      </c>
      <c r="M251" s="20">
        <v>248</v>
      </c>
    </row>
    <row r="252" spans="1:13" s="20" customFormat="1" ht="15.75" customHeight="1" x14ac:dyDescent="0.25">
      <c r="A252" s="83">
        <v>249</v>
      </c>
      <c r="B252" s="84" t="s">
        <v>845</v>
      </c>
      <c r="C252" s="84" t="s">
        <v>378</v>
      </c>
      <c r="D252" s="188" t="s">
        <v>146</v>
      </c>
      <c r="E252" s="202">
        <v>32.97</v>
      </c>
      <c r="F252" s="84" t="s">
        <v>269</v>
      </c>
      <c r="G252" s="42" t="s">
        <v>488</v>
      </c>
      <c r="H252" s="84" t="s">
        <v>922</v>
      </c>
      <c r="I252" s="84" t="s">
        <v>489</v>
      </c>
      <c r="J252" s="20" t="s">
        <v>2155</v>
      </c>
      <c r="K252" s="20" t="s">
        <v>118</v>
      </c>
      <c r="L252" s="20" t="s">
        <v>2181</v>
      </c>
      <c r="M252" s="20">
        <v>249</v>
      </c>
    </row>
    <row r="253" spans="1:13" s="20" customFormat="1" ht="15.75" customHeight="1" x14ac:dyDescent="0.25">
      <c r="A253" s="83">
        <v>250</v>
      </c>
      <c r="B253" s="84" t="s">
        <v>845</v>
      </c>
      <c r="C253" s="84" t="s">
        <v>378</v>
      </c>
      <c r="D253" s="188" t="s">
        <v>146</v>
      </c>
      <c r="E253" s="202">
        <v>36.979999999999997</v>
      </c>
      <c r="F253" s="84" t="s">
        <v>269</v>
      </c>
      <c r="G253" s="42" t="s">
        <v>486</v>
      </c>
      <c r="H253" s="84" t="s">
        <v>923</v>
      </c>
      <c r="I253" s="84" t="s">
        <v>487</v>
      </c>
      <c r="J253" s="20" t="s">
        <v>2155</v>
      </c>
      <c r="K253" s="20" t="s">
        <v>118</v>
      </c>
      <c r="L253" s="20" t="s">
        <v>2181</v>
      </c>
      <c r="M253" s="20">
        <v>250</v>
      </c>
    </row>
    <row r="254" spans="1:13" s="20" customFormat="1" ht="15.75" customHeight="1" x14ac:dyDescent="0.25">
      <c r="A254" s="83">
        <v>251</v>
      </c>
      <c r="B254" s="84" t="s">
        <v>845</v>
      </c>
      <c r="C254" s="84" t="s">
        <v>378</v>
      </c>
      <c r="D254" s="188" t="s">
        <v>146</v>
      </c>
      <c r="E254" s="202">
        <v>25.78</v>
      </c>
      <c r="F254" s="84" t="s">
        <v>269</v>
      </c>
      <c r="G254" s="42" t="s">
        <v>484</v>
      </c>
      <c r="H254" s="84" t="s">
        <v>924</v>
      </c>
      <c r="I254" s="84" t="s">
        <v>485</v>
      </c>
      <c r="J254" s="20" t="s">
        <v>2155</v>
      </c>
      <c r="K254" s="20" t="s">
        <v>118</v>
      </c>
      <c r="L254" s="20" t="s">
        <v>2181</v>
      </c>
      <c r="M254" s="20">
        <v>251</v>
      </c>
    </row>
    <row r="255" spans="1:13" s="20" customFormat="1" ht="15.75" customHeight="1" x14ac:dyDescent="0.25">
      <c r="A255" s="83">
        <v>252</v>
      </c>
      <c r="B255" s="84" t="s">
        <v>845</v>
      </c>
      <c r="C255" s="84" t="s">
        <v>378</v>
      </c>
      <c r="D255" s="188" t="s">
        <v>146</v>
      </c>
      <c r="E255" s="202">
        <v>37.979999999999997</v>
      </c>
      <c r="F255" s="84" t="s">
        <v>269</v>
      </c>
      <c r="G255" s="42" t="s">
        <v>482</v>
      </c>
      <c r="H255" s="84" t="s">
        <v>924</v>
      </c>
      <c r="I255" s="84" t="s">
        <v>483</v>
      </c>
      <c r="J255" s="20" t="s">
        <v>2155</v>
      </c>
      <c r="K255" s="20" t="s">
        <v>118</v>
      </c>
      <c r="L255" s="20" t="s">
        <v>2181</v>
      </c>
      <c r="M255" s="20">
        <v>252</v>
      </c>
    </row>
    <row r="256" spans="1:13" s="20" customFormat="1" ht="15.75" customHeight="1" x14ac:dyDescent="0.25">
      <c r="A256" s="83">
        <v>253</v>
      </c>
      <c r="B256" s="84" t="s">
        <v>845</v>
      </c>
      <c r="C256" s="84" t="s">
        <v>381</v>
      </c>
      <c r="D256" s="188" t="s">
        <v>146</v>
      </c>
      <c r="E256" s="202">
        <v>10.1</v>
      </c>
      <c r="F256" s="84" t="s">
        <v>269</v>
      </c>
      <c r="G256" s="42" t="s">
        <v>480</v>
      </c>
      <c r="H256" s="84" t="s">
        <v>924</v>
      </c>
      <c r="I256" s="84" t="s">
        <v>481</v>
      </c>
      <c r="J256" s="20" t="s">
        <v>2155</v>
      </c>
      <c r="K256" s="20" t="s">
        <v>118</v>
      </c>
      <c r="L256" s="20" t="s">
        <v>2181</v>
      </c>
      <c r="M256" s="20">
        <v>253</v>
      </c>
    </row>
    <row r="257" spans="1:13" s="20" customFormat="1" ht="15.75" customHeight="1" x14ac:dyDescent="0.25">
      <c r="A257" s="83">
        <v>254</v>
      </c>
      <c r="B257" s="84" t="s">
        <v>845</v>
      </c>
      <c r="C257" s="84" t="s">
        <v>381</v>
      </c>
      <c r="D257" s="188" t="s">
        <v>146</v>
      </c>
      <c r="E257" s="202">
        <v>8.9</v>
      </c>
      <c r="F257" s="84" t="s">
        <v>269</v>
      </c>
      <c r="G257" s="42" t="s">
        <v>478</v>
      </c>
      <c r="H257" s="84" t="s">
        <v>924</v>
      </c>
      <c r="I257" s="84" t="s">
        <v>479</v>
      </c>
      <c r="J257" s="20" t="s">
        <v>2155</v>
      </c>
      <c r="K257" s="20" t="s">
        <v>118</v>
      </c>
      <c r="L257" s="20" t="s">
        <v>2181</v>
      </c>
      <c r="M257" s="20">
        <v>254</v>
      </c>
    </row>
    <row r="258" spans="1:13" s="20" customFormat="1" ht="15.75" customHeight="1" x14ac:dyDescent="0.25">
      <c r="A258" s="83">
        <v>255</v>
      </c>
      <c r="B258" s="84" t="s">
        <v>845</v>
      </c>
      <c r="C258" s="84" t="s">
        <v>378</v>
      </c>
      <c r="D258" s="188" t="s">
        <v>146</v>
      </c>
      <c r="E258" s="202">
        <v>16.27</v>
      </c>
      <c r="F258" s="84" t="s">
        <v>269</v>
      </c>
      <c r="G258" s="42" t="s">
        <v>476</v>
      </c>
      <c r="H258" s="84" t="s">
        <v>924</v>
      </c>
      <c r="I258" s="84" t="s">
        <v>477</v>
      </c>
      <c r="J258" s="20" t="s">
        <v>2155</v>
      </c>
      <c r="K258" s="20" t="s">
        <v>118</v>
      </c>
      <c r="L258" s="20" t="s">
        <v>2181</v>
      </c>
      <c r="M258" s="20">
        <v>255</v>
      </c>
    </row>
    <row r="259" spans="1:13" s="20" customFormat="1" ht="15.75" customHeight="1" x14ac:dyDescent="0.25">
      <c r="A259" s="83">
        <v>256</v>
      </c>
      <c r="B259" s="84" t="s">
        <v>845</v>
      </c>
      <c r="C259" s="84" t="s">
        <v>378</v>
      </c>
      <c r="D259" s="188" t="s">
        <v>146</v>
      </c>
      <c r="E259" s="202">
        <v>20.97</v>
      </c>
      <c r="F259" s="84" t="s">
        <v>269</v>
      </c>
      <c r="G259" s="42" t="s">
        <v>474</v>
      </c>
      <c r="H259" s="84" t="s">
        <v>925</v>
      </c>
      <c r="I259" s="84" t="s">
        <v>475</v>
      </c>
      <c r="J259" s="20" t="s">
        <v>2155</v>
      </c>
      <c r="K259" s="20" t="s">
        <v>118</v>
      </c>
      <c r="L259" s="20" t="s">
        <v>2181</v>
      </c>
      <c r="M259" s="20">
        <v>256</v>
      </c>
    </row>
    <row r="260" spans="1:13" s="20" customFormat="1" ht="15.75" customHeight="1" x14ac:dyDescent="0.25">
      <c r="A260" s="83">
        <v>257</v>
      </c>
      <c r="B260" s="84" t="s">
        <v>845</v>
      </c>
      <c r="C260" s="84" t="s">
        <v>378</v>
      </c>
      <c r="D260" s="188" t="s">
        <v>146</v>
      </c>
      <c r="E260" s="202">
        <v>12.93</v>
      </c>
      <c r="F260" s="84" t="s">
        <v>269</v>
      </c>
      <c r="G260" s="42" t="s">
        <v>472</v>
      </c>
      <c r="H260" s="84" t="s">
        <v>925</v>
      </c>
      <c r="I260" s="84" t="s">
        <v>473</v>
      </c>
      <c r="J260" s="20" t="s">
        <v>2155</v>
      </c>
      <c r="K260" s="20" t="s">
        <v>118</v>
      </c>
      <c r="L260" s="20" t="s">
        <v>2181</v>
      </c>
      <c r="M260" s="20">
        <v>257</v>
      </c>
    </row>
    <row r="261" spans="1:13" s="20" customFormat="1" ht="15.75" customHeight="1" x14ac:dyDescent="0.25">
      <c r="A261" s="83">
        <v>258</v>
      </c>
      <c r="B261" s="84" t="s">
        <v>845</v>
      </c>
      <c r="C261" s="84" t="s">
        <v>378</v>
      </c>
      <c r="D261" s="188" t="s">
        <v>146</v>
      </c>
      <c r="E261" s="202">
        <v>36.770000000000003</v>
      </c>
      <c r="F261" s="84" t="s">
        <v>269</v>
      </c>
      <c r="G261" s="42" t="s">
        <v>470</v>
      </c>
      <c r="H261" s="84" t="s">
        <v>925</v>
      </c>
      <c r="I261" s="84" t="s">
        <v>471</v>
      </c>
      <c r="J261" s="20" t="s">
        <v>2155</v>
      </c>
      <c r="K261" s="20" t="s">
        <v>118</v>
      </c>
      <c r="L261" s="20" t="s">
        <v>2181</v>
      </c>
      <c r="M261" s="20">
        <v>258</v>
      </c>
    </row>
    <row r="262" spans="1:13" s="20" customFormat="1" ht="15.75" customHeight="1" x14ac:dyDescent="0.25">
      <c r="A262" s="83">
        <v>259</v>
      </c>
      <c r="B262" s="84" t="s">
        <v>845</v>
      </c>
      <c r="C262" s="84" t="s">
        <v>378</v>
      </c>
      <c r="D262" s="188" t="s">
        <v>146</v>
      </c>
      <c r="E262" s="202">
        <v>17.46</v>
      </c>
      <c r="F262" s="84" t="s">
        <v>269</v>
      </c>
      <c r="G262" s="42" t="s">
        <v>468</v>
      </c>
      <c r="H262" s="84" t="s">
        <v>925</v>
      </c>
      <c r="I262" s="84" t="s">
        <v>469</v>
      </c>
      <c r="J262" s="20" t="s">
        <v>2155</v>
      </c>
      <c r="K262" s="20" t="s">
        <v>118</v>
      </c>
      <c r="L262" s="20" t="s">
        <v>2181</v>
      </c>
      <c r="M262" s="20">
        <v>259</v>
      </c>
    </row>
    <row r="263" spans="1:13" s="20" customFormat="1" ht="15.75" customHeight="1" x14ac:dyDescent="0.25">
      <c r="A263" s="83">
        <v>260</v>
      </c>
      <c r="B263" s="84" t="s">
        <v>845</v>
      </c>
      <c r="C263" s="84" t="s">
        <v>378</v>
      </c>
      <c r="D263" s="188" t="s">
        <v>146</v>
      </c>
      <c r="E263" s="202">
        <v>30.55</v>
      </c>
      <c r="F263" s="84" t="s">
        <v>269</v>
      </c>
      <c r="G263" s="42" t="s">
        <v>466</v>
      </c>
      <c r="H263" s="84" t="s">
        <v>925</v>
      </c>
      <c r="I263" s="84" t="s">
        <v>467</v>
      </c>
      <c r="J263" s="20" t="s">
        <v>2155</v>
      </c>
      <c r="K263" s="20" t="s">
        <v>118</v>
      </c>
      <c r="L263" s="20" t="s">
        <v>2181</v>
      </c>
      <c r="M263" s="20">
        <v>260</v>
      </c>
    </row>
    <row r="264" spans="1:13" s="20" customFormat="1" ht="15.75" customHeight="1" x14ac:dyDescent="0.25">
      <c r="A264" s="83">
        <v>261</v>
      </c>
      <c r="B264" s="84" t="s">
        <v>845</v>
      </c>
      <c r="C264" s="84" t="s">
        <v>378</v>
      </c>
      <c r="D264" s="188" t="s">
        <v>146</v>
      </c>
      <c r="E264" s="202">
        <v>14.69</v>
      </c>
      <c r="F264" s="84" t="s">
        <v>269</v>
      </c>
      <c r="G264" s="42" t="s">
        <v>464</v>
      </c>
      <c r="H264" s="84" t="s">
        <v>926</v>
      </c>
      <c r="I264" s="129" t="s">
        <v>465</v>
      </c>
      <c r="J264" s="20" t="s">
        <v>2155</v>
      </c>
      <c r="K264" s="20" t="s">
        <v>118</v>
      </c>
      <c r="L264" s="20" t="s">
        <v>2181</v>
      </c>
      <c r="M264" s="20">
        <v>261</v>
      </c>
    </row>
    <row r="265" spans="1:13" s="20" customFormat="1" ht="15.75" customHeight="1" x14ac:dyDescent="0.25">
      <c r="A265" s="83">
        <v>262</v>
      </c>
      <c r="B265" s="84" t="s">
        <v>845</v>
      </c>
      <c r="C265" s="84" t="s">
        <v>378</v>
      </c>
      <c r="D265" s="188" t="s">
        <v>146</v>
      </c>
      <c r="E265" s="202">
        <v>16.95</v>
      </c>
      <c r="F265" s="84" t="s">
        <v>269</v>
      </c>
      <c r="G265" s="42" t="s">
        <v>462</v>
      </c>
      <c r="H265" s="84" t="s">
        <v>926</v>
      </c>
      <c r="I265" s="84" t="s">
        <v>463</v>
      </c>
      <c r="J265" s="20" t="s">
        <v>2155</v>
      </c>
      <c r="K265" s="20" t="s">
        <v>118</v>
      </c>
      <c r="L265" s="20" t="s">
        <v>2181</v>
      </c>
      <c r="M265" s="20">
        <v>262</v>
      </c>
    </row>
    <row r="266" spans="1:13" s="20" customFormat="1" ht="15.75" customHeight="1" x14ac:dyDescent="0.25">
      <c r="A266" s="83">
        <v>263</v>
      </c>
      <c r="B266" s="84" t="s">
        <v>845</v>
      </c>
      <c r="C266" s="84" t="s">
        <v>378</v>
      </c>
      <c r="D266" s="188" t="s">
        <v>146</v>
      </c>
      <c r="E266" s="202">
        <v>29.65</v>
      </c>
      <c r="F266" s="84" t="s">
        <v>269</v>
      </c>
      <c r="G266" s="42" t="s">
        <v>460</v>
      </c>
      <c r="H266" s="84" t="s">
        <v>926</v>
      </c>
      <c r="I266" s="84" t="s">
        <v>461</v>
      </c>
      <c r="J266" s="20" t="s">
        <v>2155</v>
      </c>
      <c r="K266" s="20" t="s">
        <v>118</v>
      </c>
      <c r="L266" s="20" t="s">
        <v>2181</v>
      </c>
      <c r="M266" s="20">
        <v>263</v>
      </c>
    </row>
    <row r="267" spans="1:13" s="20" customFormat="1" ht="15.75" customHeight="1" x14ac:dyDescent="0.25">
      <c r="A267" s="83">
        <v>264</v>
      </c>
      <c r="B267" s="84" t="s">
        <v>845</v>
      </c>
      <c r="C267" s="84" t="s">
        <v>378</v>
      </c>
      <c r="D267" s="188" t="s">
        <v>146</v>
      </c>
      <c r="E267" s="202">
        <v>10.95</v>
      </c>
      <c r="F267" s="84" t="s">
        <v>269</v>
      </c>
      <c r="G267" s="42" t="s">
        <v>458</v>
      </c>
      <c r="H267" s="84" t="s">
        <v>926</v>
      </c>
      <c r="I267" s="84" t="s">
        <v>459</v>
      </c>
      <c r="J267" s="20" t="s">
        <v>2155</v>
      </c>
      <c r="K267" s="20" t="s">
        <v>118</v>
      </c>
      <c r="L267" s="20" t="s">
        <v>2181</v>
      </c>
      <c r="M267" s="20">
        <v>264</v>
      </c>
    </row>
    <row r="268" spans="1:13" s="20" customFormat="1" ht="15.75" customHeight="1" x14ac:dyDescent="0.25">
      <c r="A268" s="83">
        <v>265</v>
      </c>
      <c r="B268" s="84" t="s">
        <v>845</v>
      </c>
      <c r="C268" s="84" t="s">
        <v>381</v>
      </c>
      <c r="D268" s="188" t="s">
        <v>146</v>
      </c>
      <c r="E268" s="202">
        <v>15.5</v>
      </c>
      <c r="F268" s="84" t="s">
        <v>269</v>
      </c>
      <c r="G268" s="42" t="s">
        <v>456</v>
      </c>
      <c r="H268" s="84" t="s">
        <v>927</v>
      </c>
      <c r="I268" s="84" t="s">
        <v>457</v>
      </c>
      <c r="J268" s="20" t="s">
        <v>2155</v>
      </c>
      <c r="K268" s="20" t="s">
        <v>118</v>
      </c>
      <c r="L268" s="20" t="s">
        <v>2181</v>
      </c>
      <c r="M268" s="20">
        <v>265</v>
      </c>
    </row>
    <row r="269" spans="1:13" s="20" customFormat="1" ht="15.75" customHeight="1" x14ac:dyDescent="0.25">
      <c r="A269" s="83">
        <v>266</v>
      </c>
      <c r="B269" s="84" t="s">
        <v>845</v>
      </c>
      <c r="C269" s="84" t="s">
        <v>378</v>
      </c>
      <c r="D269" s="188" t="s">
        <v>86</v>
      </c>
      <c r="E269" s="202">
        <v>22.06</v>
      </c>
      <c r="F269" s="84" t="s">
        <v>269</v>
      </c>
      <c r="G269" s="42" t="s">
        <v>454</v>
      </c>
      <c r="H269" s="84" t="s">
        <v>928</v>
      </c>
      <c r="I269" s="84" t="s">
        <v>455</v>
      </c>
      <c r="J269" s="20" t="s">
        <v>2155</v>
      </c>
      <c r="K269" s="20" t="s">
        <v>118</v>
      </c>
      <c r="L269" s="20" t="s">
        <v>2182</v>
      </c>
      <c r="M269" s="20">
        <v>266</v>
      </c>
    </row>
    <row r="270" spans="1:13" s="20" customFormat="1" ht="15.75" customHeight="1" x14ac:dyDescent="0.25">
      <c r="A270" s="83">
        <v>267</v>
      </c>
      <c r="B270" s="84" t="s">
        <v>845</v>
      </c>
      <c r="C270" s="84" t="s">
        <v>378</v>
      </c>
      <c r="D270" s="188" t="s">
        <v>86</v>
      </c>
      <c r="E270" s="202">
        <v>10.98</v>
      </c>
      <c r="F270" s="84" t="s">
        <v>269</v>
      </c>
      <c r="G270" s="42" t="s">
        <v>452</v>
      </c>
      <c r="H270" s="84" t="s">
        <v>928</v>
      </c>
      <c r="I270" s="84" t="s">
        <v>453</v>
      </c>
      <c r="J270" s="20" t="s">
        <v>2155</v>
      </c>
      <c r="K270" s="20" t="s">
        <v>118</v>
      </c>
      <c r="L270" s="20" t="s">
        <v>2182</v>
      </c>
      <c r="M270" s="20">
        <v>267</v>
      </c>
    </row>
    <row r="271" spans="1:13" s="20" customFormat="1" ht="15.75" customHeight="1" x14ac:dyDescent="0.25">
      <c r="A271" s="83">
        <v>268</v>
      </c>
      <c r="B271" s="84" t="s">
        <v>845</v>
      </c>
      <c r="C271" s="84" t="s">
        <v>378</v>
      </c>
      <c r="D271" s="188" t="s">
        <v>86</v>
      </c>
      <c r="E271" s="202">
        <v>11.54</v>
      </c>
      <c r="F271" s="84" t="s">
        <v>269</v>
      </c>
      <c r="G271" s="42" t="s">
        <v>450</v>
      </c>
      <c r="H271" s="84" t="s">
        <v>928</v>
      </c>
      <c r="I271" s="84" t="s">
        <v>451</v>
      </c>
      <c r="J271" s="20" t="s">
        <v>2155</v>
      </c>
      <c r="K271" s="20" t="s">
        <v>118</v>
      </c>
      <c r="L271" s="20" t="s">
        <v>2182</v>
      </c>
      <c r="M271" s="20">
        <v>268</v>
      </c>
    </row>
    <row r="272" spans="1:13" s="20" customFormat="1" ht="15.75" customHeight="1" x14ac:dyDescent="0.25">
      <c r="A272" s="83">
        <v>269</v>
      </c>
      <c r="B272" s="84" t="s">
        <v>845</v>
      </c>
      <c r="C272" s="84" t="s">
        <v>378</v>
      </c>
      <c r="D272" s="188" t="s">
        <v>86</v>
      </c>
      <c r="E272" s="202">
        <v>12.82</v>
      </c>
      <c r="F272" s="84" t="s">
        <v>269</v>
      </c>
      <c r="G272" s="42" t="s">
        <v>448</v>
      </c>
      <c r="H272" s="84" t="s">
        <v>928</v>
      </c>
      <c r="I272" s="84" t="s">
        <v>449</v>
      </c>
      <c r="J272" s="20" t="s">
        <v>2155</v>
      </c>
      <c r="K272" s="20" t="s">
        <v>118</v>
      </c>
      <c r="L272" s="20" t="s">
        <v>2182</v>
      </c>
      <c r="M272" s="20">
        <v>269</v>
      </c>
    </row>
    <row r="273" spans="1:13" s="20" customFormat="1" ht="15.75" customHeight="1" x14ac:dyDescent="0.25">
      <c r="A273" s="83">
        <v>270</v>
      </c>
      <c r="B273" s="84" t="s">
        <v>845</v>
      </c>
      <c r="C273" s="84" t="s">
        <v>378</v>
      </c>
      <c r="D273" s="188" t="s">
        <v>86</v>
      </c>
      <c r="E273" s="202">
        <v>12.95</v>
      </c>
      <c r="F273" s="84" t="s">
        <v>269</v>
      </c>
      <c r="G273" s="42" t="s">
        <v>446</v>
      </c>
      <c r="H273" s="84" t="s">
        <v>928</v>
      </c>
      <c r="I273" s="84" t="s">
        <v>447</v>
      </c>
      <c r="J273" s="20" t="s">
        <v>2155</v>
      </c>
      <c r="K273" s="20" t="s">
        <v>118</v>
      </c>
      <c r="L273" s="20" t="s">
        <v>2182</v>
      </c>
      <c r="M273" s="20">
        <v>270</v>
      </c>
    </row>
    <row r="274" spans="1:13" s="20" customFormat="1" ht="15.75" customHeight="1" x14ac:dyDescent="0.25">
      <c r="A274" s="83">
        <v>271</v>
      </c>
      <c r="B274" s="84" t="s">
        <v>845</v>
      </c>
      <c r="C274" s="84" t="s">
        <v>378</v>
      </c>
      <c r="D274" s="188" t="s">
        <v>86</v>
      </c>
      <c r="E274" s="202">
        <v>31.21</v>
      </c>
      <c r="F274" s="84" t="s">
        <v>269</v>
      </c>
      <c r="G274" s="42" t="s">
        <v>444</v>
      </c>
      <c r="H274" s="84" t="s">
        <v>929</v>
      </c>
      <c r="I274" s="84" t="s">
        <v>445</v>
      </c>
      <c r="J274" s="20" t="s">
        <v>2155</v>
      </c>
      <c r="K274" s="20" t="s">
        <v>118</v>
      </c>
      <c r="L274" s="20" t="s">
        <v>2182</v>
      </c>
      <c r="M274" s="20">
        <v>271</v>
      </c>
    </row>
    <row r="275" spans="1:13" s="20" customFormat="1" ht="15.75" customHeight="1" x14ac:dyDescent="0.25">
      <c r="A275" s="85">
        <v>272</v>
      </c>
      <c r="B275" s="86" t="s">
        <v>845</v>
      </c>
      <c r="C275" s="86" t="s">
        <v>378</v>
      </c>
      <c r="D275" s="189" t="s">
        <v>86</v>
      </c>
      <c r="E275" s="203">
        <v>41.47</v>
      </c>
      <c r="F275" s="86" t="s">
        <v>269</v>
      </c>
      <c r="G275" s="42" t="s">
        <v>442</v>
      </c>
      <c r="H275" s="86" t="s">
        <v>929</v>
      </c>
      <c r="I275" s="86" t="s">
        <v>443</v>
      </c>
      <c r="J275" s="20" t="s">
        <v>2155</v>
      </c>
      <c r="K275" s="20" t="s">
        <v>118</v>
      </c>
      <c r="L275" s="20" t="s">
        <v>2182</v>
      </c>
      <c r="M275" s="20">
        <v>272</v>
      </c>
    </row>
    <row r="276" spans="1:13" s="20" customFormat="1" ht="15.75" customHeight="1" x14ac:dyDescent="0.25">
      <c r="A276" s="85">
        <v>273</v>
      </c>
      <c r="B276" s="86" t="s">
        <v>845</v>
      </c>
      <c r="C276" s="86" t="s">
        <v>378</v>
      </c>
      <c r="D276" s="189" t="s">
        <v>86</v>
      </c>
      <c r="E276" s="203">
        <v>14.68</v>
      </c>
      <c r="F276" s="86" t="s">
        <v>269</v>
      </c>
      <c r="G276" s="42" t="s">
        <v>440</v>
      </c>
      <c r="H276" s="86" t="s">
        <v>929</v>
      </c>
      <c r="I276" s="86" t="s">
        <v>441</v>
      </c>
      <c r="J276" s="20" t="s">
        <v>2155</v>
      </c>
      <c r="K276" s="20" t="s">
        <v>118</v>
      </c>
      <c r="L276" s="20" t="s">
        <v>2182</v>
      </c>
      <c r="M276" s="20">
        <v>273</v>
      </c>
    </row>
    <row r="277" spans="1:13" s="20" customFormat="1" ht="15.75" customHeight="1" x14ac:dyDescent="0.25">
      <c r="A277" s="85">
        <v>274</v>
      </c>
      <c r="B277" s="86" t="s">
        <v>845</v>
      </c>
      <c r="C277" s="86" t="s">
        <v>378</v>
      </c>
      <c r="D277" s="189" t="s">
        <v>86</v>
      </c>
      <c r="E277" s="203">
        <v>9.0299999999999994</v>
      </c>
      <c r="F277" s="86" t="s">
        <v>269</v>
      </c>
      <c r="G277" s="42" t="s">
        <v>438</v>
      </c>
      <c r="H277" s="86" t="s">
        <v>930</v>
      </c>
      <c r="I277" s="86" t="s">
        <v>439</v>
      </c>
      <c r="J277" s="20" t="s">
        <v>2155</v>
      </c>
      <c r="K277" s="20" t="s">
        <v>118</v>
      </c>
      <c r="L277" s="20" t="s">
        <v>2182</v>
      </c>
      <c r="M277" s="20">
        <v>274</v>
      </c>
    </row>
    <row r="278" spans="1:13" s="20" customFormat="1" ht="15.75" customHeight="1" x14ac:dyDescent="0.25">
      <c r="A278" s="85">
        <v>275</v>
      </c>
      <c r="B278" s="86" t="s">
        <v>845</v>
      </c>
      <c r="C278" s="86" t="s">
        <v>381</v>
      </c>
      <c r="D278" s="189" t="s">
        <v>86</v>
      </c>
      <c r="E278" s="203">
        <v>8.7100000000000009</v>
      </c>
      <c r="F278" s="86" t="s">
        <v>269</v>
      </c>
      <c r="G278" s="42" t="s">
        <v>436</v>
      </c>
      <c r="H278" s="86" t="s">
        <v>930</v>
      </c>
      <c r="I278" s="86" t="s">
        <v>437</v>
      </c>
      <c r="J278" s="20" t="s">
        <v>2155</v>
      </c>
      <c r="K278" s="20" t="s">
        <v>118</v>
      </c>
      <c r="L278" s="20" t="s">
        <v>2182</v>
      </c>
      <c r="M278" s="20">
        <v>275</v>
      </c>
    </row>
    <row r="279" spans="1:13" ht="15.75" customHeight="1" x14ac:dyDescent="0.25">
      <c r="A279" s="87">
        <v>276</v>
      </c>
      <c r="B279" s="63" t="s">
        <v>845</v>
      </c>
      <c r="C279" s="63" t="s">
        <v>378</v>
      </c>
      <c r="D279" s="190" t="s">
        <v>86</v>
      </c>
      <c r="E279" s="204">
        <v>33.11</v>
      </c>
      <c r="F279" s="63" t="s">
        <v>269</v>
      </c>
      <c r="G279" s="42" t="s">
        <v>434</v>
      </c>
      <c r="H279" s="63" t="s">
        <v>930</v>
      </c>
      <c r="I279" s="63" t="s">
        <v>435</v>
      </c>
      <c r="J279" s="50" t="s">
        <v>2155</v>
      </c>
      <c r="K279" s="50" t="s">
        <v>118</v>
      </c>
      <c r="L279" s="50" t="s">
        <v>2182</v>
      </c>
      <c r="M279" s="50">
        <v>276</v>
      </c>
    </row>
    <row r="280" spans="1:13" s="20" customFormat="1" ht="15.75" customHeight="1" x14ac:dyDescent="0.25">
      <c r="A280" s="85">
        <v>277</v>
      </c>
      <c r="B280" s="86" t="s">
        <v>845</v>
      </c>
      <c r="C280" s="86" t="s">
        <v>378</v>
      </c>
      <c r="D280" s="189" t="s">
        <v>86</v>
      </c>
      <c r="E280" s="203">
        <v>38.450000000000003</v>
      </c>
      <c r="F280" s="86" t="s">
        <v>269</v>
      </c>
      <c r="G280" s="42" t="s">
        <v>432</v>
      </c>
      <c r="H280" s="86" t="s">
        <v>931</v>
      </c>
      <c r="I280" s="86" t="s">
        <v>433</v>
      </c>
      <c r="J280" s="20" t="s">
        <v>2155</v>
      </c>
      <c r="K280" s="20" t="s">
        <v>118</v>
      </c>
      <c r="L280" s="20" t="s">
        <v>2182</v>
      </c>
      <c r="M280" s="20">
        <v>277</v>
      </c>
    </row>
    <row r="281" spans="1:13" s="20" customFormat="1" ht="15.75" customHeight="1" x14ac:dyDescent="0.25">
      <c r="A281" s="85">
        <v>278</v>
      </c>
      <c r="B281" s="86" t="s">
        <v>845</v>
      </c>
      <c r="C281" s="86" t="s">
        <v>378</v>
      </c>
      <c r="D281" s="189" t="s">
        <v>86</v>
      </c>
      <c r="E281" s="203">
        <v>6.44</v>
      </c>
      <c r="F281" s="86" t="s">
        <v>269</v>
      </c>
      <c r="G281" s="42" t="s">
        <v>430</v>
      </c>
      <c r="H281" s="86" t="s">
        <v>932</v>
      </c>
      <c r="I281" s="86" t="s">
        <v>431</v>
      </c>
      <c r="J281" s="20" t="s">
        <v>2155</v>
      </c>
      <c r="K281" s="20" t="s">
        <v>118</v>
      </c>
      <c r="L281" s="20" t="s">
        <v>2182</v>
      </c>
      <c r="M281" s="20">
        <v>278</v>
      </c>
    </row>
    <row r="282" spans="1:13" s="20" customFormat="1" ht="15.75" customHeight="1" x14ac:dyDescent="0.25">
      <c r="A282" s="85">
        <v>279</v>
      </c>
      <c r="B282" s="86" t="s">
        <v>845</v>
      </c>
      <c r="C282" s="86" t="s">
        <v>378</v>
      </c>
      <c r="D282" s="189" t="s">
        <v>86</v>
      </c>
      <c r="E282" s="203">
        <v>5.17</v>
      </c>
      <c r="F282" s="86" t="s">
        <v>269</v>
      </c>
      <c r="G282" s="42" t="s">
        <v>428</v>
      </c>
      <c r="H282" s="86" t="s">
        <v>933</v>
      </c>
      <c r="I282" s="86" t="s">
        <v>429</v>
      </c>
      <c r="J282" s="20" t="s">
        <v>2155</v>
      </c>
      <c r="K282" s="20" t="s">
        <v>118</v>
      </c>
      <c r="L282" s="20" t="s">
        <v>2182</v>
      </c>
      <c r="M282" s="20">
        <v>279</v>
      </c>
    </row>
    <row r="283" spans="1:13" s="20" customFormat="1" ht="15.75" customHeight="1" x14ac:dyDescent="0.25">
      <c r="A283" s="85">
        <v>280</v>
      </c>
      <c r="B283" s="86" t="s">
        <v>845</v>
      </c>
      <c r="C283" s="86" t="s">
        <v>378</v>
      </c>
      <c r="D283" s="189" t="s">
        <v>86</v>
      </c>
      <c r="E283" s="203">
        <v>6.17</v>
      </c>
      <c r="F283" s="86" t="s">
        <v>269</v>
      </c>
      <c r="G283" s="42" t="s">
        <v>426</v>
      </c>
      <c r="H283" s="86" t="s">
        <v>933</v>
      </c>
      <c r="I283" s="86" t="s">
        <v>427</v>
      </c>
      <c r="J283" s="20" t="s">
        <v>2155</v>
      </c>
      <c r="K283" s="20" t="s">
        <v>118</v>
      </c>
      <c r="L283" s="20" t="s">
        <v>2182</v>
      </c>
      <c r="M283" s="20">
        <v>280</v>
      </c>
    </row>
    <row r="284" spans="1:13" ht="15.75" customHeight="1" x14ac:dyDescent="0.25">
      <c r="A284" s="87">
        <v>281</v>
      </c>
      <c r="B284" s="63" t="s">
        <v>845</v>
      </c>
      <c r="C284" s="63" t="s">
        <v>378</v>
      </c>
      <c r="D284" s="190" t="s">
        <v>86</v>
      </c>
      <c r="E284" s="204">
        <v>39.32</v>
      </c>
      <c r="F284" s="63" t="s">
        <v>269</v>
      </c>
      <c r="G284" s="42" t="s">
        <v>424</v>
      </c>
      <c r="H284" s="63" t="s">
        <v>933</v>
      </c>
      <c r="I284" s="63" t="s">
        <v>425</v>
      </c>
      <c r="J284" s="50" t="s">
        <v>2155</v>
      </c>
      <c r="K284" s="50" t="s">
        <v>118</v>
      </c>
      <c r="L284" s="50" t="s">
        <v>2182</v>
      </c>
      <c r="M284" s="50">
        <v>281</v>
      </c>
    </row>
    <row r="285" spans="1:13" s="20" customFormat="1" ht="15.75" customHeight="1" x14ac:dyDescent="0.25">
      <c r="A285" s="85">
        <v>282</v>
      </c>
      <c r="B285" s="86" t="s">
        <v>845</v>
      </c>
      <c r="C285" s="86" t="s">
        <v>378</v>
      </c>
      <c r="D285" s="189" t="s">
        <v>86</v>
      </c>
      <c r="E285" s="203">
        <v>27.65</v>
      </c>
      <c r="F285" s="86" t="s">
        <v>269</v>
      </c>
      <c r="G285" s="42" t="s">
        <v>422</v>
      </c>
      <c r="H285" s="86" t="s">
        <v>934</v>
      </c>
      <c r="I285" s="86" t="s">
        <v>423</v>
      </c>
      <c r="J285" s="20" t="s">
        <v>2155</v>
      </c>
      <c r="K285" s="20" t="s">
        <v>118</v>
      </c>
      <c r="L285" s="20" t="s">
        <v>2182</v>
      </c>
      <c r="M285" s="20">
        <v>282</v>
      </c>
    </row>
    <row r="286" spans="1:13" s="20" customFormat="1" ht="15.75" customHeight="1" x14ac:dyDescent="0.25">
      <c r="A286" s="85">
        <v>283</v>
      </c>
      <c r="B286" s="86" t="s">
        <v>845</v>
      </c>
      <c r="C286" s="86" t="s">
        <v>378</v>
      </c>
      <c r="D286" s="189" t="s">
        <v>86</v>
      </c>
      <c r="E286" s="203">
        <v>26.81</v>
      </c>
      <c r="F286" s="86" t="s">
        <v>269</v>
      </c>
      <c r="G286" s="42" t="s">
        <v>420</v>
      </c>
      <c r="H286" s="86" t="s">
        <v>935</v>
      </c>
      <c r="I286" s="86" t="s">
        <v>421</v>
      </c>
      <c r="J286" s="20" t="s">
        <v>2155</v>
      </c>
      <c r="K286" s="20" t="s">
        <v>118</v>
      </c>
      <c r="L286" s="20" t="s">
        <v>2182</v>
      </c>
      <c r="M286" s="20">
        <v>283</v>
      </c>
    </row>
    <row r="287" spans="1:13" s="20" customFormat="1" ht="15.75" customHeight="1" x14ac:dyDescent="0.25">
      <c r="A287" s="85">
        <v>284</v>
      </c>
      <c r="B287" s="86" t="s">
        <v>845</v>
      </c>
      <c r="C287" s="86" t="s">
        <v>378</v>
      </c>
      <c r="D287" s="189" t="s">
        <v>86</v>
      </c>
      <c r="E287" s="203">
        <v>31.54</v>
      </c>
      <c r="F287" s="86" t="s">
        <v>269</v>
      </c>
      <c r="G287" s="42" t="s">
        <v>418</v>
      </c>
      <c r="H287" s="86" t="s">
        <v>935</v>
      </c>
      <c r="I287" s="86" t="s">
        <v>419</v>
      </c>
      <c r="J287" s="20" t="s">
        <v>2155</v>
      </c>
      <c r="K287" s="20" t="s">
        <v>118</v>
      </c>
      <c r="L287" s="20" t="s">
        <v>2182</v>
      </c>
      <c r="M287" s="20">
        <v>284</v>
      </c>
    </row>
    <row r="288" spans="1:13" ht="15.75" customHeight="1" x14ac:dyDescent="0.25">
      <c r="A288" s="87">
        <v>285</v>
      </c>
      <c r="B288" s="63" t="s">
        <v>845</v>
      </c>
      <c r="C288" s="63" t="s">
        <v>378</v>
      </c>
      <c r="D288" s="190" t="s">
        <v>86</v>
      </c>
      <c r="E288" s="204">
        <v>19.350000000000001</v>
      </c>
      <c r="F288" s="63" t="s">
        <v>269</v>
      </c>
      <c r="G288" s="42" t="s">
        <v>416</v>
      </c>
      <c r="H288" s="63" t="s">
        <v>936</v>
      </c>
      <c r="I288" s="63" t="s">
        <v>417</v>
      </c>
      <c r="J288" s="50" t="s">
        <v>2155</v>
      </c>
      <c r="K288" s="50" t="s">
        <v>118</v>
      </c>
      <c r="L288" s="50" t="s">
        <v>2182</v>
      </c>
      <c r="M288" s="50">
        <v>285</v>
      </c>
    </row>
    <row r="289" spans="1:13" ht="15.75" customHeight="1" x14ac:dyDescent="0.25">
      <c r="A289" s="87">
        <v>286</v>
      </c>
      <c r="B289" s="63" t="s">
        <v>845</v>
      </c>
      <c r="C289" s="63" t="s">
        <v>378</v>
      </c>
      <c r="D289" s="190" t="s">
        <v>86</v>
      </c>
      <c r="E289" s="204">
        <v>27.99</v>
      </c>
      <c r="F289" s="63" t="s">
        <v>269</v>
      </c>
      <c r="G289" s="42" t="s">
        <v>414</v>
      </c>
      <c r="H289" s="63" t="s">
        <v>936</v>
      </c>
      <c r="I289" s="63" t="s">
        <v>415</v>
      </c>
      <c r="J289" s="50" t="s">
        <v>2155</v>
      </c>
      <c r="K289" s="50" t="s">
        <v>118</v>
      </c>
      <c r="L289" s="50" t="s">
        <v>2182</v>
      </c>
      <c r="M289" s="50">
        <v>286</v>
      </c>
    </row>
    <row r="290" spans="1:13" s="20" customFormat="1" ht="15.75" customHeight="1" x14ac:dyDescent="0.25">
      <c r="A290" s="85">
        <v>287</v>
      </c>
      <c r="B290" s="86" t="s">
        <v>845</v>
      </c>
      <c r="C290" s="86" t="s">
        <v>378</v>
      </c>
      <c r="D290" s="189" t="s">
        <v>86</v>
      </c>
      <c r="E290" s="203">
        <v>35.65</v>
      </c>
      <c r="F290" s="86" t="s">
        <v>269</v>
      </c>
      <c r="G290" s="42" t="s">
        <v>412</v>
      </c>
      <c r="H290" s="86" t="s">
        <v>936</v>
      </c>
      <c r="I290" s="86" t="s">
        <v>413</v>
      </c>
      <c r="J290" s="20" t="s">
        <v>2155</v>
      </c>
      <c r="K290" s="20" t="s">
        <v>118</v>
      </c>
      <c r="L290" s="20" t="s">
        <v>2182</v>
      </c>
      <c r="M290" s="20">
        <v>287</v>
      </c>
    </row>
    <row r="291" spans="1:13" ht="15.75" customHeight="1" x14ac:dyDescent="0.25">
      <c r="A291" s="87">
        <v>288</v>
      </c>
      <c r="B291" s="63" t="s">
        <v>845</v>
      </c>
      <c r="C291" s="63" t="s">
        <v>378</v>
      </c>
      <c r="D291" s="190" t="s">
        <v>86</v>
      </c>
      <c r="E291" s="204">
        <v>11.4</v>
      </c>
      <c r="F291" s="63" t="s">
        <v>269</v>
      </c>
      <c r="G291" s="42" t="s">
        <v>410</v>
      </c>
      <c r="H291" s="63" t="s">
        <v>936</v>
      </c>
      <c r="I291" s="63" t="s">
        <v>411</v>
      </c>
      <c r="J291" s="50" t="s">
        <v>2155</v>
      </c>
      <c r="K291" s="50" t="s">
        <v>118</v>
      </c>
      <c r="L291" s="50" t="s">
        <v>2182</v>
      </c>
      <c r="M291" s="50">
        <v>288</v>
      </c>
    </row>
    <row r="292" spans="1:13" s="20" customFormat="1" ht="15.75" customHeight="1" x14ac:dyDescent="0.25">
      <c r="A292" s="85">
        <v>289</v>
      </c>
      <c r="B292" s="86" t="s">
        <v>845</v>
      </c>
      <c r="C292" s="86" t="s">
        <v>378</v>
      </c>
      <c r="D292" s="189" t="s">
        <v>86</v>
      </c>
      <c r="E292" s="203">
        <v>15.93</v>
      </c>
      <c r="F292" s="86" t="s">
        <v>269</v>
      </c>
      <c r="G292" s="42" t="s">
        <v>408</v>
      </c>
      <c r="H292" s="86" t="s">
        <v>937</v>
      </c>
      <c r="I292" s="86" t="s">
        <v>409</v>
      </c>
      <c r="J292" s="20" t="s">
        <v>2155</v>
      </c>
      <c r="K292" s="20" t="s">
        <v>118</v>
      </c>
      <c r="L292" s="20" t="s">
        <v>2182</v>
      </c>
      <c r="M292" s="20">
        <v>289</v>
      </c>
    </row>
    <row r="293" spans="1:13" ht="15.75" customHeight="1" x14ac:dyDescent="0.25">
      <c r="A293" s="87">
        <v>290</v>
      </c>
      <c r="B293" s="63" t="s">
        <v>845</v>
      </c>
      <c r="C293" s="63" t="s">
        <v>378</v>
      </c>
      <c r="D293" s="190" t="s">
        <v>86</v>
      </c>
      <c r="E293" s="204">
        <v>10.89</v>
      </c>
      <c r="F293" s="63" t="s">
        <v>269</v>
      </c>
      <c r="G293" s="42" t="s">
        <v>406</v>
      </c>
      <c r="H293" s="63" t="s">
        <v>938</v>
      </c>
      <c r="I293" s="63" t="s">
        <v>407</v>
      </c>
      <c r="J293" s="50" t="s">
        <v>2155</v>
      </c>
      <c r="K293" s="50" t="s">
        <v>118</v>
      </c>
      <c r="L293" s="50" t="s">
        <v>2182</v>
      </c>
      <c r="M293" s="50">
        <v>290</v>
      </c>
    </row>
    <row r="294" spans="1:13" ht="15.75" customHeight="1" x14ac:dyDescent="0.25">
      <c r="A294" s="87">
        <v>291</v>
      </c>
      <c r="B294" s="63" t="s">
        <v>845</v>
      </c>
      <c r="C294" s="63" t="s">
        <v>378</v>
      </c>
      <c r="D294" s="190" t="s">
        <v>86</v>
      </c>
      <c r="E294" s="204">
        <v>14.25</v>
      </c>
      <c r="F294" s="63" t="s">
        <v>269</v>
      </c>
      <c r="G294" s="42" t="s">
        <v>404</v>
      </c>
      <c r="H294" s="63" t="s">
        <v>938</v>
      </c>
      <c r="I294" s="63" t="s">
        <v>405</v>
      </c>
      <c r="J294" s="50" t="s">
        <v>2155</v>
      </c>
      <c r="K294" s="50" t="s">
        <v>118</v>
      </c>
      <c r="L294" s="50" t="s">
        <v>2182</v>
      </c>
      <c r="M294" s="50">
        <v>291</v>
      </c>
    </row>
    <row r="295" spans="1:13" ht="15.75" customHeight="1" x14ac:dyDescent="0.25">
      <c r="A295" s="87">
        <v>292</v>
      </c>
      <c r="B295" s="63" t="s">
        <v>845</v>
      </c>
      <c r="C295" s="63" t="s">
        <v>378</v>
      </c>
      <c r="D295" s="190" t="s">
        <v>86</v>
      </c>
      <c r="E295" s="204">
        <v>20.54</v>
      </c>
      <c r="F295" s="63" t="s">
        <v>269</v>
      </c>
      <c r="G295" s="42" t="s">
        <v>402</v>
      </c>
      <c r="H295" s="63" t="s">
        <v>938</v>
      </c>
      <c r="I295" s="63" t="s">
        <v>403</v>
      </c>
      <c r="J295" s="50" t="s">
        <v>2155</v>
      </c>
      <c r="K295" s="50" t="s">
        <v>118</v>
      </c>
      <c r="L295" s="50" t="s">
        <v>2182</v>
      </c>
      <c r="M295" s="50">
        <v>292</v>
      </c>
    </row>
    <row r="296" spans="1:13" s="20" customFormat="1" ht="15.75" customHeight="1" x14ac:dyDescent="0.25">
      <c r="A296" s="85">
        <v>293</v>
      </c>
      <c r="B296" s="86" t="s">
        <v>845</v>
      </c>
      <c r="C296" s="86" t="s">
        <v>378</v>
      </c>
      <c r="D296" s="189" t="s">
        <v>86</v>
      </c>
      <c r="E296" s="203">
        <v>27.01</v>
      </c>
      <c r="F296" s="86" t="s">
        <v>269</v>
      </c>
      <c r="G296" s="42" t="s">
        <v>400</v>
      </c>
      <c r="H296" s="86" t="s">
        <v>938</v>
      </c>
      <c r="I296" s="86" t="s">
        <v>401</v>
      </c>
      <c r="J296" s="20" t="s">
        <v>2155</v>
      </c>
      <c r="K296" s="20" t="s">
        <v>118</v>
      </c>
      <c r="L296" s="20" t="s">
        <v>2182</v>
      </c>
      <c r="M296" s="20">
        <v>293</v>
      </c>
    </row>
    <row r="297" spans="1:13" s="20" customFormat="1" ht="15.75" customHeight="1" x14ac:dyDescent="0.25">
      <c r="A297" s="85">
        <v>294</v>
      </c>
      <c r="B297" s="86" t="s">
        <v>845</v>
      </c>
      <c r="C297" s="86" t="s">
        <v>378</v>
      </c>
      <c r="D297" s="189" t="s">
        <v>86</v>
      </c>
      <c r="E297" s="203">
        <v>18.989999999999998</v>
      </c>
      <c r="F297" s="86" t="s">
        <v>269</v>
      </c>
      <c r="G297" s="42" t="s">
        <v>398</v>
      </c>
      <c r="H297" s="86" t="s">
        <v>938</v>
      </c>
      <c r="I297" s="86" t="s">
        <v>399</v>
      </c>
      <c r="J297" s="20" t="s">
        <v>2155</v>
      </c>
      <c r="K297" s="20" t="s">
        <v>118</v>
      </c>
      <c r="L297" s="20" t="s">
        <v>2182</v>
      </c>
      <c r="M297" s="20">
        <v>294</v>
      </c>
    </row>
    <row r="298" spans="1:13" ht="15.75" customHeight="1" x14ac:dyDescent="0.25">
      <c r="A298" s="87">
        <v>295</v>
      </c>
      <c r="B298" s="63" t="s">
        <v>845</v>
      </c>
      <c r="C298" s="63" t="s">
        <v>378</v>
      </c>
      <c r="D298" s="190" t="s">
        <v>86</v>
      </c>
      <c r="E298" s="204">
        <v>20.23</v>
      </c>
      <c r="F298" s="63" t="s">
        <v>269</v>
      </c>
      <c r="G298" s="42" t="s">
        <v>396</v>
      </c>
      <c r="H298" s="63" t="s">
        <v>938</v>
      </c>
      <c r="I298" s="63" t="s">
        <v>397</v>
      </c>
      <c r="J298" s="50" t="s">
        <v>2155</v>
      </c>
      <c r="K298" s="50" t="s">
        <v>118</v>
      </c>
      <c r="L298" s="50" t="s">
        <v>2182</v>
      </c>
      <c r="M298" s="50">
        <v>295</v>
      </c>
    </row>
    <row r="299" spans="1:13" s="20" customFormat="1" ht="15.75" customHeight="1" x14ac:dyDescent="0.25">
      <c r="A299" s="85">
        <v>296</v>
      </c>
      <c r="B299" s="86" t="s">
        <v>845</v>
      </c>
      <c r="C299" s="86" t="s">
        <v>378</v>
      </c>
      <c r="D299" s="189" t="s">
        <v>86</v>
      </c>
      <c r="E299" s="203">
        <v>26.58</v>
      </c>
      <c r="F299" s="86" t="s">
        <v>269</v>
      </c>
      <c r="G299" s="42" t="s">
        <v>394</v>
      </c>
      <c r="H299" s="86" t="s">
        <v>939</v>
      </c>
      <c r="I299" s="86" t="s">
        <v>395</v>
      </c>
      <c r="J299" s="20" t="s">
        <v>2155</v>
      </c>
      <c r="K299" s="20" t="s">
        <v>118</v>
      </c>
      <c r="L299" s="20" t="s">
        <v>2182</v>
      </c>
      <c r="M299" s="20">
        <v>296</v>
      </c>
    </row>
    <row r="300" spans="1:13" ht="15.75" customHeight="1" x14ac:dyDescent="0.25">
      <c r="A300" s="87">
        <v>297</v>
      </c>
      <c r="B300" s="63" t="s">
        <v>845</v>
      </c>
      <c r="C300" s="63" t="s">
        <v>378</v>
      </c>
      <c r="D300" s="190" t="s">
        <v>86</v>
      </c>
      <c r="E300" s="204">
        <v>19.87</v>
      </c>
      <c r="F300" s="63" t="s">
        <v>269</v>
      </c>
      <c r="G300" s="42" t="s">
        <v>392</v>
      </c>
      <c r="H300" s="63" t="s">
        <v>939</v>
      </c>
      <c r="I300" s="63" t="s">
        <v>393</v>
      </c>
      <c r="J300" s="50" t="s">
        <v>2155</v>
      </c>
      <c r="K300" s="50" t="s">
        <v>118</v>
      </c>
      <c r="L300" s="50" t="s">
        <v>2182</v>
      </c>
      <c r="M300" s="50">
        <v>297</v>
      </c>
    </row>
    <row r="301" spans="1:13" ht="15.75" customHeight="1" x14ac:dyDescent="0.25">
      <c r="A301" s="87">
        <v>298</v>
      </c>
      <c r="B301" s="63" t="s">
        <v>845</v>
      </c>
      <c r="C301" s="63" t="s">
        <v>378</v>
      </c>
      <c r="D301" s="190" t="s">
        <v>86</v>
      </c>
      <c r="E301" s="204">
        <v>10.63</v>
      </c>
      <c r="F301" s="63" t="s">
        <v>269</v>
      </c>
      <c r="G301" s="42" t="s">
        <v>390</v>
      </c>
      <c r="H301" s="63" t="s">
        <v>939</v>
      </c>
      <c r="I301" s="63" t="s">
        <v>391</v>
      </c>
      <c r="J301" s="50" t="s">
        <v>2155</v>
      </c>
      <c r="K301" s="50" t="s">
        <v>118</v>
      </c>
      <c r="L301" s="50" t="s">
        <v>2182</v>
      </c>
      <c r="M301" s="50">
        <v>298</v>
      </c>
    </row>
    <row r="302" spans="1:13" ht="15.75" customHeight="1" x14ac:dyDescent="0.25">
      <c r="A302" s="87">
        <v>299</v>
      </c>
      <c r="B302" s="63" t="s">
        <v>845</v>
      </c>
      <c r="C302" s="63" t="s">
        <v>381</v>
      </c>
      <c r="D302" s="190" t="s">
        <v>86</v>
      </c>
      <c r="E302" s="204">
        <v>7.9</v>
      </c>
      <c r="F302" s="63" t="s">
        <v>269</v>
      </c>
      <c r="G302" s="42" t="s">
        <v>388</v>
      </c>
      <c r="H302" s="63" t="s">
        <v>940</v>
      </c>
      <c r="I302" s="63" t="s">
        <v>389</v>
      </c>
      <c r="J302" s="50" t="s">
        <v>2155</v>
      </c>
      <c r="K302" s="50" t="s">
        <v>118</v>
      </c>
      <c r="L302" s="50" t="s">
        <v>2182</v>
      </c>
      <c r="M302" s="50">
        <v>299</v>
      </c>
    </row>
    <row r="303" spans="1:13" s="20" customFormat="1" ht="15.75" customHeight="1" x14ac:dyDescent="0.25">
      <c r="A303" s="85">
        <v>300</v>
      </c>
      <c r="B303" s="86" t="s">
        <v>845</v>
      </c>
      <c r="C303" s="86" t="s">
        <v>381</v>
      </c>
      <c r="D303" s="189" t="s">
        <v>86</v>
      </c>
      <c r="E303" s="203">
        <v>8.1999999999999993</v>
      </c>
      <c r="F303" s="86" t="s">
        <v>269</v>
      </c>
      <c r="G303" s="42" t="s">
        <v>386</v>
      </c>
      <c r="H303" s="86" t="s">
        <v>940</v>
      </c>
      <c r="I303" s="86" t="s">
        <v>387</v>
      </c>
      <c r="J303" s="20" t="s">
        <v>2155</v>
      </c>
      <c r="K303" s="20" t="s">
        <v>118</v>
      </c>
      <c r="L303" s="20" t="s">
        <v>2182</v>
      </c>
      <c r="M303" s="20">
        <v>300</v>
      </c>
    </row>
    <row r="304" spans="1:13" s="20" customFormat="1" ht="15.75" customHeight="1" x14ac:dyDescent="0.25">
      <c r="A304" s="85">
        <v>301</v>
      </c>
      <c r="B304" s="86" t="s">
        <v>845</v>
      </c>
      <c r="C304" s="86" t="s">
        <v>381</v>
      </c>
      <c r="D304" s="189" t="s">
        <v>86</v>
      </c>
      <c r="E304" s="203">
        <v>8.3000000000000007</v>
      </c>
      <c r="F304" s="86" t="s">
        <v>269</v>
      </c>
      <c r="G304" s="42" t="s">
        <v>384</v>
      </c>
      <c r="H304" s="86" t="s">
        <v>940</v>
      </c>
      <c r="I304" s="86" t="s">
        <v>385</v>
      </c>
      <c r="J304" s="20" t="s">
        <v>2155</v>
      </c>
      <c r="K304" s="20" t="s">
        <v>118</v>
      </c>
      <c r="L304" s="20" t="s">
        <v>2182</v>
      </c>
      <c r="M304" s="20">
        <v>301</v>
      </c>
    </row>
    <row r="305" spans="1:13" ht="15.75" customHeight="1" x14ac:dyDescent="0.25">
      <c r="A305" s="87">
        <v>302</v>
      </c>
      <c r="B305" s="63" t="s">
        <v>845</v>
      </c>
      <c r="C305" s="63" t="s">
        <v>381</v>
      </c>
      <c r="D305" s="190" t="s">
        <v>86</v>
      </c>
      <c r="E305" s="204">
        <v>8.1999999999999993</v>
      </c>
      <c r="F305" s="63" t="s">
        <v>269</v>
      </c>
      <c r="G305" s="42" t="s">
        <v>382</v>
      </c>
      <c r="H305" s="63" t="s">
        <v>941</v>
      </c>
      <c r="I305" s="63" t="s">
        <v>383</v>
      </c>
      <c r="J305" s="50" t="s">
        <v>2155</v>
      </c>
      <c r="K305" s="50" t="s">
        <v>118</v>
      </c>
      <c r="L305" s="50" t="s">
        <v>2182</v>
      </c>
      <c r="M305" s="50">
        <v>302</v>
      </c>
    </row>
    <row r="306" spans="1:13" s="20" customFormat="1" ht="15.75" customHeight="1" x14ac:dyDescent="0.25">
      <c r="A306" s="48">
        <v>303</v>
      </c>
      <c r="B306" s="44" t="s">
        <v>845</v>
      </c>
      <c r="C306" s="44" t="s">
        <v>378</v>
      </c>
      <c r="D306" s="49" t="s">
        <v>86</v>
      </c>
      <c r="E306" s="205">
        <v>7</v>
      </c>
      <c r="F306" s="44" t="s">
        <v>269</v>
      </c>
      <c r="G306" s="42" t="s">
        <v>379</v>
      </c>
      <c r="H306" s="44" t="s">
        <v>932</v>
      </c>
      <c r="I306" s="109" t="s">
        <v>380</v>
      </c>
      <c r="J306" s="20" t="s">
        <v>2155</v>
      </c>
      <c r="K306" s="20" t="s">
        <v>118</v>
      </c>
      <c r="L306" s="20" t="s">
        <v>2182</v>
      </c>
      <c r="M306" s="20">
        <v>303</v>
      </c>
    </row>
    <row r="307" spans="1:13" s="20" customFormat="1" ht="15.75" customHeight="1" x14ac:dyDescent="0.25">
      <c r="A307" s="131">
        <v>304</v>
      </c>
      <c r="B307" s="132" t="s">
        <v>953</v>
      </c>
      <c r="C307" s="132" t="s">
        <v>945</v>
      </c>
      <c r="D307" s="182" t="s">
        <v>85</v>
      </c>
      <c r="E307" s="196">
        <v>118.22</v>
      </c>
      <c r="F307" s="132" t="s">
        <v>269</v>
      </c>
      <c r="G307" s="42" t="s">
        <v>949</v>
      </c>
      <c r="H307" s="132" t="s">
        <v>955</v>
      </c>
      <c r="I307" s="130" t="s">
        <v>950</v>
      </c>
      <c r="J307" s="20" t="s">
        <v>2154</v>
      </c>
      <c r="K307" s="20" t="s">
        <v>118</v>
      </c>
      <c r="L307" s="20" t="s">
        <v>2181</v>
      </c>
      <c r="M307" s="20">
        <v>304</v>
      </c>
    </row>
    <row r="308" spans="1:13" s="20" customFormat="1" ht="15.75" customHeight="1" x14ac:dyDescent="0.25">
      <c r="A308" s="131">
        <v>305</v>
      </c>
      <c r="B308" s="132" t="s">
        <v>953</v>
      </c>
      <c r="C308" s="132" t="s">
        <v>945</v>
      </c>
      <c r="D308" s="182" t="s">
        <v>82</v>
      </c>
      <c r="E308" s="196">
        <v>185.67</v>
      </c>
      <c r="F308" s="132" t="s">
        <v>269</v>
      </c>
      <c r="G308" s="42" t="s">
        <v>946</v>
      </c>
      <c r="H308" s="132" t="s">
        <v>956</v>
      </c>
      <c r="I308" s="130" t="s">
        <v>947</v>
      </c>
      <c r="J308" s="20" t="s">
        <v>2154</v>
      </c>
      <c r="K308" s="20" t="s">
        <v>118</v>
      </c>
      <c r="L308" s="20" t="s">
        <v>2181</v>
      </c>
      <c r="M308" s="20">
        <v>305</v>
      </c>
    </row>
    <row r="309" spans="1:13" s="20" customFormat="1" ht="15.75" customHeight="1" x14ac:dyDescent="0.25">
      <c r="A309" s="131">
        <v>306</v>
      </c>
      <c r="B309" s="132" t="s">
        <v>984</v>
      </c>
      <c r="C309" s="132" t="s">
        <v>959</v>
      </c>
      <c r="D309" s="182" t="s">
        <v>82</v>
      </c>
      <c r="E309" s="196">
        <v>61.7</v>
      </c>
      <c r="F309" s="132" t="s">
        <v>269</v>
      </c>
      <c r="G309" s="42" t="s">
        <v>974</v>
      </c>
      <c r="H309" s="132" t="s">
        <v>988</v>
      </c>
      <c r="I309" s="130" t="s">
        <v>975</v>
      </c>
      <c r="J309" s="20" t="s">
        <v>2161</v>
      </c>
      <c r="K309" s="20" t="s">
        <v>118</v>
      </c>
      <c r="L309" s="20" t="s">
        <v>2181</v>
      </c>
      <c r="M309" s="20">
        <v>306</v>
      </c>
    </row>
    <row r="310" spans="1:13" s="20" customFormat="1" ht="15.75" customHeight="1" x14ac:dyDescent="0.25">
      <c r="A310" s="3">
        <v>307</v>
      </c>
      <c r="B310" s="2" t="s">
        <v>984</v>
      </c>
      <c r="C310" s="2" t="s">
        <v>959</v>
      </c>
      <c r="D310" s="191" t="s">
        <v>83</v>
      </c>
      <c r="E310" s="206">
        <v>62.02</v>
      </c>
      <c r="F310" s="2" t="s">
        <v>269</v>
      </c>
      <c r="G310" s="42" t="s">
        <v>972</v>
      </c>
      <c r="H310" s="2" t="s">
        <v>989</v>
      </c>
      <c r="I310" s="2" t="s">
        <v>973</v>
      </c>
      <c r="J310" s="20" t="s">
        <v>2161</v>
      </c>
      <c r="K310" s="20" t="s">
        <v>118</v>
      </c>
      <c r="L310" s="20" t="s">
        <v>2181</v>
      </c>
      <c r="M310" s="20">
        <v>307</v>
      </c>
    </row>
    <row r="311" spans="1:13" ht="15.75" x14ac:dyDescent="0.25">
      <c r="A311" s="51">
        <v>308</v>
      </c>
      <c r="B311" s="46" t="s">
        <v>984</v>
      </c>
      <c r="C311" s="46" t="s">
        <v>959</v>
      </c>
      <c r="D311" s="52" t="s">
        <v>84</v>
      </c>
      <c r="E311" s="192">
        <v>61.98</v>
      </c>
      <c r="F311" s="46" t="s">
        <v>269</v>
      </c>
      <c r="G311" s="42" t="s">
        <v>970</v>
      </c>
      <c r="H311" s="46" t="s">
        <v>990</v>
      </c>
      <c r="I311" s="46" t="s">
        <v>971</v>
      </c>
      <c r="J311" s="50" t="s">
        <v>2161</v>
      </c>
      <c r="K311" s="50" t="s">
        <v>118</v>
      </c>
      <c r="L311" s="50" t="s">
        <v>2181</v>
      </c>
      <c r="M311" s="50">
        <v>308</v>
      </c>
    </row>
    <row r="312" spans="1:13" ht="15.75" x14ac:dyDescent="0.25">
      <c r="A312" s="48">
        <v>309</v>
      </c>
      <c r="B312" s="44" t="s">
        <v>984</v>
      </c>
      <c r="C312" s="44" t="s">
        <v>959</v>
      </c>
      <c r="D312" s="49" t="s">
        <v>84</v>
      </c>
      <c r="E312" s="205">
        <v>71.400000000000006</v>
      </c>
      <c r="F312" s="44" t="s">
        <v>269</v>
      </c>
      <c r="G312" s="42" t="s">
        <v>968</v>
      </c>
      <c r="H312" s="44" t="s">
        <v>991</v>
      </c>
      <c r="I312" s="44" t="s">
        <v>969</v>
      </c>
      <c r="J312" s="50" t="s">
        <v>2161</v>
      </c>
      <c r="K312" s="50" t="s">
        <v>118</v>
      </c>
      <c r="L312" s="50" t="s">
        <v>2181</v>
      </c>
      <c r="M312" s="50">
        <v>309</v>
      </c>
    </row>
    <row r="313" spans="1:13" ht="15.75" x14ac:dyDescent="0.25">
      <c r="A313" s="48">
        <v>310</v>
      </c>
      <c r="B313" s="44" t="s">
        <v>984</v>
      </c>
      <c r="C313" s="44" t="s">
        <v>959</v>
      </c>
      <c r="D313" s="49" t="s">
        <v>146</v>
      </c>
      <c r="E313" s="205">
        <v>90</v>
      </c>
      <c r="F313" s="44" t="s">
        <v>269</v>
      </c>
      <c r="G313" s="42" t="s">
        <v>966</v>
      </c>
      <c r="H313" s="44" t="s">
        <v>992</v>
      </c>
      <c r="I313" s="44" t="s">
        <v>967</v>
      </c>
      <c r="J313" s="50" t="s">
        <v>2161</v>
      </c>
      <c r="K313" s="50" t="s">
        <v>118</v>
      </c>
      <c r="L313" s="50" t="s">
        <v>2181</v>
      </c>
      <c r="M313" s="50">
        <v>310</v>
      </c>
    </row>
    <row r="314" spans="1:13" ht="15.75" x14ac:dyDescent="0.25">
      <c r="A314" s="48">
        <v>311</v>
      </c>
      <c r="B314" s="44" t="s">
        <v>984</v>
      </c>
      <c r="C314" s="44" t="s">
        <v>959</v>
      </c>
      <c r="D314" s="49" t="s">
        <v>146</v>
      </c>
      <c r="E314" s="205">
        <v>60.34</v>
      </c>
      <c r="F314" s="44" t="s">
        <v>269</v>
      </c>
      <c r="G314" s="42" t="s">
        <v>964</v>
      </c>
      <c r="H314" s="44" t="s">
        <v>993</v>
      </c>
      <c r="I314" s="44" t="s">
        <v>965</v>
      </c>
      <c r="J314" s="50" t="s">
        <v>2161</v>
      </c>
      <c r="K314" s="50" t="s">
        <v>118</v>
      </c>
      <c r="L314" s="50" t="s">
        <v>2181</v>
      </c>
      <c r="M314" s="50">
        <v>311</v>
      </c>
    </row>
    <row r="315" spans="1:13" ht="15.75" x14ac:dyDescent="0.25">
      <c r="A315" s="48">
        <v>312</v>
      </c>
      <c r="B315" s="44" t="s">
        <v>984</v>
      </c>
      <c r="C315" s="44" t="s">
        <v>959</v>
      </c>
      <c r="D315" s="49" t="s">
        <v>86</v>
      </c>
      <c r="E315" s="205">
        <v>95.25</v>
      </c>
      <c r="F315" s="44" t="s">
        <v>269</v>
      </c>
      <c r="G315" s="42" t="s">
        <v>962</v>
      </c>
      <c r="H315" s="44" t="s">
        <v>994</v>
      </c>
      <c r="I315" s="44" t="s">
        <v>963</v>
      </c>
      <c r="J315" s="50" t="s">
        <v>2161</v>
      </c>
      <c r="K315" s="50" t="s">
        <v>118</v>
      </c>
      <c r="L315" s="50" t="s">
        <v>2181</v>
      </c>
      <c r="M315" s="50">
        <v>312</v>
      </c>
    </row>
    <row r="316" spans="1:13" ht="15.75" x14ac:dyDescent="0.25">
      <c r="A316" s="48">
        <v>313</v>
      </c>
      <c r="B316" s="44" t="s">
        <v>984</v>
      </c>
      <c r="C316" s="44" t="s">
        <v>983</v>
      </c>
      <c r="D316" s="49" t="s">
        <v>86</v>
      </c>
      <c r="E316" s="205">
        <v>286.44</v>
      </c>
      <c r="F316" s="44" t="s">
        <v>269</v>
      </c>
      <c r="G316" s="42" t="s">
        <v>960</v>
      </c>
      <c r="H316" s="44" t="s">
        <v>995</v>
      </c>
      <c r="I316" s="44" t="s">
        <v>961</v>
      </c>
      <c r="J316" s="50" t="s">
        <v>2161</v>
      </c>
      <c r="K316" s="50" t="s">
        <v>118</v>
      </c>
      <c r="L316" s="50" t="s">
        <v>2181</v>
      </c>
      <c r="M316" s="50">
        <v>313</v>
      </c>
    </row>
    <row r="317" spans="1:13" ht="15.75" x14ac:dyDescent="0.25">
      <c r="A317" s="48">
        <v>314</v>
      </c>
      <c r="B317" s="44" t="s">
        <v>1062</v>
      </c>
      <c r="C317" s="44" t="s">
        <v>1021</v>
      </c>
      <c r="D317" s="49" t="s">
        <v>264</v>
      </c>
      <c r="E317" s="205">
        <v>175</v>
      </c>
      <c r="F317" s="44" t="s">
        <v>269</v>
      </c>
      <c r="G317" s="42" t="s">
        <v>1060</v>
      </c>
      <c r="H317" s="44" t="s">
        <v>954</v>
      </c>
      <c r="I317" s="44" t="s">
        <v>1061</v>
      </c>
      <c r="J317" s="50" t="s">
        <v>2141</v>
      </c>
      <c r="L317" s="50" t="s">
        <v>2182</v>
      </c>
      <c r="M317" s="50">
        <v>314</v>
      </c>
    </row>
    <row r="318" spans="1:13" ht="15.75" x14ac:dyDescent="0.25">
      <c r="A318" s="48">
        <v>315</v>
      </c>
      <c r="B318" s="44" t="s">
        <v>1062</v>
      </c>
      <c r="C318" s="44" t="s">
        <v>1041</v>
      </c>
      <c r="D318" s="49" t="s">
        <v>264</v>
      </c>
      <c r="E318" s="205">
        <v>250</v>
      </c>
      <c r="F318" s="44" t="s">
        <v>269</v>
      </c>
      <c r="G318" s="42" t="s">
        <v>1058</v>
      </c>
      <c r="H318" s="44" t="s">
        <v>1063</v>
      </c>
      <c r="I318" s="44" t="s">
        <v>1059</v>
      </c>
      <c r="J318" s="50" t="s">
        <v>2141</v>
      </c>
      <c r="L318" s="50" t="s">
        <v>2182</v>
      </c>
      <c r="M318" s="50">
        <v>315</v>
      </c>
    </row>
    <row r="319" spans="1:13" ht="15.75" x14ac:dyDescent="0.25">
      <c r="A319" s="48">
        <v>316</v>
      </c>
      <c r="B319" s="44" t="s">
        <v>1062</v>
      </c>
      <c r="C319" s="44" t="s">
        <v>1041</v>
      </c>
      <c r="D319" s="49" t="s">
        <v>85</v>
      </c>
      <c r="E319" s="205">
        <v>300</v>
      </c>
      <c r="F319" s="44" t="s">
        <v>269</v>
      </c>
      <c r="G319" s="42" t="s">
        <v>2214</v>
      </c>
      <c r="H319" s="44" t="s">
        <v>1064</v>
      </c>
      <c r="I319" s="44" t="s">
        <v>1057</v>
      </c>
      <c r="J319" s="50" t="s">
        <v>2141</v>
      </c>
      <c r="L319" s="50" t="s">
        <v>2182</v>
      </c>
      <c r="M319" s="50">
        <v>316</v>
      </c>
    </row>
    <row r="320" spans="1:13" ht="15.75" x14ac:dyDescent="0.25">
      <c r="A320" s="48">
        <v>317</v>
      </c>
      <c r="B320" s="44" t="s">
        <v>1062</v>
      </c>
      <c r="C320" s="44" t="s">
        <v>1036</v>
      </c>
      <c r="D320" s="49" t="s">
        <v>80</v>
      </c>
      <c r="E320" s="205">
        <v>350</v>
      </c>
      <c r="F320" s="44" t="s">
        <v>269</v>
      </c>
      <c r="G320" s="42" t="s">
        <v>1055</v>
      </c>
      <c r="H320" s="44" t="s">
        <v>1065</v>
      </c>
      <c r="I320" s="44" t="s">
        <v>1056</v>
      </c>
      <c r="J320" s="50" t="s">
        <v>2141</v>
      </c>
      <c r="L320" s="50" t="s">
        <v>2182</v>
      </c>
      <c r="M320" s="50">
        <v>317</v>
      </c>
    </row>
    <row r="321" spans="1:13" ht="15.75" x14ac:dyDescent="0.25">
      <c r="A321" s="48">
        <v>318</v>
      </c>
      <c r="B321" s="44" t="s">
        <v>1062</v>
      </c>
      <c r="C321" s="44" t="s">
        <v>1052</v>
      </c>
      <c r="D321" s="49" t="s">
        <v>80</v>
      </c>
      <c r="E321" s="205">
        <v>134.5</v>
      </c>
      <c r="F321" s="44" t="s">
        <v>269</v>
      </c>
      <c r="G321" s="42" t="s">
        <v>1053</v>
      </c>
      <c r="H321" s="44" t="s">
        <v>1066</v>
      </c>
      <c r="I321" s="44" t="s">
        <v>1054</v>
      </c>
      <c r="J321" s="50" t="s">
        <v>2136</v>
      </c>
      <c r="K321" s="50" t="s">
        <v>2183</v>
      </c>
      <c r="L321" s="50" t="s">
        <v>2181</v>
      </c>
      <c r="M321" s="50">
        <v>318</v>
      </c>
    </row>
    <row r="322" spans="1:13" ht="15.75" x14ac:dyDescent="0.25">
      <c r="A322" s="48">
        <v>319</v>
      </c>
      <c r="B322" s="44" t="s">
        <v>1062</v>
      </c>
      <c r="C322" s="44" t="s">
        <v>1041</v>
      </c>
      <c r="D322" s="49" t="s">
        <v>80</v>
      </c>
      <c r="E322" s="205">
        <v>200</v>
      </c>
      <c r="F322" s="44" t="s">
        <v>269</v>
      </c>
      <c r="G322" s="42" t="s">
        <v>2215</v>
      </c>
      <c r="H322" s="44" t="s">
        <v>1067</v>
      </c>
      <c r="I322" s="44" t="s">
        <v>1051</v>
      </c>
      <c r="J322" s="50" t="s">
        <v>2141</v>
      </c>
      <c r="L322" s="50" t="s">
        <v>2182</v>
      </c>
      <c r="M322" s="50">
        <v>319</v>
      </c>
    </row>
    <row r="323" spans="1:13" ht="15.75" x14ac:dyDescent="0.25">
      <c r="A323" s="48">
        <v>320</v>
      </c>
      <c r="B323" s="44" t="s">
        <v>1062</v>
      </c>
      <c r="C323" s="44" t="s">
        <v>1029</v>
      </c>
      <c r="D323" s="49" t="s">
        <v>80</v>
      </c>
      <c r="E323" s="205">
        <v>832.29</v>
      </c>
      <c r="F323" s="44" t="s">
        <v>269</v>
      </c>
      <c r="G323" s="42" t="s">
        <v>1049</v>
      </c>
      <c r="H323" s="44" t="s">
        <v>1068</v>
      </c>
      <c r="I323" s="44" t="s">
        <v>1050</v>
      </c>
      <c r="J323" s="50" t="s">
        <v>2132</v>
      </c>
      <c r="K323" s="50" t="s">
        <v>118</v>
      </c>
      <c r="L323" s="50" t="s">
        <v>2181</v>
      </c>
      <c r="M323" s="50">
        <v>320</v>
      </c>
    </row>
    <row r="324" spans="1:13" ht="15.75" x14ac:dyDescent="0.25">
      <c r="A324" s="48">
        <v>321</v>
      </c>
      <c r="B324" s="44" t="s">
        <v>1062</v>
      </c>
      <c r="C324" s="44" t="s">
        <v>1021</v>
      </c>
      <c r="D324" s="49" t="s">
        <v>81</v>
      </c>
      <c r="E324" s="205">
        <v>175</v>
      </c>
      <c r="F324" s="44" t="s">
        <v>269</v>
      </c>
      <c r="G324" s="42" t="s">
        <v>1047</v>
      </c>
      <c r="H324" s="44" t="s">
        <v>1069</v>
      </c>
      <c r="I324" s="44" t="s">
        <v>1048</v>
      </c>
      <c r="J324" s="50" t="s">
        <v>2141</v>
      </c>
      <c r="L324" s="50" t="s">
        <v>2182</v>
      </c>
      <c r="M324" s="50">
        <v>321</v>
      </c>
    </row>
    <row r="325" spans="1:13" ht="15.75" x14ac:dyDescent="0.25">
      <c r="A325" s="48">
        <v>322</v>
      </c>
      <c r="B325" s="44" t="s">
        <v>1062</v>
      </c>
      <c r="C325" s="44" t="s">
        <v>1044</v>
      </c>
      <c r="D325" s="49" t="s">
        <v>81</v>
      </c>
      <c r="E325" s="205">
        <v>85</v>
      </c>
      <c r="F325" s="44" t="s">
        <v>269</v>
      </c>
      <c r="G325" s="42" t="s">
        <v>1045</v>
      </c>
      <c r="H325" s="44" t="s">
        <v>1070</v>
      </c>
      <c r="I325" s="44" t="s">
        <v>1046</v>
      </c>
      <c r="J325" s="50" t="s">
        <v>2139</v>
      </c>
      <c r="K325" s="50" t="s">
        <v>2183</v>
      </c>
      <c r="L325" s="50" t="s">
        <v>2181</v>
      </c>
      <c r="M325" s="50">
        <v>322</v>
      </c>
    </row>
    <row r="326" spans="1:13" ht="15.75" x14ac:dyDescent="0.25">
      <c r="A326" s="48">
        <v>323</v>
      </c>
      <c r="B326" s="44" t="s">
        <v>1062</v>
      </c>
      <c r="C326" s="44" t="s">
        <v>1041</v>
      </c>
      <c r="D326" s="49" t="s">
        <v>81</v>
      </c>
      <c r="E326" s="205">
        <v>300</v>
      </c>
      <c r="F326" s="44" t="s">
        <v>269</v>
      </c>
      <c r="G326" s="42" t="s">
        <v>1042</v>
      </c>
      <c r="H326" s="44" t="s">
        <v>1072</v>
      </c>
      <c r="I326" s="44" t="s">
        <v>1043</v>
      </c>
      <c r="J326" s="50" t="s">
        <v>2141</v>
      </c>
      <c r="L326" s="50" t="s">
        <v>2182</v>
      </c>
      <c r="M326" s="50">
        <v>323</v>
      </c>
    </row>
    <row r="327" spans="1:13" ht="15.75" x14ac:dyDescent="0.25">
      <c r="A327" s="48">
        <v>324</v>
      </c>
      <c r="B327" s="44" t="s">
        <v>1062</v>
      </c>
      <c r="C327" s="44" t="s">
        <v>1029</v>
      </c>
      <c r="D327" s="49" t="s">
        <v>81</v>
      </c>
      <c r="E327" s="205">
        <v>994</v>
      </c>
      <c r="F327" s="44" t="s">
        <v>269</v>
      </c>
      <c r="G327" s="42" t="s">
        <v>1039</v>
      </c>
      <c r="H327" s="44" t="s">
        <v>1073</v>
      </c>
      <c r="I327" s="44" t="s">
        <v>1040</v>
      </c>
      <c r="J327" s="50" t="s">
        <v>2132</v>
      </c>
      <c r="K327" s="50" t="s">
        <v>118</v>
      </c>
      <c r="L327" s="50" t="s">
        <v>2181</v>
      </c>
      <c r="M327" s="50">
        <v>324</v>
      </c>
    </row>
    <row r="328" spans="1:13" ht="15.75" x14ac:dyDescent="0.25">
      <c r="A328" s="48">
        <v>325</v>
      </c>
      <c r="B328" s="44" t="s">
        <v>1062</v>
      </c>
      <c r="C328" s="44" t="s">
        <v>1036</v>
      </c>
      <c r="D328" s="49" t="s">
        <v>82</v>
      </c>
      <c r="E328" s="205">
        <v>350</v>
      </c>
      <c r="F328" s="44" t="s">
        <v>269</v>
      </c>
      <c r="G328" s="42" t="s">
        <v>1037</v>
      </c>
      <c r="H328" s="44" t="s">
        <v>1074</v>
      </c>
      <c r="I328" s="44" t="s">
        <v>1038</v>
      </c>
      <c r="J328" s="50" t="s">
        <v>2141</v>
      </c>
      <c r="L328" s="50" t="s">
        <v>2182</v>
      </c>
      <c r="M328" s="50">
        <v>325</v>
      </c>
    </row>
    <row r="329" spans="1:13" ht="15.75" x14ac:dyDescent="0.25">
      <c r="A329" s="48">
        <v>326</v>
      </c>
      <c r="B329" s="44" t="s">
        <v>1062</v>
      </c>
      <c r="C329" s="44" t="s">
        <v>1029</v>
      </c>
      <c r="D329" s="49" t="s">
        <v>82</v>
      </c>
      <c r="E329" s="205">
        <v>994</v>
      </c>
      <c r="F329" s="44" t="s">
        <v>269</v>
      </c>
      <c r="G329" s="42" t="s">
        <v>1034</v>
      </c>
      <c r="H329" s="44" t="s">
        <v>1075</v>
      </c>
      <c r="I329" s="44" t="s">
        <v>1035</v>
      </c>
      <c r="J329" s="50" t="s">
        <v>2132</v>
      </c>
      <c r="K329" s="50" t="s">
        <v>118</v>
      </c>
      <c r="L329" s="50" t="s">
        <v>2181</v>
      </c>
      <c r="M329" s="50">
        <v>326</v>
      </c>
    </row>
    <row r="330" spans="1:13" ht="15.75" x14ac:dyDescent="0.25">
      <c r="A330" s="48">
        <v>327</v>
      </c>
      <c r="B330" s="44" t="s">
        <v>1062</v>
      </c>
      <c r="C330" s="44" t="s">
        <v>1021</v>
      </c>
      <c r="D330" s="49" t="s">
        <v>83</v>
      </c>
      <c r="E330" s="205">
        <v>262.5</v>
      </c>
      <c r="F330" s="44" t="s">
        <v>269</v>
      </c>
      <c r="G330" s="42" t="s">
        <v>1032</v>
      </c>
      <c r="H330" s="44" t="s">
        <v>1076</v>
      </c>
      <c r="I330" s="44" t="s">
        <v>1033</v>
      </c>
      <c r="J330" s="50" t="s">
        <v>2141</v>
      </c>
      <c r="L330" s="50" t="s">
        <v>2182</v>
      </c>
      <c r="M330" s="50">
        <v>327</v>
      </c>
    </row>
    <row r="331" spans="1:13" ht="15.75" x14ac:dyDescent="0.25">
      <c r="A331" s="48">
        <v>328</v>
      </c>
      <c r="B331" s="44" t="s">
        <v>1062</v>
      </c>
      <c r="C331" s="44" t="s">
        <v>1029</v>
      </c>
      <c r="D331" s="49" t="s">
        <v>83</v>
      </c>
      <c r="E331" s="205">
        <v>994</v>
      </c>
      <c r="F331" s="44" t="s">
        <v>269</v>
      </c>
      <c r="G331" s="42" t="s">
        <v>1030</v>
      </c>
      <c r="H331" s="44" t="s">
        <v>1077</v>
      </c>
      <c r="I331" s="44" t="s">
        <v>1031</v>
      </c>
      <c r="J331" s="50" t="s">
        <v>2132</v>
      </c>
      <c r="K331" s="50" t="s">
        <v>118</v>
      </c>
      <c r="L331" s="50" t="s">
        <v>2181</v>
      </c>
      <c r="M331" s="50">
        <v>328</v>
      </c>
    </row>
    <row r="332" spans="1:13" ht="15.75" x14ac:dyDescent="0.25">
      <c r="A332" s="48">
        <v>329</v>
      </c>
      <c r="B332" s="44" t="s">
        <v>1062</v>
      </c>
      <c r="C332" s="44" t="s">
        <v>1021</v>
      </c>
      <c r="D332" s="49" t="s">
        <v>84</v>
      </c>
      <c r="E332" s="205">
        <v>350</v>
      </c>
      <c r="F332" s="44" t="s">
        <v>269</v>
      </c>
      <c r="G332" s="42" t="s">
        <v>1027</v>
      </c>
      <c r="H332" s="44" t="s">
        <v>1078</v>
      </c>
      <c r="I332" s="44" t="s">
        <v>1028</v>
      </c>
      <c r="J332" s="50" t="s">
        <v>2141</v>
      </c>
      <c r="L332" s="50" t="s">
        <v>2182</v>
      </c>
      <c r="M332" s="50">
        <v>329</v>
      </c>
    </row>
    <row r="333" spans="1:13" ht="15.75" x14ac:dyDescent="0.25">
      <c r="A333" s="48">
        <v>330</v>
      </c>
      <c r="B333" s="44" t="s">
        <v>1062</v>
      </c>
      <c r="C333" s="44" t="s">
        <v>1024</v>
      </c>
      <c r="D333" s="49" t="s">
        <v>84</v>
      </c>
      <c r="E333" s="205">
        <v>1797.2</v>
      </c>
      <c r="F333" s="44" t="s">
        <v>269</v>
      </c>
      <c r="G333" s="42" t="s">
        <v>1025</v>
      </c>
      <c r="H333" s="44" t="s">
        <v>1079</v>
      </c>
      <c r="I333" s="44" t="s">
        <v>1026</v>
      </c>
      <c r="J333" s="50" t="s">
        <v>2132</v>
      </c>
      <c r="K333" s="50" t="s">
        <v>118</v>
      </c>
      <c r="L333" s="50" t="s">
        <v>2181</v>
      </c>
      <c r="M333" s="50">
        <v>330</v>
      </c>
    </row>
    <row r="334" spans="1:13" ht="15.75" x14ac:dyDescent="0.25">
      <c r="A334" s="48">
        <v>331</v>
      </c>
      <c r="B334" s="44" t="s">
        <v>1062</v>
      </c>
      <c r="C334" s="44" t="s">
        <v>1021</v>
      </c>
      <c r="D334" s="49" t="s">
        <v>146</v>
      </c>
      <c r="E334" s="205">
        <v>87.5</v>
      </c>
      <c r="F334" s="44" t="s">
        <v>269</v>
      </c>
      <c r="G334" s="42" t="s">
        <v>1022</v>
      </c>
      <c r="H334" s="44" t="s">
        <v>1080</v>
      </c>
      <c r="I334" s="44" t="s">
        <v>1023</v>
      </c>
      <c r="J334" s="50" t="s">
        <v>2141</v>
      </c>
      <c r="L334" s="50" t="s">
        <v>2182</v>
      </c>
      <c r="M334" s="50">
        <v>331</v>
      </c>
    </row>
    <row r="335" spans="1:13" ht="15.75" x14ac:dyDescent="0.25">
      <c r="A335" s="48">
        <v>332</v>
      </c>
      <c r="B335" s="44" t="s">
        <v>1062</v>
      </c>
      <c r="C335" s="44" t="s">
        <v>1018</v>
      </c>
      <c r="D335" s="49" t="s">
        <v>146</v>
      </c>
      <c r="E335" s="205">
        <v>22.7</v>
      </c>
      <c r="F335" s="44" t="s">
        <v>269</v>
      </c>
      <c r="G335" s="42" t="s">
        <v>1019</v>
      </c>
      <c r="H335" s="44" t="s">
        <v>1081</v>
      </c>
      <c r="I335" s="44" t="s">
        <v>1020</v>
      </c>
      <c r="J335" s="50" t="s">
        <v>2136</v>
      </c>
      <c r="K335" s="50" t="s">
        <v>2183</v>
      </c>
      <c r="L335" s="50" t="s">
        <v>2181</v>
      </c>
      <c r="M335" s="50">
        <v>332</v>
      </c>
    </row>
    <row r="336" spans="1:13" ht="15.75" x14ac:dyDescent="0.25">
      <c r="A336" s="48">
        <v>333</v>
      </c>
      <c r="B336" s="44" t="s">
        <v>1062</v>
      </c>
      <c r="C336" s="44" t="s">
        <v>1002</v>
      </c>
      <c r="D336" s="49" t="s">
        <v>86</v>
      </c>
      <c r="E336" s="205">
        <v>1797.2</v>
      </c>
      <c r="F336" s="44" t="s">
        <v>269</v>
      </c>
      <c r="G336" s="42" t="s">
        <v>1013</v>
      </c>
      <c r="H336" s="44" t="s">
        <v>1083</v>
      </c>
      <c r="I336" s="44" t="s">
        <v>1014</v>
      </c>
      <c r="L336" s="50" t="s">
        <v>2182</v>
      </c>
      <c r="M336" s="50">
        <v>333</v>
      </c>
    </row>
    <row r="337" spans="1:13" ht="15.75" x14ac:dyDescent="0.25">
      <c r="A337" s="48">
        <v>334</v>
      </c>
      <c r="B337" s="44" t="s">
        <v>1062</v>
      </c>
      <c r="C337" s="44" t="s">
        <v>1002</v>
      </c>
      <c r="D337" s="49" t="s">
        <v>86</v>
      </c>
      <c r="E337" s="205">
        <v>1789</v>
      </c>
      <c r="F337" s="44" t="s">
        <v>269</v>
      </c>
      <c r="G337" s="42" t="s">
        <v>1011</v>
      </c>
      <c r="H337" s="44" t="s">
        <v>1084</v>
      </c>
      <c r="I337" s="44" t="s">
        <v>1012</v>
      </c>
      <c r="J337" s="50" t="s">
        <v>2132</v>
      </c>
      <c r="K337" s="50" t="s">
        <v>118</v>
      </c>
      <c r="L337" s="50" t="s">
        <v>2182</v>
      </c>
      <c r="M337" s="50">
        <v>334</v>
      </c>
    </row>
    <row r="338" spans="1:13" ht="15.75" x14ac:dyDescent="0.25">
      <c r="A338" s="48">
        <v>335</v>
      </c>
      <c r="B338" s="44" t="s">
        <v>1062</v>
      </c>
      <c r="C338" s="44" t="s">
        <v>1002</v>
      </c>
      <c r="D338" s="49" t="s">
        <v>86</v>
      </c>
      <c r="E338" s="205">
        <v>1789</v>
      </c>
      <c r="F338" s="44" t="s">
        <v>269</v>
      </c>
      <c r="G338" s="42" t="s">
        <v>1009</v>
      </c>
      <c r="H338" s="44" t="s">
        <v>1084</v>
      </c>
      <c r="I338" s="44" t="s">
        <v>1010</v>
      </c>
      <c r="J338" s="50" t="s">
        <v>2132</v>
      </c>
      <c r="K338" s="50" t="s">
        <v>118</v>
      </c>
      <c r="L338" s="50" t="s">
        <v>2182</v>
      </c>
      <c r="M338" s="50">
        <v>335</v>
      </c>
    </row>
    <row r="339" spans="1:13" ht="15.75" x14ac:dyDescent="0.25">
      <c r="A339" s="48">
        <v>336</v>
      </c>
      <c r="B339" s="44" t="s">
        <v>1062</v>
      </c>
      <c r="C339" s="44" t="s">
        <v>1002</v>
      </c>
      <c r="D339" s="49" t="s">
        <v>86</v>
      </c>
      <c r="E339" s="205">
        <v>1789</v>
      </c>
      <c r="F339" s="44" t="s">
        <v>269</v>
      </c>
      <c r="G339" s="42" t="s">
        <v>1007</v>
      </c>
      <c r="H339" s="44" t="s">
        <v>1084</v>
      </c>
      <c r="I339" s="44" t="s">
        <v>1008</v>
      </c>
      <c r="J339" s="50" t="s">
        <v>2132</v>
      </c>
      <c r="K339" s="50" t="s">
        <v>118</v>
      </c>
      <c r="L339" s="50" t="s">
        <v>2182</v>
      </c>
      <c r="M339" s="50">
        <v>336</v>
      </c>
    </row>
    <row r="340" spans="1:13" ht="15.75" x14ac:dyDescent="0.25">
      <c r="A340" s="48">
        <v>337</v>
      </c>
      <c r="B340" s="44" t="s">
        <v>1062</v>
      </c>
      <c r="C340" s="44" t="s">
        <v>1002</v>
      </c>
      <c r="D340" s="49" t="s">
        <v>86</v>
      </c>
      <c r="E340" s="205">
        <v>1799</v>
      </c>
      <c r="F340" s="44" t="s">
        <v>269</v>
      </c>
      <c r="G340" s="42" t="s">
        <v>1003</v>
      </c>
      <c r="H340" s="44" t="s">
        <v>1085</v>
      </c>
      <c r="I340" s="44" t="s">
        <v>1004</v>
      </c>
      <c r="J340" s="50" t="s">
        <v>2132</v>
      </c>
      <c r="K340" s="50" t="s">
        <v>118</v>
      </c>
      <c r="L340" s="50" t="s">
        <v>2182</v>
      </c>
      <c r="M340" s="50">
        <v>337</v>
      </c>
    </row>
    <row r="341" spans="1:13" ht="30" customHeight="1" x14ac:dyDescent="0.25">
      <c r="A341" s="48">
        <v>338</v>
      </c>
      <c r="B341" s="44" t="s">
        <v>1062</v>
      </c>
      <c r="C341" s="44" t="s">
        <v>999</v>
      </c>
      <c r="D341" s="220" t="s">
        <v>2356</v>
      </c>
      <c r="E341" s="205">
        <v>2859.9</v>
      </c>
      <c r="F341" s="44" t="s">
        <v>269</v>
      </c>
      <c r="G341" s="42" t="s">
        <v>1000</v>
      </c>
      <c r="H341" s="44" t="s">
        <v>2357</v>
      </c>
      <c r="I341" s="44" t="s">
        <v>1001</v>
      </c>
      <c r="J341" s="50" t="s">
        <v>2141</v>
      </c>
      <c r="K341" s="50" t="s">
        <v>118</v>
      </c>
      <c r="L341" s="221" t="s">
        <v>2181</v>
      </c>
      <c r="M341" s="50">
        <v>338</v>
      </c>
    </row>
    <row r="342" spans="1:13" ht="15.75" x14ac:dyDescent="0.25">
      <c r="A342" s="48">
        <v>339</v>
      </c>
      <c r="B342" s="44" t="s">
        <v>1062</v>
      </c>
      <c r="C342" s="44" t="s">
        <v>1015</v>
      </c>
      <c r="D342" s="49" t="s">
        <v>146</v>
      </c>
      <c r="E342" s="205">
        <v>159.80000000000001</v>
      </c>
      <c r="F342" s="44" t="s">
        <v>269</v>
      </c>
      <c r="G342" s="42" t="s">
        <v>1016</v>
      </c>
      <c r="H342" s="44" t="s">
        <v>1090</v>
      </c>
      <c r="I342" s="44" t="s">
        <v>1017</v>
      </c>
      <c r="J342" s="50" t="s">
        <v>2135</v>
      </c>
      <c r="L342" s="50" t="s">
        <v>2182</v>
      </c>
      <c r="M342" s="50">
        <v>339</v>
      </c>
    </row>
    <row r="343" spans="1:13" ht="15.75" x14ac:dyDescent="0.25">
      <c r="A343" s="48">
        <v>340</v>
      </c>
      <c r="B343" s="44" t="s">
        <v>1062</v>
      </c>
      <c r="C343" s="44" t="s">
        <v>1002</v>
      </c>
      <c r="D343" s="49" t="s">
        <v>86</v>
      </c>
      <c r="E343" s="205">
        <v>2051.5</v>
      </c>
      <c r="F343" s="44" t="s">
        <v>269</v>
      </c>
      <c r="G343" s="42" t="s">
        <v>1005</v>
      </c>
      <c r="H343" s="44" t="s">
        <v>1085</v>
      </c>
      <c r="I343" s="44" t="s">
        <v>1006</v>
      </c>
      <c r="J343" s="50" t="s">
        <v>2133</v>
      </c>
      <c r="L343" s="50" t="s">
        <v>2182</v>
      </c>
      <c r="M343" s="50">
        <v>340</v>
      </c>
    </row>
    <row r="344" spans="1:13" ht="15.75" x14ac:dyDescent="0.25">
      <c r="A344" s="48">
        <v>341</v>
      </c>
      <c r="B344" s="44" t="s">
        <v>1167</v>
      </c>
      <c r="C344" s="44" t="s">
        <v>1116</v>
      </c>
      <c r="D344" s="49" t="s">
        <v>85</v>
      </c>
      <c r="E344" s="205">
        <v>99</v>
      </c>
      <c r="F344" s="44" t="s">
        <v>269</v>
      </c>
      <c r="G344" s="42" t="s">
        <v>1165</v>
      </c>
      <c r="H344" s="44" t="s">
        <v>1168</v>
      </c>
      <c r="I344" s="44" t="s">
        <v>1166</v>
      </c>
      <c r="J344" s="50" t="s">
        <v>2128</v>
      </c>
      <c r="K344" s="50" t="s">
        <v>118</v>
      </c>
      <c r="L344" s="50" t="s">
        <v>2181</v>
      </c>
      <c r="M344" s="50">
        <v>341</v>
      </c>
    </row>
    <row r="345" spans="1:13" ht="15.75" x14ac:dyDescent="0.25">
      <c r="A345" s="48">
        <v>342</v>
      </c>
      <c r="B345" s="44" t="s">
        <v>1167</v>
      </c>
      <c r="C345" s="44" t="s">
        <v>1113</v>
      </c>
      <c r="D345" s="49" t="s">
        <v>85</v>
      </c>
      <c r="E345" s="205">
        <v>660</v>
      </c>
      <c r="F345" s="44" t="s">
        <v>269</v>
      </c>
      <c r="G345" s="42" t="s">
        <v>1163</v>
      </c>
      <c r="H345" s="44" t="s">
        <v>1169</v>
      </c>
      <c r="I345" s="44" t="s">
        <v>1164</v>
      </c>
      <c r="J345" s="50" t="s">
        <v>2123</v>
      </c>
      <c r="K345" s="50" t="s">
        <v>118</v>
      </c>
      <c r="L345" s="50" t="s">
        <v>2181</v>
      </c>
      <c r="M345" s="50">
        <v>342</v>
      </c>
    </row>
    <row r="346" spans="1:13" ht="15.75" x14ac:dyDescent="0.25">
      <c r="A346" s="48">
        <v>343</v>
      </c>
      <c r="B346" s="44" t="s">
        <v>1167</v>
      </c>
      <c r="C346" s="44" t="s">
        <v>1101</v>
      </c>
      <c r="D346" s="49" t="s">
        <v>85</v>
      </c>
      <c r="E346" s="205">
        <v>132.51</v>
      </c>
      <c r="F346" s="44" t="s">
        <v>269</v>
      </c>
      <c r="G346" s="42" t="s">
        <v>1161</v>
      </c>
      <c r="H346" s="44" t="s">
        <v>1170</v>
      </c>
      <c r="I346" s="44" t="s">
        <v>1162</v>
      </c>
      <c r="J346" s="50" t="s">
        <v>2126</v>
      </c>
      <c r="K346" s="50" t="s">
        <v>118</v>
      </c>
      <c r="L346" s="50" t="s">
        <v>2181</v>
      </c>
      <c r="M346" s="50">
        <v>343</v>
      </c>
    </row>
    <row r="347" spans="1:13" ht="15.75" x14ac:dyDescent="0.25">
      <c r="A347" s="48">
        <v>344</v>
      </c>
      <c r="B347" s="44" t="s">
        <v>1167</v>
      </c>
      <c r="C347" s="44" t="s">
        <v>1104</v>
      </c>
      <c r="D347" s="49" t="s">
        <v>80</v>
      </c>
      <c r="E347" s="205">
        <v>220</v>
      </c>
      <c r="F347" s="44" t="s">
        <v>269</v>
      </c>
      <c r="G347" s="42" t="s">
        <v>1159</v>
      </c>
      <c r="H347" s="44" t="s">
        <v>1171</v>
      </c>
      <c r="I347" s="44" t="s">
        <v>1160</v>
      </c>
      <c r="J347" s="50" t="s">
        <v>2176</v>
      </c>
      <c r="K347" s="50" t="s">
        <v>118</v>
      </c>
      <c r="L347" s="50" t="s">
        <v>2181</v>
      </c>
      <c r="M347" s="50">
        <v>344</v>
      </c>
    </row>
    <row r="348" spans="1:13" ht="15.75" x14ac:dyDescent="0.25">
      <c r="A348" s="48">
        <v>345</v>
      </c>
      <c r="B348" s="44" t="s">
        <v>1167</v>
      </c>
      <c r="C348" s="44" t="s">
        <v>1098</v>
      </c>
      <c r="D348" s="49" t="s">
        <v>80</v>
      </c>
      <c r="E348" s="205">
        <v>327.98</v>
      </c>
      <c r="F348" s="44" t="s">
        <v>269</v>
      </c>
      <c r="G348" s="42" t="s">
        <v>1157</v>
      </c>
      <c r="H348" s="44" t="s">
        <v>1172</v>
      </c>
      <c r="I348" s="44" t="s">
        <v>1158</v>
      </c>
      <c r="J348" s="50" t="s">
        <v>2125</v>
      </c>
      <c r="K348" s="50" t="s">
        <v>118</v>
      </c>
      <c r="L348" s="50" t="s">
        <v>2181</v>
      </c>
      <c r="M348" s="50">
        <v>345</v>
      </c>
    </row>
    <row r="349" spans="1:13" ht="15.75" x14ac:dyDescent="0.25">
      <c r="A349" s="48">
        <v>346</v>
      </c>
      <c r="B349" s="44" t="s">
        <v>1167</v>
      </c>
      <c r="C349" s="44" t="s">
        <v>1116</v>
      </c>
      <c r="D349" s="49" t="s">
        <v>80</v>
      </c>
      <c r="E349" s="205">
        <v>99</v>
      </c>
      <c r="F349" s="44" t="s">
        <v>269</v>
      </c>
      <c r="G349" s="42" t="s">
        <v>1155</v>
      </c>
      <c r="H349" s="44" t="s">
        <v>1173</v>
      </c>
      <c r="I349" s="44" t="s">
        <v>1156</v>
      </c>
      <c r="J349" s="50" t="s">
        <v>2128</v>
      </c>
      <c r="K349" s="50" t="s">
        <v>118</v>
      </c>
      <c r="L349" s="50" t="s">
        <v>2181</v>
      </c>
      <c r="M349" s="50">
        <v>346</v>
      </c>
    </row>
    <row r="350" spans="1:13" ht="15.75" x14ac:dyDescent="0.25">
      <c r="A350" s="48">
        <v>347</v>
      </c>
      <c r="B350" s="44" t="s">
        <v>1167</v>
      </c>
      <c r="C350" s="44" t="s">
        <v>1113</v>
      </c>
      <c r="D350" s="49" t="s">
        <v>80</v>
      </c>
      <c r="E350" s="205">
        <v>660</v>
      </c>
      <c r="F350" s="44" t="s">
        <v>269</v>
      </c>
      <c r="G350" s="42" t="s">
        <v>1153</v>
      </c>
      <c r="H350" s="44" t="s">
        <v>1174</v>
      </c>
      <c r="I350" s="44" t="s">
        <v>1154</v>
      </c>
      <c r="J350" s="50" t="s">
        <v>2123</v>
      </c>
      <c r="K350" s="50" t="s">
        <v>118</v>
      </c>
      <c r="L350" s="50" t="s">
        <v>2181</v>
      </c>
      <c r="M350" s="50">
        <v>347</v>
      </c>
    </row>
    <row r="351" spans="1:13" ht="15.75" x14ac:dyDescent="0.25">
      <c r="A351" s="48">
        <v>348</v>
      </c>
      <c r="B351" s="44" t="s">
        <v>1167</v>
      </c>
      <c r="C351" s="44" t="s">
        <v>1101</v>
      </c>
      <c r="D351" s="49" t="s">
        <v>80</v>
      </c>
      <c r="E351" s="205">
        <v>121.7</v>
      </c>
      <c r="F351" s="44" t="s">
        <v>269</v>
      </c>
      <c r="G351" s="42" t="s">
        <v>1151</v>
      </c>
      <c r="H351" s="44" t="s">
        <v>1175</v>
      </c>
      <c r="I351" s="44" t="s">
        <v>1152</v>
      </c>
      <c r="J351" s="50" t="s">
        <v>2126</v>
      </c>
      <c r="K351" s="50" t="s">
        <v>118</v>
      </c>
      <c r="L351" s="50" t="s">
        <v>2181</v>
      </c>
      <c r="M351" s="50">
        <v>348</v>
      </c>
    </row>
    <row r="352" spans="1:13" ht="15.75" x14ac:dyDescent="0.25">
      <c r="A352" s="48">
        <v>349</v>
      </c>
      <c r="B352" s="44" t="s">
        <v>1167</v>
      </c>
      <c r="C352" s="44" t="s">
        <v>1148</v>
      </c>
      <c r="D352" s="49" t="s">
        <v>80</v>
      </c>
      <c r="E352" s="205">
        <v>107</v>
      </c>
      <c r="F352" s="44" t="s">
        <v>269</v>
      </c>
      <c r="G352" s="42" t="s">
        <v>1149</v>
      </c>
      <c r="H352" s="44" t="s">
        <v>1176</v>
      </c>
      <c r="I352" s="44" t="s">
        <v>1150</v>
      </c>
      <c r="J352" s="50" t="s">
        <v>2127</v>
      </c>
      <c r="K352" s="50" t="s">
        <v>118</v>
      </c>
      <c r="L352" s="50" t="s">
        <v>2181</v>
      </c>
      <c r="M352" s="50">
        <v>349</v>
      </c>
    </row>
    <row r="353" spans="1:13" ht="15.75" x14ac:dyDescent="0.25">
      <c r="A353" s="48">
        <v>350</v>
      </c>
      <c r="B353" s="44" t="s">
        <v>1167</v>
      </c>
      <c r="C353" s="44" t="s">
        <v>1116</v>
      </c>
      <c r="D353" s="49" t="s">
        <v>81</v>
      </c>
      <c r="E353" s="205">
        <v>99</v>
      </c>
      <c r="F353" s="44" t="s">
        <v>269</v>
      </c>
      <c r="G353" s="42" t="s">
        <v>1146</v>
      </c>
      <c r="H353" s="44" t="s">
        <v>1177</v>
      </c>
      <c r="I353" s="44" t="s">
        <v>1147</v>
      </c>
      <c r="J353" s="50" t="s">
        <v>2128</v>
      </c>
      <c r="K353" s="50" t="s">
        <v>118</v>
      </c>
      <c r="L353" s="50" t="s">
        <v>2181</v>
      </c>
      <c r="M353" s="50">
        <v>350</v>
      </c>
    </row>
    <row r="354" spans="1:13" ht="15.75" x14ac:dyDescent="0.25">
      <c r="A354" s="48">
        <v>351</v>
      </c>
      <c r="B354" s="44" t="s">
        <v>1167</v>
      </c>
      <c r="C354" s="44" t="s">
        <v>1098</v>
      </c>
      <c r="D354" s="49" t="s">
        <v>81</v>
      </c>
      <c r="E354" s="205">
        <v>283.67</v>
      </c>
      <c r="F354" s="44" t="s">
        <v>269</v>
      </c>
      <c r="G354" s="42" t="s">
        <v>1144</v>
      </c>
      <c r="H354" s="44" t="s">
        <v>1178</v>
      </c>
      <c r="I354" s="44" t="s">
        <v>1145</v>
      </c>
      <c r="J354" s="50" t="s">
        <v>2125</v>
      </c>
      <c r="K354" s="50" t="s">
        <v>118</v>
      </c>
      <c r="L354" s="50" t="s">
        <v>2181</v>
      </c>
      <c r="M354" s="50">
        <v>351</v>
      </c>
    </row>
    <row r="355" spans="1:13" ht="15.75" x14ac:dyDescent="0.25">
      <c r="A355" s="48">
        <v>352</v>
      </c>
      <c r="B355" s="44" t="s">
        <v>1167</v>
      </c>
      <c r="C355" s="44" t="s">
        <v>1113</v>
      </c>
      <c r="D355" s="49" t="s">
        <v>81</v>
      </c>
      <c r="E355" s="205">
        <v>596.04</v>
      </c>
      <c r="F355" s="44" t="s">
        <v>269</v>
      </c>
      <c r="G355" s="42" t="s">
        <v>1142</v>
      </c>
      <c r="H355" s="44" t="s">
        <v>1179</v>
      </c>
      <c r="I355" s="44" t="s">
        <v>1143</v>
      </c>
      <c r="J355" s="50" t="s">
        <v>2123</v>
      </c>
      <c r="K355" s="50" t="s">
        <v>118</v>
      </c>
      <c r="L355" s="50" t="s">
        <v>2181</v>
      </c>
      <c r="M355" s="50">
        <v>352</v>
      </c>
    </row>
    <row r="356" spans="1:13" ht="15.75" x14ac:dyDescent="0.25">
      <c r="A356" s="48">
        <v>353</v>
      </c>
      <c r="B356" s="44" t="s">
        <v>1167</v>
      </c>
      <c r="C356" s="44" t="s">
        <v>1139</v>
      </c>
      <c r="D356" s="49" t="s">
        <v>81</v>
      </c>
      <c r="E356" s="205">
        <v>69.900000000000006</v>
      </c>
      <c r="F356" s="44" t="s">
        <v>269</v>
      </c>
      <c r="G356" s="42" t="s">
        <v>1140</v>
      </c>
      <c r="H356" s="44" t="s">
        <v>1180</v>
      </c>
      <c r="I356" s="44" t="s">
        <v>1141</v>
      </c>
      <c r="J356" s="50" t="s">
        <v>2122</v>
      </c>
      <c r="K356" s="50" t="s">
        <v>118</v>
      </c>
      <c r="L356" s="50" t="s">
        <v>2181</v>
      </c>
      <c r="M356" s="50">
        <v>353</v>
      </c>
    </row>
    <row r="357" spans="1:13" ht="15.75" x14ac:dyDescent="0.25">
      <c r="A357" s="48">
        <v>354</v>
      </c>
      <c r="B357" s="44" t="s">
        <v>1167</v>
      </c>
      <c r="C357" s="44" t="s">
        <v>998</v>
      </c>
      <c r="D357" s="49" t="s">
        <v>82</v>
      </c>
      <c r="E357" s="205">
        <v>51</v>
      </c>
      <c r="F357" s="44" t="s">
        <v>269</v>
      </c>
      <c r="G357" s="42" t="s">
        <v>1137</v>
      </c>
      <c r="H357" s="44" t="s">
        <v>1181</v>
      </c>
      <c r="I357" s="44" t="s">
        <v>1138</v>
      </c>
      <c r="J357" s="50" t="s">
        <v>2122</v>
      </c>
      <c r="K357" s="50" t="s">
        <v>118</v>
      </c>
      <c r="L357" s="50" t="s">
        <v>2181</v>
      </c>
      <c r="M357" s="50">
        <v>354</v>
      </c>
    </row>
    <row r="358" spans="1:13" ht="15.75" x14ac:dyDescent="0.25">
      <c r="A358" s="48">
        <v>355</v>
      </c>
      <c r="B358" s="44" t="s">
        <v>1167</v>
      </c>
      <c r="C358" s="44" t="s">
        <v>1116</v>
      </c>
      <c r="D358" s="49" t="s">
        <v>82</v>
      </c>
      <c r="E358" s="205">
        <v>99</v>
      </c>
      <c r="F358" s="44" t="s">
        <v>269</v>
      </c>
      <c r="G358" s="42" t="s">
        <v>1135</v>
      </c>
      <c r="H358" s="44" t="s">
        <v>1182</v>
      </c>
      <c r="I358" s="44" t="s">
        <v>1136</v>
      </c>
      <c r="J358" s="50" t="s">
        <v>2128</v>
      </c>
      <c r="K358" s="50" t="s">
        <v>118</v>
      </c>
      <c r="L358" s="50" t="s">
        <v>2181</v>
      </c>
      <c r="M358" s="50">
        <v>355</v>
      </c>
    </row>
    <row r="359" spans="1:13" ht="15.75" x14ac:dyDescent="0.25">
      <c r="A359" s="48">
        <v>356</v>
      </c>
      <c r="B359" s="44" t="s">
        <v>1167</v>
      </c>
      <c r="C359" s="44" t="s">
        <v>1113</v>
      </c>
      <c r="D359" s="49" t="s">
        <v>82</v>
      </c>
      <c r="E359" s="205">
        <v>596.04</v>
      </c>
      <c r="F359" s="44" t="s">
        <v>269</v>
      </c>
      <c r="G359" s="42" t="s">
        <v>1133</v>
      </c>
      <c r="H359" s="44" t="s">
        <v>1183</v>
      </c>
      <c r="I359" s="44" t="s">
        <v>1134</v>
      </c>
      <c r="J359" s="50" t="s">
        <v>2123</v>
      </c>
      <c r="K359" s="50" t="s">
        <v>118</v>
      </c>
      <c r="L359" s="50" t="s">
        <v>2181</v>
      </c>
      <c r="M359" s="50">
        <v>356</v>
      </c>
    </row>
    <row r="360" spans="1:13" ht="15.75" x14ac:dyDescent="0.25">
      <c r="A360" s="48">
        <v>357</v>
      </c>
      <c r="B360" s="44" t="s">
        <v>1167</v>
      </c>
      <c r="C360" s="44" t="s">
        <v>1116</v>
      </c>
      <c r="D360" s="49" t="s">
        <v>83</v>
      </c>
      <c r="E360" s="205">
        <v>99</v>
      </c>
      <c r="F360" s="44" t="s">
        <v>269</v>
      </c>
      <c r="G360" s="42" t="s">
        <v>1131</v>
      </c>
      <c r="H360" s="44" t="s">
        <v>1184</v>
      </c>
      <c r="I360" s="44" t="s">
        <v>1132</v>
      </c>
      <c r="J360" s="50" t="s">
        <v>2128</v>
      </c>
      <c r="K360" s="50" t="s">
        <v>118</v>
      </c>
      <c r="L360" s="50" t="s">
        <v>2181</v>
      </c>
      <c r="M360" s="50">
        <v>357</v>
      </c>
    </row>
    <row r="361" spans="1:13" ht="15.75" x14ac:dyDescent="0.25">
      <c r="A361" s="48">
        <v>358</v>
      </c>
      <c r="B361" s="44" t="s">
        <v>1167</v>
      </c>
      <c r="C361" s="44" t="s">
        <v>1098</v>
      </c>
      <c r="D361" s="49" t="s">
        <v>83</v>
      </c>
      <c r="E361" s="205">
        <v>257.20999999999998</v>
      </c>
      <c r="F361" s="44" t="s">
        <v>269</v>
      </c>
      <c r="G361" s="42" t="s">
        <v>1129</v>
      </c>
      <c r="H361" s="44" t="s">
        <v>1185</v>
      </c>
      <c r="I361" s="44" t="s">
        <v>1130</v>
      </c>
      <c r="J361" s="50" t="s">
        <v>2125</v>
      </c>
      <c r="K361" s="50" t="s">
        <v>118</v>
      </c>
      <c r="L361" s="50" t="s">
        <v>2181</v>
      </c>
      <c r="M361" s="50">
        <v>358</v>
      </c>
    </row>
    <row r="362" spans="1:13" ht="15.75" x14ac:dyDescent="0.25">
      <c r="A362" s="48">
        <v>359</v>
      </c>
      <c r="B362" s="44" t="s">
        <v>1167</v>
      </c>
      <c r="C362" s="44" t="s">
        <v>1113</v>
      </c>
      <c r="D362" s="49" t="s">
        <v>83</v>
      </c>
      <c r="E362" s="205">
        <v>596.04</v>
      </c>
      <c r="F362" s="44" t="s">
        <v>269</v>
      </c>
      <c r="G362" s="42" t="s">
        <v>1127</v>
      </c>
      <c r="H362" s="44" t="s">
        <v>1187</v>
      </c>
      <c r="I362" s="44" t="s">
        <v>1128</v>
      </c>
      <c r="J362" s="50" t="s">
        <v>2123</v>
      </c>
      <c r="K362" s="50" t="s">
        <v>118</v>
      </c>
      <c r="L362" s="50" t="s">
        <v>2181</v>
      </c>
      <c r="M362" s="50">
        <v>359</v>
      </c>
    </row>
    <row r="363" spans="1:13" ht="15.75" x14ac:dyDescent="0.25">
      <c r="A363" s="48">
        <v>360</v>
      </c>
      <c r="B363" s="44" t="s">
        <v>1167</v>
      </c>
      <c r="C363" s="44" t="s">
        <v>1124</v>
      </c>
      <c r="D363" s="49" t="s">
        <v>83</v>
      </c>
      <c r="E363" s="205">
        <v>109.99</v>
      </c>
      <c r="F363" s="44" t="s">
        <v>269</v>
      </c>
      <c r="G363" s="42" t="s">
        <v>1125</v>
      </c>
      <c r="H363" s="44" t="s">
        <v>1188</v>
      </c>
      <c r="I363" s="44" t="s">
        <v>1126</v>
      </c>
      <c r="J363" s="50" t="s">
        <v>2127</v>
      </c>
      <c r="K363" s="50" t="s">
        <v>118</v>
      </c>
      <c r="L363" s="50" t="s">
        <v>2181</v>
      </c>
      <c r="M363" s="50">
        <v>360</v>
      </c>
    </row>
    <row r="364" spans="1:13" ht="15.75" x14ac:dyDescent="0.25">
      <c r="A364" s="48">
        <v>361</v>
      </c>
      <c r="B364" s="44" t="s">
        <v>1167</v>
      </c>
      <c r="C364" s="44" t="s">
        <v>1121</v>
      </c>
      <c r="D364" s="49" t="s">
        <v>83</v>
      </c>
      <c r="E364" s="205">
        <v>109.99</v>
      </c>
      <c r="F364" s="44" t="s">
        <v>269</v>
      </c>
      <c r="G364" s="42" t="s">
        <v>1122</v>
      </c>
      <c r="H364" s="44" t="s">
        <v>1190</v>
      </c>
      <c r="I364" s="44" t="s">
        <v>1123</v>
      </c>
      <c r="J364" s="50" t="s">
        <v>2122</v>
      </c>
      <c r="K364" s="50" t="s">
        <v>118</v>
      </c>
      <c r="L364" s="50" t="s">
        <v>2181</v>
      </c>
      <c r="M364" s="50">
        <v>361</v>
      </c>
    </row>
    <row r="365" spans="1:13" ht="15.75" x14ac:dyDescent="0.25">
      <c r="A365" s="48">
        <v>362</v>
      </c>
      <c r="B365" s="44" t="s">
        <v>1167</v>
      </c>
      <c r="C365" s="44" t="s">
        <v>1101</v>
      </c>
      <c r="D365" s="49" t="s">
        <v>83</v>
      </c>
      <c r="E365" s="205">
        <v>150.81</v>
      </c>
      <c r="F365" s="44" t="s">
        <v>269</v>
      </c>
      <c r="G365" s="42" t="s">
        <v>1119</v>
      </c>
      <c r="H365" s="44" t="s">
        <v>1191</v>
      </c>
      <c r="I365" s="44" t="s">
        <v>1120</v>
      </c>
      <c r="J365" s="50" t="s">
        <v>2126</v>
      </c>
      <c r="K365" s="50" t="s">
        <v>118</v>
      </c>
      <c r="L365" s="50" t="s">
        <v>2181</v>
      </c>
      <c r="M365" s="50">
        <v>362</v>
      </c>
    </row>
    <row r="366" spans="1:13" ht="15.75" x14ac:dyDescent="0.25">
      <c r="A366" s="48">
        <v>363</v>
      </c>
      <c r="B366" s="44" t="s">
        <v>1167</v>
      </c>
      <c r="C366" s="44" t="s">
        <v>1116</v>
      </c>
      <c r="D366" s="49" t="s">
        <v>84</v>
      </c>
      <c r="E366" s="205">
        <v>99</v>
      </c>
      <c r="F366" s="44" t="s">
        <v>269</v>
      </c>
      <c r="G366" s="42" t="s">
        <v>1117</v>
      </c>
      <c r="H366" s="44" t="s">
        <v>1192</v>
      </c>
      <c r="I366" s="44" t="s">
        <v>1118</v>
      </c>
      <c r="J366" s="50" t="s">
        <v>2128</v>
      </c>
      <c r="K366" s="50" t="s">
        <v>118</v>
      </c>
      <c r="L366" s="50" t="s">
        <v>2181</v>
      </c>
      <c r="M366" s="50">
        <v>363</v>
      </c>
    </row>
    <row r="367" spans="1:13" ht="15.75" x14ac:dyDescent="0.25">
      <c r="A367" s="48">
        <v>364</v>
      </c>
      <c r="B367" s="44" t="s">
        <v>1167</v>
      </c>
      <c r="C367" s="44" t="s">
        <v>1113</v>
      </c>
      <c r="D367" s="49" t="s">
        <v>84</v>
      </c>
      <c r="E367" s="205">
        <v>596.04</v>
      </c>
      <c r="F367" s="44" t="s">
        <v>269</v>
      </c>
      <c r="G367" s="42" t="s">
        <v>1114</v>
      </c>
      <c r="H367" s="44" t="s">
        <v>1193</v>
      </c>
      <c r="I367" s="44" t="s">
        <v>1115</v>
      </c>
      <c r="J367" s="50" t="s">
        <v>2123</v>
      </c>
      <c r="K367" s="50" t="s">
        <v>118</v>
      </c>
      <c r="L367" s="50" t="s">
        <v>2181</v>
      </c>
      <c r="M367" s="50">
        <v>364</v>
      </c>
    </row>
    <row r="368" spans="1:13" ht="15.75" x14ac:dyDescent="0.25">
      <c r="A368" s="48">
        <v>365</v>
      </c>
      <c r="B368" s="44" t="s">
        <v>1167</v>
      </c>
      <c r="C368" s="44" t="s">
        <v>1110</v>
      </c>
      <c r="D368" s="49" t="s">
        <v>84</v>
      </c>
      <c r="E368" s="205">
        <v>242.75</v>
      </c>
      <c r="F368" s="44" t="s">
        <v>269</v>
      </c>
      <c r="G368" s="42" t="s">
        <v>1111</v>
      </c>
      <c r="H368" s="44" t="s">
        <v>1194</v>
      </c>
      <c r="I368" s="44" t="s">
        <v>1112</v>
      </c>
      <c r="J368" s="50" t="s">
        <v>2122</v>
      </c>
      <c r="K368" s="50" t="s">
        <v>118</v>
      </c>
      <c r="L368" s="50" t="s">
        <v>2181</v>
      </c>
      <c r="M368" s="50">
        <v>365</v>
      </c>
    </row>
    <row r="369" spans="1:13" ht="15.75" x14ac:dyDescent="0.25">
      <c r="A369" s="48">
        <v>366</v>
      </c>
      <c r="B369" s="44" t="s">
        <v>1167</v>
      </c>
      <c r="C369" s="44" t="s">
        <v>1107</v>
      </c>
      <c r="D369" s="49" t="s">
        <v>84</v>
      </c>
      <c r="E369" s="205">
        <v>760.15</v>
      </c>
      <c r="F369" s="44" t="s">
        <v>269</v>
      </c>
      <c r="G369" s="42" t="s">
        <v>1108</v>
      </c>
      <c r="H369" s="44" t="s">
        <v>1195</v>
      </c>
      <c r="I369" s="44" t="s">
        <v>1109</v>
      </c>
      <c r="J369" s="50" t="s">
        <v>2124</v>
      </c>
      <c r="K369" s="50" t="s">
        <v>2183</v>
      </c>
      <c r="L369" s="50" t="s">
        <v>2181</v>
      </c>
      <c r="M369" s="50">
        <v>366</v>
      </c>
    </row>
    <row r="370" spans="1:13" ht="15.75" x14ac:dyDescent="0.25">
      <c r="A370" s="48">
        <v>367</v>
      </c>
      <c r="B370" s="44" t="s">
        <v>1167</v>
      </c>
      <c r="C370" s="44" t="s">
        <v>1104</v>
      </c>
      <c r="D370" s="49" t="s">
        <v>84</v>
      </c>
      <c r="E370" s="205">
        <v>300</v>
      </c>
      <c r="F370" s="44" t="s">
        <v>269</v>
      </c>
      <c r="G370" s="42" t="s">
        <v>1105</v>
      </c>
      <c r="H370" s="44" t="s">
        <v>1197</v>
      </c>
      <c r="I370" s="44" t="s">
        <v>1106</v>
      </c>
      <c r="J370" s="50" t="s">
        <v>2176</v>
      </c>
      <c r="K370" s="50" t="s">
        <v>118</v>
      </c>
      <c r="L370" s="50" t="s">
        <v>2181</v>
      </c>
      <c r="M370" s="50">
        <v>367</v>
      </c>
    </row>
    <row r="371" spans="1:13" ht="15.75" x14ac:dyDescent="0.25">
      <c r="A371" s="48">
        <v>368</v>
      </c>
      <c r="B371" s="44" t="s">
        <v>1167</v>
      </c>
      <c r="C371" s="44" t="s">
        <v>1101</v>
      </c>
      <c r="D371" s="49" t="s">
        <v>84</v>
      </c>
      <c r="E371" s="205">
        <v>144.11000000000001</v>
      </c>
      <c r="F371" s="44" t="s">
        <v>269</v>
      </c>
      <c r="G371" s="42" t="s">
        <v>1102</v>
      </c>
      <c r="H371" s="44" t="s">
        <v>1199</v>
      </c>
      <c r="I371" s="44" t="s">
        <v>1103</v>
      </c>
      <c r="J371" s="50" t="s">
        <v>2126</v>
      </c>
      <c r="K371" s="50" t="s">
        <v>118</v>
      </c>
      <c r="L371" s="50" t="s">
        <v>2181</v>
      </c>
      <c r="M371" s="50">
        <v>368</v>
      </c>
    </row>
    <row r="372" spans="1:13" ht="15.75" x14ac:dyDescent="0.25">
      <c r="A372" s="48">
        <v>369</v>
      </c>
      <c r="B372" s="44" t="s">
        <v>1167</v>
      </c>
      <c r="C372" s="44" t="s">
        <v>1098</v>
      </c>
      <c r="D372" s="49" t="s">
        <v>86</v>
      </c>
      <c r="E372" s="205">
        <v>275.97000000000003</v>
      </c>
      <c r="F372" s="44" t="s">
        <v>269</v>
      </c>
      <c r="G372" s="42" t="s">
        <v>1099</v>
      </c>
      <c r="H372" s="44" t="s">
        <v>318</v>
      </c>
      <c r="I372" s="44" t="s">
        <v>1100</v>
      </c>
      <c r="J372" s="50" t="s">
        <v>2122</v>
      </c>
      <c r="K372" s="50" t="s">
        <v>118</v>
      </c>
      <c r="L372" s="50" t="s">
        <v>2181</v>
      </c>
      <c r="M372" s="50">
        <v>369</v>
      </c>
    </row>
    <row r="373" spans="1:13" ht="15.75" x14ac:dyDescent="0.25">
      <c r="A373" s="48">
        <v>370</v>
      </c>
      <c r="B373" s="44" t="s">
        <v>1167</v>
      </c>
      <c r="C373" s="44" t="s">
        <v>1093</v>
      </c>
      <c r="D373" s="49" t="s">
        <v>86</v>
      </c>
      <c r="E373" s="205">
        <v>99</v>
      </c>
      <c r="F373" s="44" t="s">
        <v>269</v>
      </c>
      <c r="G373" s="42" t="s">
        <v>1096</v>
      </c>
      <c r="H373" s="44" t="s">
        <v>318</v>
      </c>
      <c r="I373" s="44" t="s">
        <v>1097</v>
      </c>
      <c r="J373" s="50" t="s">
        <v>2128</v>
      </c>
      <c r="K373" s="50" t="s">
        <v>118</v>
      </c>
      <c r="L373" s="50" t="s">
        <v>2181</v>
      </c>
      <c r="M373" s="50">
        <v>370</v>
      </c>
    </row>
    <row r="374" spans="1:13" ht="15.75" x14ac:dyDescent="0.25">
      <c r="A374" s="48">
        <v>371</v>
      </c>
      <c r="B374" s="44" t="s">
        <v>1167</v>
      </c>
      <c r="C374" s="44" t="s">
        <v>1093</v>
      </c>
      <c r="D374" s="49" t="s">
        <v>86</v>
      </c>
      <c r="E374" s="205">
        <v>70.7</v>
      </c>
      <c r="F374" s="44" t="s">
        <v>269</v>
      </c>
      <c r="G374" s="42" t="s">
        <v>1094</v>
      </c>
      <c r="H374" s="44" t="s">
        <v>1201</v>
      </c>
      <c r="I374" s="44" t="s">
        <v>1095</v>
      </c>
      <c r="J374" s="50" t="s">
        <v>2128</v>
      </c>
      <c r="K374" s="50" t="s">
        <v>118</v>
      </c>
      <c r="L374" s="50" t="s">
        <v>2181</v>
      </c>
      <c r="M374" s="50">
        <v>371</v>
      </c>
    </row>
    <row r="375" spans="1:13" ht="15.75" x14ac:dyDescent="0.25">
      <c r="A375" s="48">
        <v>374</v>
      </c>
      <c r="B375" s="44" t="s">
        <v>1401</v>
      </c>
      <c r="C375" s="44" t="s">
        <v>1392</v>
      </c>
      <c r="D375" s="49" t="s">
        <v>264</v>
      </c>
      <c r="E375" s="205">
        <v>19.899999999999999</v>
      </c>
      <c r="F375" s="44" t="s">
        <v>269</v>
      </c>
      <c r="G375" s="42" t="s">
        <v>1393</v>
      </c>
      <c r="H375" s="44" t="s">
        <v>1403</v>
      </c>
      <c r="I375" s="44" t="s">
        <v>1394</v>
      </c>
      <c r="J375" s="50" t="s">
        <v>2168</v>
      </c>
      <c r="K375" s="50" t="s">
        <v>118</v>
      </c>
      <c r="L375" s="50" t="s">
        <v>2181</v>
      </c>
      <c r="M375" s="50">
        <v>374</v>
      </c>
    </row>
    <row r="376" spans="1:13" ht="15.75" x14ac:dyDescent="0.25">
      <c r="A376" s="48">
        <v>375</v>
      </c>
      <c r="B376" s="44" t="s">
        <v>1401</v>
      </c>
      <c r="C376" s="44" t="s">
        <v>1252</v>
      </c>
      <c r="D376" s="49" t="s">
        <v>85</v>
      </c>
      <c r="E376" s="205">
        <v>18.54</v>
      </c>
      <c r="F376" s="44" t="s">
        <v>269</v>
      </c>
      <c r="G376" s="42" t="s">
        <v>1390</v>
      </c>
      <c r="H376" s="44" t="s">
        <v>1404</v>
      </c>
      <c r="I376" s="44" t="s">
        <v>1391</v>
      </c>
      <c r="J376" s="50" t="s">
        <v>2168</v>
      </c>
      <c r="K376" s="50" t="s">
        <v>118</v>
      </c>
      <c r="L376" s="50" t="s">
        <v>2181</v>
      </c>
      <c r="M376" s="50">
        <v>375</v>
      </c>
    </row>
    <row r="377" spans="1:13" ht="15.75" x14ac:dyDescent="0.25">
      <c r="A377" s="48">
        <v>376</v>
      </c>
      <c r="B377" s="44" t="s">
        <v>1401</v>
      </c>
      <c r="C377" s="44" t="s">
        <v>1387</v>
      </c>
      <c r="D377" s="49" t="s">
        <v>85</v>
      </c>
      <c r="E377" s="205">
        <v>24</v>
      </c>
      <c r="F377" s="44" t="s">
        <v>269</v>
      </c>
      <c r="G377" s="42" t="s">
        <v>1388</v>
      </c>
      <c r="H377" s="44" t="s">
        <v>1405</v>
      </c>
      <c r="I377" s="44" t="s">
        <v>1389</v>
      </c>
      <c r="J377" s="50" t="s">
        <v>2168</v>
      </c>
      <c r="K377" s="50" t="s">
        <v>118</v>
      </c>
      <c r="L377" s="50" t="s">
        <v>2181</v>
      </c>
      <c r="M377" s="50">
        <v>376</v>
      </c>
    </row>
    <row r="378" spans="1:13" ht="15.75" x14ac:dyDescent="0.25">
      <c r="A378" s="48">
        <v>377</v>
      </c>
      <c r="B378" s="44" t="s">
        <v>1401</v>
      </c>
      <c r="C378" s="44" t="s">
        <v>1300</v>
      </c>
      <c r="D378" s="49" t="s">
        <v>85</v>
      </c>
      <c r="E378" s="205">
        <v>19.899999999999999</v>
      </c>
      <c r="F378" s="44" t="s">
        <v>269</v>
      </c>
      <c r="G378" s="42" t="s">
        <v>1385</v>
      </c>
      <c r="H378" s="44" t="s">
        <v>1406</v>
      </c>
      <c r="I378" s="44" t="s">
        <v>1386</v>
      </c>
      <c r="J378" s="50" t="s">
        <v>2171</v>
      </c>
      <c r="K378" s="50" t="s">
        <v>118</v>
      </c>
      <c r="L378" s="50" t="s">
        <v>2181</v>
      </c>
      <c r="M378" s="50">
        <v>377</v>
      </c>
    </row>
    <row r="379" spans="1:13" ht="15.75" x14ac:dyDescent="0.25">
      <c r="A379" s="48">
        <v>378</v>
      </c>
      <c r="B379" s="44" t="s">
        <v>1401</v>
      </c>
      <c r="C379" s="44" t="s">
        <v>1229</v>
      </c>
      <c r="D379" s="49" t="s">
        <v>85</v>
      </c>
      <c r="E379" s="205">
        <v>100.88</v>
      </c>
      <c r="F379" s="44" t="s">
        <v>269</v>
      </c>
      <c r="G379" s="42" t="s">
        <v>1383</v>
      </c>
      <c r="H379" s="44" t="s">
        <v>1407</v>
      </c>
      <c r="I379" s="44" t="s">
        <v>1384</v>
      </c>
      <c r="J379" s="50" t="s">
        <v>2168</v>
      </c>
      <c r="K379" s="50" t="s">
        <v>118</v>
      </c>
      <c r="L379" s="50" t="s">
        <v>2181</v>
      </c>
      <c r="M379" s="50">
        <v>378</v>
      </c>
    </row>
    <row r="380" spans="1:13" ht="15.75" x14ac:dyDescent="0.25">
      <c r="A380" s="48">
        <v>379</v>
      </c>
      <c r="B380" s="44" t="s">
        <v>1401</v>
      </c>
      <c r="C380" s="44" t="s">
        <v>1305</v>
      </c>
      <c r="D380" s="49" t="s">
        <v>85</v>
      </c>
      <c r="E380" s="205">
        <v>35.9</v>
      </c>
      <c r="F380" s="44" t="s">
        <v>269</v>
      </c>
      <c r="G380" s="42" t="s">
        <v>1381</v>
      </c>
      <c r="H380" s="44" t="s">
        <v>1408</v>
      </c>
      <c r="I380" s="44" t="s">
        <v>1382</v>
      </c>
      <c r="J380" s="50" t="s">
        <v>2171</v>
      </c>
      <c r="K380" s="50" t="s">
        <v>118</v>
      </c>
      <c r="L380" s="50" t="s">
        <v>2181</v>
      </c>
      <c r="M380" s="50">
        <v>379</v>
      </c>
    </row>
    <row r="381" spans="1:13" ht="15.75" x14ac:dyDescent="0.25">
      <c r="A381" s="48">
        <v>380</v>
      </c>
      <c r="B381" s="44" t="s">
        <v>1401</v>
      </c>
      <c r="C381" s="44" t="s">
        <v>1378</v>
      </c>
      <c r="D381" s="49" t="s">
        <v>85</v>
      </c>
      <c r="E381" s="205">
        <v>22</v>
      </c>
      <c r="F381" s="44" t="s">
        <v>269</v>
      </c>
      <c r="G381" s="42" t="s">
        <v>1379</v>
      </c>
      <c r="H381" s="44" t="s">
        <v>1409</v>
      </c>
      <c r="I381" s="44" t="s">
        <v>1380</v>
      </c>
      <c r="J381" s="50" t="s">
        <v>2168</v>
      </c>
      <c r="K381" s="50" t="s">
        <v>118</v>
      </c>
      <c r="L381" s="50" t="s">
        <v>2181</v>
      </c>
      <c r="M381" s="50">
        <v>380</v>
      </c>
    </row>
    <row r="382" spans="1:13" ht="15.75" x14ac:dyDescent="0.25">
      <c r="A382" s="48">
        <v>381</v>
      </c>
      <c r="B382" s="44" t="s">
        <v>1401</v>
      </c>
      <c r="C382" s="44" t="s">
        <v>1293</v>
      </c>
      <c r="D382" s="49" t="s">
        <v>80</v>
      </c>
      <c r="E382" s="205">
        <v>7.95</v>
      </c>
      <c r="F382" s="44" t="s">
        <v>269</v>
      </c>
      <c r="G382" s="42" t="s">
        <v>1376</v>
      </c>
      <c r="H382" s="44" t="s">
        <v>1410</v>
      </c>
      <c r="I382" s="44" t="s">
        <v>1377</v>
      </c>
      <c r="J382" s="50" t="s">
        <v>2171</v>
      </c>
      <c r="K382" s="50" t="s">
        <v>118</v>
      </c>
      <c r="L382" s="50" t="s">
        <v>2181</v>
      </c>
      <c r="M382" s="50">
        <v>381</v>
      </c>
    </row>
    <row r="383" spans="1:13" ht="15.75" x14ac:dyDescent="0.25">
      <c r="A383" s="48">
        <v>382</v>
      </c>
      <c r="B383" s="44" t="s">
        <v>1401</v>
      </c>
      <c r="C383" s="44" t="s">
        <v>1266</v>
      </c>
      <c r="D383" s="49" t="s">
        <v>80</v>
      </c>
      <c r="E383" s="205">
        <v>211.63</v>
      </c>
      <c r="F383" s="44" t="s">
        <v>269</v>
      </c>
      <c r="G383" s="42" t="s">
        <v>1374</v>
      </c>
      <c r="H383" s="44" t="s">
        <v>1411</v>
      </c>
      <c r="I383" s="44" t="s">
        <v>1375</v>
      </c>
      <c r="J383" s="50" t="s">
        <v>2168</v>
      </c>
      <c r="K383" s="50" t="s">
        <v>118</v>
      </c>
      <c r="L383" s="50" t="s">
        <v>2181</v>
      </c>
      <c r="M383" s="50">
        <v>382</v>
      </c>
    </row>
    <row r="384" spans="1:13" ht="15.75" x14ac:dyDescent="0.25">
      <c r="A384" s="48">
        <v>383</v>
      </c>
      <c r="B384" s="44" t="s">
        <v>1401</v>
      </c>
      <c r="C384" s="44" t="s">
        <v>1371</v>
      </c>
      <c r="D384" s="49" t="s">
        <v>80</v>
      </c>
      <c r="E384" s="205">
        <v>40.24</v>
      </c>
      <c r="F384" s="44" t="s">
        <v>269</v>
      </c>
      <c r="G384" s="42" t="s">
        <v>1372</v>
      </c>
      <c r="H384" s="44" t="s">
        <v>281</v>
      </c>
      <c r="I384" s="44" t="s">
        <v>1373</v>
      </c>
      <c r="J384" s="50" t="s">
        <v>2168</v>
      </c>
      <c r="K384" s="50" t="s">
        <v>118</v>
      </c>
      <c r="L384" s="50" t="s">
        <v>2181</v>
      </c>
      <c r="M384" s="50">
        <v>383</v>
      </c>
    </row>
    <row r="385" spans="1:13" ht="15.75" x14ac:dyDescent="0.25">
      <c r="A385" s="48">
        <v>384</v>
      </c>
      <c r="B385" s="44" t="s">
        <v>1401</v>
      </c>
      <c r="C385" s="44" t="s">
        <v>1300</v>
      </c>
      <c r="D385" s="49" t="s">
        <v>80</v>
      </c>
      <c r="E385" s="205">
        <v>19.899999999999999</v>
      </c>
      <c r="F385" s="44" t="s">
        <v>269</v>
      </c>
      <c r="G385" s="42" t="s">
        <v>1369</v>
      </c>
      <c r="H385" s="44" t="s">
        <v>1412</v>
      </c>
      <c r="I385" s="44" t="s">
        <v>1370</v>
      </c>
      <c r="J385" s="50" t="s">
        <v>2171</v>
      </c>
      <c r="K385" s="50" t="s">
        <v>118</v>
      </c>
      <c r="L385" s="50" t="s">
        <v>2181</v>
      </c>
      <c r="M385" s="50">
        <v>384</v>
      </c>
    </row>
    <row r="386" spans="1:13" ht="15.75" x14ac:dyDescent="0.25">
      <c r="A386" s="48">
        <v>385</v>
      </c>
      <c r="B386" s="44" t="s">
        <v>1401</v>
      </c>
      <c r="C386" s="44" t="s">
        <v>1272</v>
      </c>
      <c r="D386" s="49" t="s">
        <v>80</v>
      </c>
      <c r="E386" s="205">
        <v>35.9</v>
      </c>
      <c r="F386" s="44" t="s">
        <v>269</v>
      </c>
      <c r="G386" s="42" t="s">
        <v>1367</v>
      </c>
      <c r="H386" s="44" t="s">
        <v>1413</v>
      </c>
      <c r="I386" s="44" t="s">
        <v>1368</v>
      </c>
      <c r="J386" s="50" t="s">
        <v>2171</v>
      </c>
      <c r="K386" s="50" t="s">
        <v>118</v>
      </c>
      <c r="L386" s="50" t="s">
        <v>2181</v>
      </c>
      <c r="M386" s="50">
        <v>385</v>
      </c>
    </row>
    <row r="387" spans="1:13" ht="15.75" x14ac:dyDescent="0.25">
      <c r="A387" s="48">
        <v>386</v>
      </c>
      <c r="B387" s="44" t="s">
        <v>1401</v>
      </c>
      <c r="C387" s="44" t="s">
        <v>1364</v>
      </c>
      <c r="D387" s="49" t="s">
        <v>81</v>
      </c>
      <c r="E387" s="205">
        <v>11.12</v>
      </c>
      <c r="F387" s="44" t="s">
        <v>269</v>
      </c>
      <c r="G387" s="42" t="s">
        <v>1365</v>
      </c>
      <c r="H387" s="44" t="s">
        <v>1414</v>
      </c>
      <c r="I387" s="44" t="s">
        <v>1366</v>
      </c>
      <c r="J387" s="50" t="s">
        <v>2168</v>
      </c>
      <c r="K387" s="50" t="s">
        <v>118</v>
      </c>
      <c r="L387" s="50" t="s">
        <v>2181</v>
      </c>
      <c r="M387" s="50">
        <v>386</v>
      </c>
    </row>
    <row r="388" spans="1:13" ht="15.75" x14ac:dyDescent="0.25">
      <c r="A388" s="48">
        <v>387</v>
      </c>
      <c r="B388" s="44" t="s">
        <v>1401</v>
      </c>
      <c r="C388" s="44" t="s">
        <v>1361</v>
      </c>
      <c r="D388" s="49" t="s">
        <v>81</v>
      </c>
      <c r="E388" s="205">
        <v>60.7</v>
      </c>
      <c r="F388" s="44" t="s">
        <v>269</v>
      </c>
      <c r="G388" s="42" t="s">
        <v>1362</v>
      </c>
      <c r="H388" s="44" t="s">
        <v>1415</v>
      </c>
      <c r="I388" s="44" t="s">
        <v>1363</v>
      </c>
      <c r="J388" s="50" t="s">
        <v>2168</v>
      </c>
      <c r="K388" s="50" t="s">
        <v>118</v>
      </c>
      <c r="L388" s="50" t="s">
        <v>2181</v>
      </c>
      <c r="M388" s="50">
        <v>387</v>
      </c>
    </row>
    <row r="389" spans="1:13" ht="15.75" x14ac:dyDescent="0.25">
      <c r="A389" s="48">
        <v>388</v>
      </c>
      <c r="B389" s="44" t="s">
        <v>1401</v>
      </c>
      <c r="C389" s="44" t="s">
        <v>1293</v>
      </c>
      <c r="D389" s="49" t="s">
        <v>81</v>
      </c>
      <c r="E389" s="205">
        <v>7.95</v>
      </c>
      <c r="F389" s="44" t="s">
        <v>269</v>
      </c>
      <c r="G389" s="42" t="s">
        <v>1359</v>
      </c>
      <c r="H389" s="44" t="s">
        <v>1416</v>
      </c>
      <c r="I389" s="44" t="s">
        <v>1360</v>
      </c>
      <c r="J389" s="50" t="s">
        <v>2171</v>
      </c>
      <c r="K389" s="50" t="s">
        <v>118</v>
      </c>
      <c r="L389" s="50" t="s">
        <v>2181</v>
      </c>
      <c r="M389" s="50">
        <v>388</v>
      </c>
    </row>
    <row r="390" spans="1:13" ht="15.75" x14ac:dyDescent="0.25">
      <c r="A390" s="48">
        <v>389</v>
      </c>
      <c r="B390" s="44" t="s">
        <v>1401</v>
      </c>
      <c r="C390" s="44" t="s">
        <v>1252</v>
      </c>
      <c r="D390" s="49" t="s">
        <v>81</v>
      </c>
      <c r="E390" s="205">
        <v>18.54</v>
      </c>
      <c r="F390" s="44" t="s">
        <v>269</v>
      </c>
      <c r="G390" s="42" t="s">
        <v>1357</v>
      </c>
      <c r="H390" s="44" t="s">
        <v>1417</v>
      </c>
      <c r="I390" s="44" t="s">
        <v>1358</v>
      </c>
      <c r="J390" s="50" t="s">
        <v>2168</v>
      </c>
      <c r="K390" s="50" t="s">
        <v>118</v>
      </c>
      <c r="L390" s="50" t="s">
        <v>2181</v>
      </c>
      <c r="M390" s="50">
        <v>389</v>
      </c>
    </row>
    <row r="391" spans="1:13" ht="15.75" x14ac:dyDescent="0.25">
      <c r="A391" s="48">
        <v>390</v>
      </c>
      <c r="B391" s="44" t="s">
        <v>1401</v>
      </c>
      <c r="C391" s="44" t="s">
        <v>1275</v>
      </c>
      <c r="D391" s="49" t="s">
        <v>81</v>
      </c>
      <c r="E391" s="205">
        <v>29.69</v>
      </c>
      <c r="F391" s="44" t="s">
        <v>269</v>
      </c>
      <c r="G391" s="42" t="s">
        <v>1355</v>
      </c>
      <c r="H391" s="44" t="s">
        <v>1417</v>
      </c>
      <c r="I391" s="44" t="s">
        <v>1356</v>
      </c>
      <c r="J391" s="50" t="s">
        <v>2168</v>
      </c>
      <c r="K391" s="50" t="s">
        <v>118</v>
      </c>
      <c r="L391" s="50" t="s">
        <v>2181</v>
      </c>
      <c r="M391" s="50">
        <v>390</v>
      </c>
    </row>
    <row r="392" spans="1:13" ht="15.75" x14ac:dyDescent="0.25">
      <c r="A392" s="48">
        <v>391</v>
      </c>
      <c r="B392" s="44" t="s">
        <v>1401</v>
      </c>
      <c r="C392" s="44" t="s">
        <v>1278</v>
      </c>
      <c r="D392" s="49" t="s">
        <v>81</v>
      </c>
      <c r="E392" s="205">
        <v>20.9</v>
      </c>
      <c r="F392" s="44" t="s">
        <v>269</v>
      </c>
      <c r="G392" s="42" t="s">
        <v>1353</v>
      </c>
      <c r="H392" s="44" t="s">
        <v>1418</v>
      </c>
      <c r="I392" s="44" t="s">
        <v>1354</v>
      </c>
      <c r="J392" s="50" t="s">
        <v>2171</v>
      </c>
      <c r="K392" s="50" t="s">
        <v>118</v>
      </c>
      <c r="L392" s="50" t="s">
        <v>2181</v>
      </c>
      <c r="M392" s="50">
        <v>391</v>
      </c>
    </row>
    <row r="393" spans="1:13" ht="15.75" x14ac:dyDescent="0.25">
      <c r="A393" s="48">
        <v>392</v>
      </c>
      <c r="B393" s="44" t="s">
        <v>1401</v>
      </c>
      <c r="C393" s="44" t="s">
        <v>1350</v>
      </c>
      <c r="D393" s="49" t="s">
        <v>81</v>
      </c>
      <c r="E393" s="205">
        <v>196.52</v>
      </c>
      <c r="F393" s="44" t="s">
        <v>269</v>
      </c>
      <c r="G393" s="42" t="s">
        <v>1351</v>
      </c>
      <c r="H393" s="44" t="s">
        <v>1419</v>
      </c>
      <c r="I393" s="44" t="s">
        <v>1352</v>
      </c>
      <c r="J393" s="50" t="s">
        <v>2168</v>
      </c>
      <c r="K393" s="50" t="s">
        <v>118</v>
      </c>
      <c r="L393" s="50" t="s">
        <v>2181</v>
      </c>
      <c r="M393" s="50">
        <v>392</v>
      </c>
    </row>
    <row r="394" spans="1:13" ht="15.75" x14ac:dyDescent="0.25">
      <c r="A394" s="48">
        <v>393</v>
      </c>
      <c r="B394" s="44" t="s">
        <v>1401</v>
      </c>
      <c r="C394" s="44" t="s">
        <v>1300</v>
      </c>
      <c r="D394" s="49" t="s">
        <v>81</v>
      </c>
      <c r="E394" s="205">
        <v>19.899999999999999</v>
      </c>
      <c r="F394" s="44" t="s">
        <v>269</v>
      </c>
      <c r="G394" s="42" t="s">
        <v>1348</v>
      </c>
      <c r="H394" s="44" t="s">
        <v>1420</v>
      </c>
      <c r="I394" s="44" t="s">
        <v>1349</v>
      </c>
      <c r="J394" s="50" t="s">
        <v>2171</v>
      </c>
      <c r="K394" s="50" t="s">
        <v>118</v>
      </c>
      <c r="L394" s="50" t="s">
        <v>2181</v>
      </c>
      <c r="M394" s="50">
        <v>393</v>
      </c>
    </row>
    <row r="395" spans="1:13" ht="15.75" x14ac:dyDescent="0.25">
      <c r="A395" s="48">
        <v>394</v>
      </c>
      <c r="B395" s="44" t="s">
        <v>1401</v>
      </c>
      <c r="C395" s="44" t="s">
        <v>1345</v>
      </c>
      <c r="D395" s="49" t="s">
        <v>81</v>
      </c>
      <c r="E395" s="205">
        <v>35.9</v>
      </c>
      <c r="F395" s="44" t="s">
        <v>269</v>
      </c>
      <c r="G395" s="42" t="s">
        <v>1346</v>
      </c>
      <c r="H395" s="44" t="s">
        <v>1421</v>
      </c>
      <c r="I395" s="44" t="s">
        <v>1347</v>
      </c>
      <c r="J395" s="50" t="s">
        <v>2171</v>
      </c>
      <c r="K395" s="50" t="s">
        <v>118</v>
      </c>
      <c r="L395" s="50" t="s">
        <v>2181</v>
      </c>
      <c r="M395" s="50">
        <v>394</v>
      </c>
    </row>
    <row r="396" spans="1:13" ht="15.75" x14ac:dyDescent="0.25">
      <c r="A396" s="48">
        <v>395</v>
      </c>
      <c r="B396" s="44" t="s">
        <v>1401</v>
      </c>
      <c r="C396" s="44" t="s">
        <v>1342</v>
      </c>
      <c r="D396" s="49" t="s">
        <v>82</v>
      </c>
      <c r="E396" s="205">
        <v>35.99</v>
      </c>
      <c r="F396" s="44" t="s">
        <v>269</v>
      </c>
      <c r="G396" s="42" t="s">
        <v>1343</v>
      </c>
      <c r="H396" s="44" t="s">
        <v>1422</v>
      </c>
      <c r="I396" s="44" t="s">
        <v>1344</v>
      </c>
      <c r="J396" s="50" t="s">
        <v>2168</v>
      </c>
      <c r="K396" s="50" t="s">
        <v>118</v>
      </c>
      <c r="L396" s="50" t="s">
        <v>2181</v>
      </c>
      <c r="M396" s="50">
        <v>395</v>
      </c>
    </row>
    <row r="397" spans="1:13" ht="15.75" x14ac:dyDescent="0.25">
      <c r="A397" s="48">
        <v>396</v>
      </c>
      <c r="B397" s="44" t="s">
        <v>1401</v>
      </c>
      <c r="C397" s="44" t="s">
        <v>1293</v>
      </c>
      <c r="D397" s="49" t="s">
        <v>82</v>
      </c>
      <c r="E397" s="205">
        <v>7.95</v>
      </c>
      <c r="F397" s="44" t="s">
        <v>269</v>
      </c>
      <c r="G397" s="42" t="s">
        <v>1340</v>
      </c>
      <c r="H397" s="44" t="s">
        <v>1423</v>
      </c>
      <c r="I397" s="44" t="s">
        <v>1341</v>
      </c>
      <c r="J397" s="50" t="s">
        <v>2171</v>
      </c>
      <c r="K397" s="50" t="s">
        <v>118</v>
      </c>
      <c r="L397" s="50" t="s">
        <v>2181</v>
      </c>
      <c r="M397" s="50">
        <v>396</v>
      </c>
    </row>
    <row r="398" spans="1:13" ht="15.75" x14ac:dyDescent="0.25">
      <c r="A398" s="48">
        <v>397</v>
      </c>
      <c r="B398" s="44" t="s">
        <v>1401</v>
      </c>
      <c r="C398" s="44" t="s">
        <v>1317</v>
      </c>
      <c r="D398" s="49" t="s">
        <v>82</v>
      </c>
      <c r="E398" s="205">
        <v>20.9</v>
      </c>
      <c r="F398" s="44" t="s">
        <v>269</v>
      </c>
      <c r="G398" s="42" t="s">
        <v>1338</v>
      </c>
      <c r="H398" s="44" t="s">
        <v>1424</v>
      </c>
      <c r="I398" s="44" t="s">
        <v>1339</v>
      </c>
      <c r="J398" s="50" t="s">
        <v>2171</v>
      </c>
      <c r="K398" s="50" t="s">
        <v>118</v>
      </c>
      <c r="L398" s="50" t="s">
        <v>2181</v>
      </c>
      <c r="M398" s="50">
        <v>397</v>
      </c>
    </row>
    <row r="399" spans="1:13" ht="15.75" x14ac:dyDescent="0.25">
      <c r="A399" s="48">
        <v>398</v>
      </c>
      <c r="B399" s="44" t="s">
        <v>1401</v>
      </c>
      <c r="C399" s="44" t="s">
        <v>1335</v>
      </c>
      <c r="D399" s="49" t="s">
        <v>82</v>
      </c>
      <c r="E399" s="205">
        <v>35.9</v>
      </c>
      <c r="F399" s="44" t="s">
        <v>269</v>
      </c>
      <c r="G399" s="42" t="s">
        <v>1336</v>
      </c>
      <c r="H399" s="44" t="s">
        <v>1425</v>
      </c>
      <c r="I399" s="44" t="s">
        <v>1337</v>
      </c>
      <c r="J399" s="50" t="s">
        <v>2171</v>
      </c>
      <c r="K399" s="50" t="s">
        <v>118</v>
      </c>
      <c r="L399" s="50" t="s">
        <v>2181</v>
      </c>
      <c r="M399" s="50">
        <v>398</v>
      </c>
    </row>
    <row r="400" spans="1:13" ht="15.75" x14ac:dyDescent="0.25">
      <c r="A400" s="48">
        <v>399</v>
      </c>
      <c r="B400" s="44" t="s">
        <v>1401</v>
      </c>
      <c r="C400" s="44" t="s">
        <v>1275</v>
      </c>
      <c r="D400" s="49" t="s">
        <v>82</v>
      </c>
      <c r="E400" s="205">
        <v>18.739999999999998</v>
      </c>
      <c r="F400" s="44" t="s">
        <v>269</v>
      </c>
      <c r="G400" s="42" t="s">
        <v>1333</v>
      </c>
      <c r="H400" s="44" t="s">
        <v>1426</v>
      </c>
      <c r="I400" s="44" t="s">
        <v>1334</v>
      </c>
      <c r="J400" s="50" t="s">
        <v>2168</v>
      </c>
      <c r="K400" s="50" t="s">
        <v>118</v>
      </c>
      <c r="L400" s="50" t="s">
        <v>2181</v>
      </c>
      <c r="M400" s="50">
        <v>399</v>
      </c>
    </row>
    <row r="401" spans="1:13" ht="15.75" x14ac:dyDescent="0.25">
      <c r="A401" s="48">
        <v>400</v>
      </c>
      <c r="B401" s="44" t="s">
        <v>1401</v>
      </c>
      <c r="C401" s="44" t="s">
        <v>1330</v>
      </c>
      <c r="D401" s="49" t="s">
        <v>83</v>
      </c>
      <c r="E401" s="205">
        <v>32.369999999999997</v>
      </c>
      <c r="F401" s="44" t="s">
        <v>269</v>
      </c>
      <c r="G401" s="42" t="s">
        <v>1331</v>
      </c>
      <c r="H401" s="44" t="s">
        <v>1427</v>
      </c>
      <c r="I401" s="44" t="s">
        <v>1332</v>
      </c>
      <c r="J401" s="50" t="s">
        <v>2168</v>
      </c>
      <c r="K401" s="50" t="s">
        <v>118</v>
      </c>
      <c r="L401" s="50" t="s">
        <v>2181</v>
      </c>
      <c r="M401" s="50">
        <v>400</v>
      </c>
    </row>
    <row r="402" spans="1:13" ht="15.75" x14ac:dyDescent="0.25">
      <c r="A402" s="48">
        <v>401</v>
      </c>
      <c r="B402" s="44" t="s">
        <v>1401</v>
      </c>
      <c r="C402" s="44" t="s">
        <v>1218</v>
      </c>
      <c r="D402" s="49" t="s">
        <v>83</v>
      </c>
      <c r="E402" s="205">
        <v>78.400000000000006</v>
      </c>
      <c r="F402" s="44" t="s">
        <v>269</v>
      </c>
      <c r="G402" s="42" t="s">
        <v>1328</v>
      </c>
      <c r="H402" s="44" t="s">
        <v>1427</v>
      </c>
      <c r="I402" s="44" t="s">
        <v>1329</v>
      </c>
      <c r="J402" s="50" t="s">
        <v>2168</v>
      </c>
      <c r="K402" s="50" t="s">
        <v>118</v>
      </c>
      <c r="L402" s="50" t="s">
        <v>2181</v>
      </c>
      <c r="M402" s="50">
        <v>401</v>
      </c>
    </row>
    <row r="403" spans="1:13" ht="15.75" x14ac:dyDescent="0.25">
      <c r="A403" s="48">
        <v>402</v>
      </c>
      <c r="B403" s="44" t="s">
        <v>1401</v>
      </c>
      <c r="C403" s="44" t="s">
        <v>1293</v>
      </c>
      <c r="D403" s="49" t="s">
        <v>83</v>
      </c>
      <c r="E403" s="205">
        <v>7.95</v>
      </c>
      <c r="F403" s="44" t="s">
        <v>269</v>
      </c>
      <c r="G403" s="42" t="s">
        <v>1326</v>
      </c>
      <c r="H403" s="44" t="s">
        <v>1428</v>
      </c>
      <c r="I403" s="44" t="s">
        <v>1327</v>
      </c>
      <c r="J403" s="50" t="s">
        <v>2171</v>
      </c>
      <c r="K403" s="50" t="s">
        <v>118</v>
      </c>
      <c r="L403" s="50" t="s">
        <v>2181</v>
      </c>
      <c r="M403" s="50">
        <v>402</v>
      </c>
    </row>
    <row r="404" spans="1:13" ht="15.75" x14ac:dyDescent="0.25">
      <c r="A404" s="48">
        <v>403</v>
      </c>
      <c r="B404" s="44" t="s">
        <v>1401</v>
      </c>
      <c r="C404" s="44" t="s">
        <v>1323</v>
      </c>
      <c r="D404" s="49" t="s">
        <v>83</v>
      </c>
      <c r="E404" s="205">
        <v>10</v>
      </c>
      <c r="F404" s="44" t="s">
        <v>269</v>
      </c>
      <c r="G404" s="42" t="s">
        <v>1324</v>
      </c>
      <c r="H404" s="44" t="s">
        <v>1429</v>
      </c>
      <c r="I404" s="44" t="s">
        <v>1325</v>
      </c>
      <c r="J404" s="50" t="s">
        <v>2168</v>
      </c>
      <c r="K404" s="50" t="s">
        <v>118</v>
      </c>
      <c r="L404" s="50" t="s">
        <v>2181</v>
      </c>
      <c r="M404" s="50">
        <v>403</v>
      </c>
    </row>
    <row r="405" spans="1:13" ht="15.75" x14ac:dyDescent="0.25">
      <c r="A405" s="48">
        <v>404</v>
      </c>
      <c r="B405" s="44" t="s">
        <v>1401</v>
      </c>
      <c r="C405" s="44" t="s">
        <v>1320</v>
      </c>
      <c r="D405" s="49" t="s">
        <v>83</v>
      </c>
      <c r="E405" s="205">
        <v>29.9</v>
      </c>
      <c r="F405" s="44" t="s">
        <v>269</v>
      </c>
      <c r="G405" s="42" t="s">
        <v>1321</v>
      </c>
      <c r="H405" s="44" t="s">
        <v>1430</v>
      </c>
      <c r="I405" s="44" t="s">
        <v>1322</v>
      </c>
      <c r="J405" s="50" t="s">
        <v>2168</v>
      </c>
      <c r="K405" s="50" t="s">
        <v>118</v>
      </c>
      <c r="L405" s="50" t="s">
        <v>2181</v>
      </c>
      <c r="M405" s="50">
        <v>404</v>
      </c>
    </row>
    <row r="406" spans="1:13" ht="15.75" x14ac:dyDescent="0.25">
      <c r="A406" s="48">
        <v>405</v>
      </c>
      <c r="B406" s="44" t="s">
        <v>1401</v>
      </c>
      <c r="C406" s="44" t="s">
        <v>1317</v>
      </c>
      <c r="D406" s="49" t="s">
        <v>83</v>
      </c>
      <c r="E406" s="205">
        <v>20.9</v>
      </c>
      <c r="F406" s="44" t="s">
        <v>269</v>
      </c>
      <c r="G406" s="42" t="s">
        <v>1318</v>
      </c>
      <c r="H406" s="44" t="s">
        <v>1431</v>
      </c>
      <c r="I406" s="44" t="s">
        <v>1319</v>
      </c>
      <c r="J406" s="50" t="s">
        <v>2171</v>
      </c>
      <c r="K406" s="50" t="s">
        <v>118</v>
      </c>
      <c r="L406" s="50" t="s">
        <v>2181</v>
      </c>
      <c r="M406" s="50">
        <v>405</v>
      </c>
    </row>
    <row r="407" spans="1:13" ht="15.75" x14ac:dyDescent="0.25">
      <c r="A407" s="48">
        <v>406</v>
      </c>
      <c r="B407" s="44" t="s">
        <v>1401</v>
      </c>
      <c r="C407" s="44" t="s">
        <v>1314</v>
      </c>
      <c r="D407" s="49" t="s">
        <v>83</v>
      </c>
      <c r="E407" s="205">
        <v>105.9</v>
      </c>
      <c r="F407" s="44" t="s">
        <v>269</v>
      </c>
      <c r="G407" s="42" t="s">
        <v>1315</v>
      </c>
      <c r="H407" s="44" t="s">
        <v>301</v>
      </c>
      <c r="I407" s="44" t="s">
        <v>1316</v>
      </c>
      <c r="J407" s="50" t="s">
        <v>2168</v>
      </c>
      <c r="K407" s="50" t="s">
        <v>118</v>
      </c>
      <c r="L407" s="50" t="s">
        <v>2181</v>
      </c>
      <c r="M407" s="50">
        <v>406</v>
      </c>
    </row>
    <row r="408" spans="1:13" ht="15.75" x14ac:dyDescent="0.25">
      <c r="A408" s="48">
        <v>407</v>
      </c>
      <c r="B408" s="44" t="s">
        <v>1401</v>
      </c>
      <c r="C408" s="44" t="s">
        <v>1311</v>
      </c>
      <c r="D408" s="49" t="s">
        <v>83</v>
      </c>
      <c r="E408" s="205">
        <v>42.5</v>
      </c>
      <c r="F408" s="44" t="s">
        <v>269</v>
      </c>
      <c r="G408" s="42" t="s">
        <v>1312</v>
      </c>
      <c r="H408" s="44" t="s">
        <v>303</v>
      </c>
      <c r="I408" s="44" t="s">
        <v>1313</v>
      </c>
      <c r="J408" s="50" t="s">
        <v>2168</v>
      </c>
      <c r="K408" s="50" t="s">
        <v>118</v>
      </c>
      <c r="L408" s="50" t="s">
        <v>2181</v>
      </c>
      <c r="M408" s="50">
        <v>407</v>
      </c>
    </row>
    <row r="409" spans="1:13" ht="15.75" x14ac:dyDescent="0.25">
      <c r="A409" s="48">
        <v>408</v>
      </c>
      <c r="B409" s="44" t="s">
        <v>1401</v>
      </c>
      <c r="C409" s="44" t="s">
        <v>1308</v>
      </c>
      <c r="D409" s="49" t="s">
        <v>83</v>
      </c>
      <c r="E409" s="205">
        <v>108.69</v>
      </c>
      <c r="F409" s="44" t="s">
        <v>269</v>
      </c>
      <c r="G409" s="42" t="s">
        <v>1309</v>
      </c>
      <c r="H409" s="44" t="s">
        <v>304</v>
      </c>
      <c r="I409" s="44" t="s">
        <v>1310</v>
      </c>
      <c r="J409" s="50" t="s">
        <v>2168</v>
      </c>
      <c r="K409" s="50" t="s">
        <v>118</v>
      </c>
      <c r="L409" s="50" t="s">
        <v>2181</v>
      </c>
      <c r="M409" s="50">
        <v>408</v>
      </c>
    </row>
    <row r="410" spans="1:13" ht="15.75" x14ac:dyDescent="0.25">
      <c r="A410" s="48">
        <v>409</v>
      </c>
      <c r="B410" s="44" t="s">
        <v>1401</v>
      </c>
      <c r="C410" s="44" t="s">
        <v>1305</v>
      </c>
      <c r="D410" s="49" t="s">
        <v>83</v>
      </c>
      <c r="E410" s="205">
        <v>35.9</v>
      </c>
      <c r="F410" s="44" t="s">
        <v>269</v>
      </c>
      <c r="G410" s="42" t="s">
        <v>1306</v>
      </c>
      <c r="H410" s="44" t="s">
        <v>1432</v>
      </c>
      <c r="I410" s="44" t="s">
        <v>1307</v>
      </c>
      <c r="J410" s="50" t="s">
        <v>2171</v>
      </c>
      <c r="K410" s="50" t="s">
        <v>118</v>
      </c>
      <c r="L410" s="50" t="s">
        <v>2181</v>
      </c>
      <c r="M410" s="50">
        <v>409</v>
      </c>
    </row>
    <row r="411" spans="1:13" ht="15.75" x14ac:dyDescent="0.25">
      <c r="A411" s="48">
        <v>410</v>
      </c>
      <c r="B411" s="44" t="s">
        <v>1401</v>
      </c>
      <c r="C411" s="44" t="s">
        <v>1232</v>
      </c>
      <c r="D411" s="49" t="s">
        <v>83</v>
      </c>
      <c r="E411" s="205">
        <v>22.25</v>
      </c>
      <c r="F411" s="44" t="s">
        <v>269</v>
      </c>
      <c r="G411" s="42" t="s">
        <v>1303</v>
      </c>
      <c r="H411" s="44" t="s">
        <v>1433</v>
      </c>
      <c r="I411" s="44" t="s">
        <v>1304</v>
      </c>
      <c r="J411" s="50" t="s">
        <v>2168</v>
      </c>
      <c r="K411" s="50" t="s">
        <v>118</v>
      </c>
      <c r="L411" s="50" t="s">
        <v>2181</v>
      </c>
      <c r="M411" s="50">
        <v>410</v>
      </c>
    </row>
    <row r="412" spans="1:13" ht="15.75" x14ac:dyDescent="0.25">
      <c r="A412" s="48">
        <v>411</v>
      </c>
      <c r="B412" s="44" t="s">
        <v>1401</v>
      </c>
      <c r="C412" s="44" t="s">
        <v>1300</v>
      </c>
      <c r="D412" s="49" t="s">
        <v>83</v>
      </c>
      <c r="E412" s="205">
        <v>19.899999999999999</v>
      </c>
      <c r="F412" s="44" t="s">
        <v>269</v>
      </c>
      <c r="G412" s="42" t="s">
        <v>1301</v>
      </c>
      <c r="H412" s="44" t="s">
        <v>1434</v>
      </c>
      <c r="I412" s="44" t="s">
        <v>1302</v>
      </c>
      <c r="J412" s="50" t="s">
        <v>2171</v>
      </c>
      <c r="K412" s="50" t="s">
        <v>118</v>
      </c>
      <c r="L412" s="50" t="s">
        <v>2181</v>
      </c>
      <c r="M412" s="50">
        <v>411</v>
      </c>
    </row>
    <row r="413" spans="1:13" ht="15.75" x14ac:dyDescent="0.25">
      <c r="A413" s="48">
        <v>412</v>
      </c>
      <c r="B413" s="44" t="s">
        <v>1401</v>
      </c>
      <c r="C413" s="44" t="s">
        <v>1218</v>
      </c>
      <c r="D413" s="49" t="s">
        <v>84</v>
      </c>
      <c r="E413" s="205">
        <v>17.97</v>
      </c>
      <c r="F413" s="44" t="s">
        <v>269</v>
      </c>
      <c r="G413" s="42" t="s">
        <v>1298</v>
      </c>
      <c r="H413" s="44" t="s">
        <v>305</v>
      </c>
      <c r="I413" s="44" t="s">
        <v>1299</v>
      </c>
      <c r="J413" s="50" t="s">
        <v>2168</v>
      </c>
      <c r="K413" s="50" t="s">
        <v>118</v>
      </c>
      <c r="L413" s="50" t="s">
        <v>2181</v>
      </c>
      <c r="M413" s="50">
        <v>412</v>
      </c>
    </row>
    <row r="414" spans="1:13" ht="15.75" x14ac:dyDescent="0.25">
      <c r="A414" s="48">
        <v>413</v>
      </c>
      <c r="B414" s="44" t="s">
        <v>1401</v>
      </c>
      <c r="C414" s="44" t="s">
        <v>1252</v>
      </c>
      <c r="D414" s="49" t="s">
        <v>84</v>
      </c>
      <c r="E414" s="205">
        <v>38.36</v>
      </c>
      <c r="F414" s="44" t="s">
        <v>269</v>
      </c>
      <c r="G414" s="42" t="s">
        <v>1296</v>
      </c>
      <c r="H414" s="44" t="s">
        <v>1435</v>
      </c>
      <c r="I414" s="44" t="s">
        <v>1297</v>
      </c>
      <c r="J414" s="50" t="s">
        <v>2168</v>
      </c>
      <c r="K414" s="50" t="s">
        <v>118</v>
      </c>
      <c r="L414" s="50" t="s">
        <v>2181</v>
      </c>
      <c r="M414" s="50">
        <v>413</v>
      </c>
    </row>
    <row r="415" spans="1:13" ht="15.75" x14ac:dyDescent="0.25">
      <c r="A415" s="48">
        <v>414</v>
      </c>
      <c r="B415" s="44" t="s">
        <v>1401</v>
      </c>
      <c r="C415" s="44" t="s">
        <v>1293</v>
      </c>
      <c r="D415" s="49" t="s">
        <v>84</v>
      </c>
      <c r="E415" s="205">
        <v>7.95</v>
      </c>
      <c r="F415" s="44" t="s">
        <v>269</v>
      </c>
      <c r="G415" s="42" t="s">
        <v>1294</v>
      </c>
      <c r="H415" s="44" t="s">
        <v>1436</v>
      </c>
      <c r="I415" s="44" t="s">
        <v>1295</v>
      </c>
      <c r="J415" s="50" t="s">
        <v>2171</v>
      </c>
      <c r="K415" s="50" t="s">
        <v>118</v>
      </c>
      <c r="L415" s="50" t="s">
        <v>2181</v>
      </c>
      <c r="M415" s="50">
        <v>414</v>
      </c>
    </row>
    <row r="416" spans="1:13" ht="15.75" x14ac:dyDescent="0.25">
      <c r="A416" s="48">
        <v>415</v>
      </c>
      <c r="B416" s="44" t="s">
        <v>1401</v>
      </c>
      <c r="C416" s="44" t="s">
        <v>1290</v>
      </c>
      <c r="D416" s="49" t="s">
        <v>84</v>
      </c>
      <c r="E416" s="205">
        <v>113.93</v>
      </c>
      <c r="F416" s="44" t="s">
        <v>269</v>
      </c>
      <c r="G416" s="42" t="s">
        <v>1291</v>
      </c>
      <c r="H416" s="44" t="s">
        <v>1436</v>
      </c>
      <c r="I416" s="44" t="s">
        <v>1292</v>
      </c>
      <c r="J416" s="50" t="s">
        <v>2168</v>
      </c>
      <c r="K416" s="50" t="s">
        <v>118</v>
      </c>
      <c r="L416" s="50" t="s">
        <v>2181</v>
      </c>
      <c r="M416" s="50">
        <v>415</v>
      </c>
    </row>
    <row r="417" spans="1:13" ht="15.75" x14ac:dyDescent="0.25">
      <c r="A417" s="48">
        <v>416</v>
      </c>
      <c r="B417" s="44" t="s">
        <v>1401</v>
      </c>
      <c r="C417" s="44" t="s">
        <v>1287</v>
      </c>
      <c r="D417" s="49" t="s">
        <v>84</v>
      </c>
      <c r="E417" s="205">
        <v>54.9</v>
      </c>
      <c r="F417" s="44" t="s">
        <v>269</v>
      </c>
      <c r="G417" s="42" t="s">
        <v>1288</v>
      </c>
      <c r="H417" s="44" t="s">
        <v>1437</v>
      </c>
      <c r="I417" s="44" t="s">
        <v>1289</v>
      </c>
      <c r="J417" s="50" t="s">
        <v>2168</v>
      </c>
      <c r="K417" s="50" t="s">
        <v>118</v>
      </c>
      <c r="L417" s="50" t="s">
        <v>2181</v>
      </c>
      <c r="M417" s="50">
        <v>416</v>
      </c>
    </row>
    <row r="418" spans="1:13" ht="15.75" x14ac:dyDescent="0.25">
      <c r="A418" s="48">
        <v>417</v>
      </c>
      <c r="B418" s="44" t="s">
        <v>1401</v>
      </c>
      <c r="C418" s="44" t="s">
        <v>1284</v>
      </c>
      <c r="D418" s="49" t="s">
        <v>84</v>
      </c>
      <c r="E418" s="205">
        <v>74.75</v>
      </c>
      <c r="F418" s="44" t="s">
        <v>269</v>
      </c>
      <c r="G418" s="42" t="s">
        <v>1285</v>
      </c>
      <c r="H418" s="44" t="s">
        <v>1438</v>
      </c>
      <c r="I418" s="44" t="s">
        <v>1286</v>
      </c>
      <c r="J418" s="50" t="s">
        <v>2168</v>
      </c>
      <c r="K418" s="50" t="s">
        <v>118</v>
      </c>
      <c r="L418" s="50" t="s">
        <v>2181</v>
      </c>
      <c r="M418" s="50">
        <v>417</v>
      </c>
    </row>
    <row r="419" spans="1:13" ht="15.75" x14ac:dyDescent="0.25">
      <c r="A419" s="48">
        <v>418</v>
      </c>
      <c r="B419" s="44" t="s">
        <v>1401</v>
      </c>
      <c r="C419" s="44" t="s">
        <v>1281</v>
      </c>
      <c r="D419" s="49" t="s">
        <v>84</v>
      </c>
      <c r="E419" s="205">
        <v>20.420000000000002</v>
      </c>
      <c r="F419" s="44" t="s">
        <v>269</v>
      </c>
      <c r="G419" s="42" t="s">
        <v>1282</v>
      </c>
      <c r="H419" s="44" t="s">
        <v>308</v>
      </c>
      <c r="I419" s="44" t="s">
        <v>1283</v>
      </c>
      <c r="J419" s="50" t="s">
        <v>2168</v>
      </c>
      <c r="K419" s="50" t="s">
        <v>118</v>
      </c>
      <c r="L419" s="50" t="s">
        <v>2181</v>
      </c>
      <c r="M419" s="50">
        <v>418</v>
      </c>
    </row>
    <row r="420" spans="1:13" ht="15.75" x14ac:dyDescent="0.25">
      <c r="A420" s="48">
        <v>419</v>
      </c>
      <c r="B420" s="44" t="s">
        <v>1401</v>
      </c>
      <c r="C420" s="44" t="s">
        <v>1278</v>
      </c>
      <c r="D420" s="49" t="s">
        <v>84</v>
      </c>
      <c r="E420" s="205">
        <v>20.9</v>
      </c>
      <c r="F420" s="44" t="s">
        <v>269</v>
      </c>
      <c r="G420" s="42" t="s">
        <v>1279</v>
      </c>
      <c r="H420" s="44" t="s">
        <v>1439</v>
      </c>
      <c r="I420" s="44" t="s">
        <v>1280</v>
      </c>
      <c r="J420" s="50" t="s">
        <v>2171</v>
      </c>
      <c r="K420" s="50" t="s">
        <v>118</v>
      </c>
      <c r="L420" s="50" t="s">
        <v>2181</v>
      </c>
      <c r="M420" s="50">
        <v>419</v>
      </c>
    </row>
    <row r="421" spans="1:13" ht="15.75" x14ac:dyDescent="0.25">
      <c r="A421" s="48">
        <v>420</v>
      </c>
      <c r="B421" s="44" t="s">
        <v>1401</v>
      </c>
      <c r="C421" s="44" t="s">
        <v>1275</v>
      </c>
      <c r="D421" s="49" t="s">
        <v>84</v>
      </c>
      <c r="E421" s="205">
        <v>9.5500000000000007</v>
      </c>
      <c r="F421" s="44" t="s">
        <v>269</v>
      </c>
      <c r="G421" s="42" t="s">
        <v>1276</v>
      </c>
      <c r="H421" s="44" t="s">
        <v>1440</v>
      </c>
      <c r="I421" s="44" t="s">
        <v>1277</v>
      </c>
      <c r="J421" s="50" t="s">
        <v>2168</v>
      </c>
      <c r="K421" s="50" t="s">
        <v>118</v>
      </c>
      <c r="L421" s="50" t="s">
        <v>2181</v>
      </c>
      <c r="M421" s="50">
        <v>420</v>
      </c>
    </row>
    <row r="422" spans="1:13" ht="15.75" x14ac:dyDescent="0.25">
      <c r="A422" s="48">
        <v>421</v>
      </c>
      <c r="B422" s="44" t="s">
        <v>1401</v>
      </c>
      <c r="C422" s="44" t="s">
        <v>1272</v>
      </c>
      <c r="D422" s="49" t="s">
        <v>84</v>
      </c>
      <c r="E422" s="205">
        <v>35.9</v>
      </c>
      <c r="F422" s="44" t="s">
        <v>269</v>
      </c>
      <c r="G422" s="42" t="s">
        <v>1273</v>
      </c>
      <c r="H422" s="44" t="s">
        <v>1441</v>
      </c>
      <c r="I422" s="44" t="s">
        <v>1274</v>
      </c>
      <c r="J422" s="50" t="s">
        <v>2171</v>
      </c>
      <c r="K422" s="50" t="s">
        <v>118</v>
      </c>
      <c r="L422" s="50" t="s">
        <v>2181</v>
      </c>
      <c r="M422" s="50">
        <v>421</v>
      </c>
    </row>
    <row r="423" spans="1:13" ht="15.75" x14ac:dyDescent="0.25">
      <c r="A423" s="48">
        <v>422</v>
      </c>
      <c r="B423" s="44" t="s">
        <v>1401</v>
      </c>
      <c r="C423" s="44" t="s">
        <v>1269</v>
      </c>
      <c r="D423" s="49" t="s">
        <v>84</v>
      </c>
      <c r="E423" s="205">
        <v>35.799999999999997</v>
      </c>
      <c r="F423" s="44" t="s">
        <v>269</v>
      </c>
      <c r="G423" s="42" t="s">
        <v>1270</v>
      </c>
      <c r="H423" s="44" t="s">
        <v>371</v>
      </c>
      <c r="I423" s="44" t="s">
        <v>1271</v>
      </c>
      <c r="J423" s="50" t="s">
        <v>2168</v>
      </c>
      <c r="K423" s="50" t="s">
        <v>118</v>
      </c>
      <c r="L423" s="50" t="s">
        <v>2181</v>
      </c>
      <c r="M423" s="50">
        <v>422</v>
      </c>
    </row>
    <row r="424" spans="1:13" ht="15.75" x14ac:dyDescent="0.25">
      <c r="A424" s="48">
        <v>423</v>
      </c>
      <c r="B424" s="44" t="s">
        <v>1401</v>
      </c>
      <c r="C424" s="44" t="s">
        <v>1266</v>
      </c>
      <c r="D424" s="49" t="s">
        <v>146</v>
      </c>
      <c r="E424" s="205">
        <v>24.24</v>
      </c>
      <c r="F424" s="44" t="s">
        <v>269</v>
      </c>
      <c r="G424" s="42" t="s">
        <v>1267</v>
      </c>
      <c r="H424" s="44" t="s">
        <v>1442</v>
      </c>
      <c r="I424" s="44" t="s">
        <v>1268</v>
      </c>
      <c r="J424" s="50" t="s">
        <v>2168</v>
      </c>
      <c r="K424" s="50" t="s">
        <v>118</v>
      </c>
      <c r="L424" s="50" t="s">
        <v>2181</v>
      </c>
      <c r="M424" s="50">
        <v>423</v>
      </c>
    </row>
    <row r="425" spans="1:13" ht="15.75" x14ac:dyDescent="0.25">
      <c r="A425" s="48">
        <v>424</v>
      </c>
      <c r="B425" s="44" t="s">
        <v>1401</v>
      </c>
      <c r="C425" s="44" t="s">
        <v>1263</v>
      </c>
      <c r="D425" s="49" t="s">
        <v>146</v>
      </c>
      <c r="E425" s="205">
        <v>18.32</v>
      </c>
      <c r="F425" s="44" t="s">
        <v>269</v>
      </c>
      <c r="G425" s="42" t="s">
        <v>1264</v>
      </c>
      <c r="H425" s="44" t="s">
        <v>1443</v>
      </c>
      <c r="I425" s="44" t="s">
        <v>1265</v>
      </c>
      <c r="J425" s="50" t="s">
        <v>2168</v>
      </c>
      <c r="K425" s="50" t="s">
        <v>118</v>
      </c>
      <c r="L425" s="50" t="s">
        <v>2181</v>
      </c>
      <c r="M425" s="50">
        <v>424</v>
      </c>
    </row>
    <row r="426" spans="1:13" ht="15.75" x14ac:dyDescent="0.25">
      <c r="A426" s="48">
        <v>425</v>
      </c>
      <c r="B426" s="44" t="s">
        <v>1401</v>
      </c>
      <c r="C426" s="44" t="s">
        <v>1229</v>
      </c>
      <c r="D426" s="49" t="s">
        <v>146</v>
      </c>
      <c r="E426" s="205">
        <v>40.950000000000003</v>
      </c>
      <c r="F426" s="44" t="s">
        <v>269</v>
      </c>
      <c r="G426" s="42" t="s">
        <v>1261</v>
      </c>
      <c r="H426" s="44" t="s">
        <v>1444</v>
      </c>
      <c r="I426" s="44" t="s">
        <v>1262</v>
      </c>
      <c r="J426" s="50" t="s">
        <v>2168</v>
      </c>
      <c r="K426" s="50" t="s">
        <v>118</v>
      </c>
      <c r="L426" s="50" t="s">
        <v>2181</v>
      </c>
      <c r="M426" s="50">
        <v>425</v>
      </c>
    </row>
    <row r="427" spans="1:13" ht="15.75" x14ac:dyDescent="0.25">
      <c r="A427" s="48">
        <v>426</v>
      </c>
      <c r="B427" s="44" t="s">
        <v>1401</v>
      </c>
      <c r="C427" s="44" t="s">
        <v>1258</v>
      </c>
      <c r="D427" s="49" t="s">
        <v>146</v>
      </c>
      <c r="E427" s="205">
        <v>23</v>
      </c>
      <c r="F427" s="44" t="s">
        <v>269</v>
      </c>
      <c r="G427" s="42" t="s">
        <v>1259</v>
      </c>
      <c r="H427" s="44" t="s">
        <v>1445</v>
      </c>
      <c r="I427" s="44" t="s">
        <v>1260</v>
      </c>
      <c r="J427" s="50" t="s">
        <v>2168</v>
      </c>
      <c r="K427" s="50" t="s">
        <v>118</v>
      </c>
      <c r="L427" s="50" t="s">
        <v>2181</v>
      </c>
      <c r="M427" s="50">
        <v>426</v>
      </c>
    </row>
    <row r="428" spans="1:13" ht="15.75" x14ac:dyDescent="0.25">
      <c r="A428" s="48">
        <v>427</v>
      </c>
      <c r="B428" s="44" t="s">
        <v>1401</v>
      </c>
      <c r="C428" s="44" t="s">
        <v>1255</v>
      </c>
      <c r="D428" s="49" t="s">
        <v>146</v>
      </c>
      <c r="E428" s="205">
        <v>25.98</v>
      </c>
      <c r="F428" s="44" t="s">
        <v>269</v>
      </c>
      <c r="G428" s="42" t="s">
        <v>1256</v>
      </c>
      <c r="H428" s="44" t="s">
        <v>1446</v>
      </c>
      <c r="I428" s="44" t="s">
        <v>1257</v>
      </c>
      <c r="J428" s="50" t="s">
        <v>2168</v>
      </c>
      <c r="K428" s="50" t="s">
        <v>118</v>
      </c>
      <c r="L428" s="50" t="s">
        <v>2181</v>
      </c>
      <c r="M428" s="50">
        <v>427</v>
      </c>
    </row>
    <row r="429" spans="1:13" ht="15.75" x14ac:dyDescent="0.25">
      <c r="A429" s="48">
        <v>428</v>
      </c>
      <c r="B429" s="44" t="s">
        <v>1401</v>
      </c>
      <c r="C429" s="44" t="s">
        <v>1252</v>
      </c>
      <c r="D429" s="49" t="s">
        <v>146</v>
      </c>
      <c r="E429" s="205">
        <v>157</v>
      </c>
      <c r="F429" s="44" t="s">
        <v>269</v>
      </c>
      <c r="G429" s="42" t="s">
        <v>1253</v>
      </c>
      <c r="H429" s="44" t="s">
        <v>1447</v>
      </c>
      <c r="I429" s="44" t="s">
        <v>1254</v>
      </c>
      <c r="J429" s="50" t="s">
        <v>2168</v>
      </c>
      <c r="K429" s="50" t="s">
        <v>118</v>
      </c>
      <c r="L429" s="50" t="s">
        <v>2181</v>
      </c>
      <c r="M429" s="50">
        <v>428</v>
      </c>
    </row>
    <row r="430" spans="1:13" ht="15.75" x14ac:dyDescent="0.25">
      <c r="A430" s="48">
        <v>429</v>
      </c>
      <c r="B430" s="44" t="s">
        <v>1401</v>
      </c>
      <c r="C430" s="44" t="s">
        <v>1249</v>
      </c>
      <c r="D430" s="49" t="s">
        <v>86</v>
      </c>
      <c r="E430" s="205">
        <v>128</v>
      </c>
      <c r="F430" s="44" t="s">
        <v>269</v>
      </c>
      <c r="G430" s="42" t="s">
        <v>1250</v>
      </c>
      <c r="H430" s="44" t="s">
        <v>1448</v>
      </c>
      <c r="I430" s="44" t="s">
        <v>1251</v>
      </c>
      <c r="J430" s="50" t="s">
        <v>2168</v>
      </c>
      <c r="K430" s="50" t="s">
        <v>118</v>
      </c>
      <c r="L430" s="50" t="s">
        <v>2182</v>
      </c>
      <c r="M430" s="50">
        <v>429</v>
      </c>
    </row>
    <row r="431" spans="1:13" ht="15.75" x14ac:dyDescent="0.25">
      <c r="A431" s="48">
        <v>430</v>
      </c>
      <c r="B431" s="44" t="s">
        <v>1401</v>
      </c>
      <c r="C431" s="44" t="s">
        <v>1246</v>
      </c>
      <c r="D431" s="49" t="s">
        <v>86</v>
      </c>
      <c r="E431" s="205">
        <v>76.680000000000007</v>
      </c>
      <c r="F431" s="44" t="s">
        <v>269</v>
      </c>
      <c r="G431" s="42" t="s">
        <v>1247</v>
      </c>
      <c r="H431" s="44" t="s">
        <v>1449</v>
      </c>
      <c r="I431" s="44" t="s">
        <v>1248</v>
      </c>
      <c r="J431" s="50" t="s">
        <v>2168</v>
      </c>
      <c r="K431" s="50" t="s">
        <v>118</v>
      </c>
      <c r="L431" s="50" t="s">
        <v>2182</v>
      </c>
      <c r="M431" s="50">
        <v>430</v>
      </c>
    </row>
    <row r="432" spans="1:13" ht="15.75" x14ac:dyDescent="0.25">
      <c r="A432" s="48">
        <v>431</v>
      </c>
      <c r="B432" s="44" t="s">
        <v>1401</v>
      </c>
      <c r="C432" s="44" t="s">
        <v>1212</v>
      </c>
      <c r="D432" s="49" t="s">
        <v>86</v>
      </c>
      <c r="E432" s="205">
        <v>65</v>
      </c>
      <c r="F432" s="44" t="s">
        <v>269</v>
      </c>
      <c r="G432" s="42" t="s">
        <v>1244</v>
      </c>
      <c r="H432" s="44" t="s">
        <v>1450</v>
      </c>
      <c r="I432" s="44" t="s">
        <v>1245</v>
      </c>
      <c r="J432" s="50" t="s">
        <v>2168</v>
      </c>
      <c r="K432" s="50" t="s">
        <v>118</v>
      </c>
      <c r="L432" s="50" t="s">
        <v>2182</v>
      </c>
      <c r="M432" s="50">
        <v>431</v>
      </c>
    </row>
    <row r="433" spans="1:13" ht="15.75" x14ac:dyDescent="0.25">
      <c r="A433" s="48">
        <v>432</v>
      </c>
      <c r="B433" s="44" t="s">
        <v>1401</v>
      </c>
      <c r="C433" s="44" t="s">
        <v>1241</v>
      </c>
      <c r="D433" s="49" t="s">
        <v>86</v>
      </c>
      <c r="E433" s="205">
        <v>172</v>
      </c>
      <c r="F433" s="44" t="s">
        <v>269</v>
      </c>
      <c r="G433" s="42" t="s">
        <v>1242</v>
      </c>
      <c r="H433" s="44" t="s">
        <v>1451</v>
      </c>
      <c r="I433" s="44" t="s">
        <v>1243</v>
      </c>
      <c r="J433" s="50" t="s">
        <v>2168</v>
      </c>
      <c r="K433" s="50" t="s">
        <v>118</v>
      </c>
      <c r="L433" s="50" t="s">
        <v>2182</v>
      </c>
      <c r="M433" s="50">
        <v>432</v>
      </c>
    </row>
    <row r="434" spans="1:13" ht="15.75" x14ac:dyDescent="0.25">
      <c r="A434" s="48">
        <v>433</v>
      </c>
      <c r="B434" s="44" t="s">
        <v>1401</v>
      </c>
      <c r="C434" s="44" t="s">
        <v>1238</v>
      </c>
      <c r="D434" s="49" t="s">
        <v>86</v>
      </c>
      <c r="E434" s="205">
        <v>5</v>
      </c>
      <c r="F434" s="44" t="s">
        <v>269</v>
      </c>
      <c r="G434" s="42" t="s">
        <v>1239</v>
      </c>
      <c r="H434" s="44" t="s">
        <v>1451</v>
      </c>
      <c r="I434" s="44" t="s">
        <v>1240</v>
      </c>
      <c r="J434" s="50" t="s">
        <v>2168</v>
      </c>
      <c r="K434" s="50" t="s">
        <v>118</v>
      </c>
      <c r="L434" s="50" t="s">
        <v>2182</v>
      </c>
      <c r="M434" s="50">
        <v>433</v>
      </c>
    </row>
    <row r="435" spans="1:13" ht="15.75" x14ac:dyDescent="0.25">
      <c r="A435" s="48">
        <v>434</v>
      </c>
      <c r="B435" s="44" t="s">
        <v>1401</v>
      </c>
      <c r="C435" s="44" t="s">
        <v>1235</v>
      </c>
      <c r="D435" s="49" t="s">
        <v>86</v>
      </c>
      <c r="E435" s="205">
        <v>7.95</v>
      </c>
      <c r="F435" s="44" t="s">
        <v>269</v>
      </c>
      <c r="G435" s="42" t="s">
        <v>1236</v>
      </c>
      <c r="H435" s="44" t="s">
        <v>1452</v>
      </c>
      <c r="I435" s="44" t="s">
        <v>1237</v>
      </c>
      <c r="J435" s="50" t="s">
        <v>2171</v>
      </c>
      <c r="K435" s="50" t="s">
        <v>118</v>
      </c>
      <c r="L435" s="50" t="s">
        <v>2181</v>
      </c>
      <c r="M435" s="50">
        <v>434</v>
      </c>
    </row>
    <row r="436" spans="1:13" ht="15.75" x14ac:dyDescent="0.25">
      <c r="A436" s="48">
        <v>435</v>
      </c>
      <c r="B436" s="44" t="s">
        <v>1401</v>
      </c>
      <c r="C436" s="44" t="s">
        <v>1232</v>
      </c>
      <c r="D436" s="49" t="s">
        <v>86</v>
      </c>
      <c r="E436" s="205">
        <v>24.41</v>
      </c>
      <c r="F436" s="44" t="s">
        <v>269</v>
      </c>
      <c r="G436" s="42" t="s">
        <v>1233</v>
      </c>
      <c r="H436" s="44" t="s">
        <v>1454</v>
      </c>
      <c r="I436" s="44" t="s">
        <v>1234</v>
      </c>
      <c r="J436" s="50" t="s">
        <v>2168</v>
      </c>
      <c r="K436" s="50" t="s">
        <v>118</v>
      </c>
      <c r="L436" s="50" t="s">
        <v>2182</v>
      </c>
      <c r="M436" s="50">
        <v>435</v>
      </c>
    </row>
    <row r="437" spans="1:13" ht="15.75" x14ac:dyDescent="0.25">
      <c r="A437" s="48">
        <v>436</v>
      </c>
      <c r="B437" s="44" t="s">
        <v>1401</v>
      </c>
      <c r="C437" s="44" t="s">
        <v>1229</v>
      </c>
      <c r="D437" s="49" t="s">
        <v>86</v>
      </c>
      <c r="E437" s="205">
        <v>20</v>
      </c>
      <c r="F437" s="44" t="s">
        <v>269</v>
      </c>
      <c r="G437" s="42" t="s">
        <v>1230</v>
      </c>
      <c r="H437" s="44" t="s">
        <v>1455</v>
      </c>
      <c r="I437" s="44" t="s">
        <v>1231</v>
      </c>
      <c r="J437" s="50" t="s">
        <v>2168</v>
      </c>
      <c r="K437" s="50" t="s">
        <v>118</v>
      </c>
      <c r="L437" s="50" t="s">
        <v>2182</v>
      </c>
      <c r="M437" s="50">
        <v>436</v>
      </c>
    </row>
    <row r="438" spans="1:13" ht="15.75" x14ac:dyDescent="0.25">
      <c r="A438" s="48">
        <v>437</v>
      </c>
      <c r="B438" s="44" t="s">
        <v>1401</v>
      </c>
      <c r="C438" s="44" t="s">
        <v>1224</v>
      </c>
      <c r="D438" s="49" t="s">
        <v>86</v>
      </c>
      <c r="E438" s="205">
        <v>45.5</v>
      </c>
      <c r="F438" s="44" t="s">
        <v>269</v>
      </c>
      <c r="G438" s="42" t="s">
        <v>1227</v>
      </c>
      <c r="H438" s="44" t="s">
        <v>1456</v>
      </c>
      <c r="I438" s="44" t="s">
        <v>1228</v>
      </c>
      <c r="J438" s="50" t="s">
        <v>2168</v>
      </c>
      <c r="K438" s="50" t="s">
        <v>118</v>
      </c>
      <c r="L438" s="50" t="s">
        <v>2182</v>
      </c>
      <c r="M438" s="50">
        <v>437</v>
      </c>
    </row>
    <row r="439" spans="1:13" ht="15.75" x14ac:dyDescent="0.25">
      <c r="A439" s="48">
        <v>438</v>
      </c>
      <c r="B439" s="44" t="s">
        <v>1401</v>
      </c>
      <c r="C439" s="44" t="s">
        <v>1224</v>
      </c>
      <c r="D439" s="49" t="s">
        <v>86</v>
      </c>
      <c r="E439" s="205">
        <v>132</v>
      </c>
      <c r="F439" s="44" t="s">
        <v>269</v>
      </c>
      <c r="G439" s="42" t="s">
        <v>1225</v>
      </c>
      <c r="H439" s="44" t="s">
        <v>1456</v>
      </c>
      <c r="I439" s="44" t="s">
        <v>1226</v>
      </c>
      <c r="J439" s="50" t="s">
        <v>2168</v>
      </c>
      <c r="K439" s="50" t="s">
        <v>118</v>
      </c>
      <c r="L439" s="50" t="s">
        <v>2182</v>
      </c>
      <c r="M439" s="50">
        <v>438</v>
      </c>
    </row>
    <row r="440" spans="1:13" ht="15.75" x14ac:dyDescent="0.25">
      <c r="A440" s="48">
        <v>439</v>
      </c>
      <c r="B440" s="44" t="s">
        <v>1401</v>
      </c>
      <c r="C440" s="44" t="s">
        <v>1221</v>
      </c>
      <c r="D440" s="49" t="s">
        <v>86</v>
      </c>
      <c r="E440" s="205">
        <v>10</v>
      </c>
      <c r="F440" s="44" t="s">
        <v>269</v>
      </c>
      <c r="G440" s="42" t="s">
        <v>1222</v>
      </c>
      <c r="H440" s="44" t="s">
        <v>1457</v>
      </c>
      <c r="I440" s="44" t="s">
        <v>1223</v>
      </c>
      <c r="J440" s="50" t="s">
        <v>2168</v>
      </c>
      <c r="K440" s="50" t="s">
        <v>118</v>
      </c>
      <c r="L440" s="50" t="s">
        <v>2182</v>
      </c>
      <c r="M440" s="50">
        <v>439</v>
      </c>
    </row>
    <row r="441" spans="1:13" ht="15.75" x14ac:dyDescent="0.25">
      <c r="A441" s="48">
        <v>440</v>
      </c>
      <c r="B441" s="44" t="s">
        <v>1401</v>
      </c>
      <c r="C441" s="44" t="s">
        <v>1218</v>
      </c>
      <c r="D441" s="49" t="s">
        <v>86</v>
      </c>
      <c r="E441" s="205">
        <v>108.23</v>
      </c>
      <c r="F441" s="44" t="s">
        <v>269</v>
      </c>
      <c r="G441" s="42" t="s">
        <v>1219</v>
      </c>
      <c r="H441" s="44" t="s">
        <v>1458</v>
      </c>
      <c r="I441" s="44" t="s">
        <v>1220</v>
      </c>
      <c r="J441" s="50" t="s">
        <v>2168</v>
      </c>
      <c r="K441" s="50" t="s">
        <v>118</v>
      </c>
      <c r="L441" s="50" t="s">
        <v>2182</v>
      </c>
      <c r="M441" s="50">
        <v>440</v>
      </c>
    </row>
    <row r="442" spans="1:13" ht="15.75" x14ac:dyDescent="0.25">
      <c r="A442" s="48">
        <v>441</v>
      </c>
      <c r="B442" s="44" t="s">
        <v>1401</v>
      </c>
      <c r="C442" s="44" t="s">
        <v>1215</v>
      </c>
      <c r="D442" s="49" t="s">
        <v>86</v>
      </c>
      <c r="E442" s="205">
        <v>189.98</v>
      </c>
      <c r="F442" s="44" t="s">
        <v>269</v>
      </c>
      <c r="G442" s="42" t="s">
        <v>1216</v>
      </c>
      <c r="H442" s="44" t="s">
        <v>1458</v>
      </c>
      <c r="I442" s="44" t="s">
        <v>1217</v>
      </c>
      <c r="J442" s="50" t="s">
        <v>2168</v>
      </c>
      <c r="K442" s="50" t="s">
        <v>118</v>
      </c>
      <c r="L442" s="50" t="s">
        <v>2182</v>
      </c>
      <c r="M442" s="50">
        <v>441</v>
      </c>
    </row>
    <row r="443" spans="1:13" ht="15.75" x14ac:dyDescent="0.25">
      <c r="A443" s="48">
        <v>442</v>
      </c>
      <c r="B443" s="44" t="s">
        <v>1401</v>
      </c>
      <c r="C443" s="44" t="s">
        <v>1212</v>
      </c>
      <c r="D443" s="49" t="s">
        <v>86</v>
      </c>
      <c r="E443" s="205">
        <v>125</v>
      </c>
      <c r="F443" s="44" t="s">
        <v>269</v>
      </c>
      <c r="G443" s="42" t="s">
        <v>1213</v>
      </c>
      <c r="H443" s="44" t="s">
        <v>1458</v>
      </c>
      <c r="I443" s="44" t="s">
        <v>1214</v>
      </c>
      <c r="J443" s="50" t="s">
        <v>2168</v>
      </c>
      <c r="K443" s="50" t="s">
        <v>118</v>
      </c>
      <c r="L443" s="50" t="s">
        <v>2182</v>
      </c>
      <c r="M443" s="50">
        <v>442</v>
      </c>
    </row>
    <row r="444" spans="1:13" ht="15.75" x14ac:dyDescent="0.25">
      <c r="A444" s="48">
        <v>443</v>
      </c>
      <c r="B444" s="44" t="s">
        <v>1401</v>
      </c>
      <c r="C444" s="44" t="s">
        <v>1209</v>
      </c>
      <c r="D444" s="49" t="s">
        <v>86</v>
      </c>
      <c r="E444" s="205">
        <v>27</v>
      </c>
      <c r="F444" s="44" t="s">
        <v>269</v>
      </c>
      <c r="G444" s="42" t="s">
        <v>1210</v>
      </c>
      <c r="H444" s="44" t="s">
        <v>1458</v>
      </c>
      <c r="I444" s="44" t="s">
        <v>1211</v>
      </c>
      <c r="J444" s="50" t="s">
        <v>2168</v>
      </c>
      <c r="K444" s="50" t="s">
        <v>118</v>
      </c>
      <c r="L444" s="50" t="s">
        <v>2182</v>
      </c>
      <c r="M444" s="50">
        <v>443</v>
      </c>
    </row>
    <row r="445" spans="1:13" ht="15.75" x14ac:dyDescent="0.25">
      <c r="A445" s="48">
        <v>444</v>
      </c>
      <c r="B445" s="44" t="s">
        <v>1401</v>
      </c>
      <c r="C445" s="44" t="s">
        <v>1206</v>
      </c>
      <c r="D445" s="49" t="s">
        <v>86</v>
      </c>
      <c r="E445" s="205">
        <v>78.290000000000006</v>
      </c>
      <c r="F445" s="44" t="s">
        <v>269</v>
      </c>
      <c r="G445" s="42" t="s">
        <v>1207</v>
      </c>
      <c r="H445" s="44" t="s">
        <v>1458</v>
      </c>
      <c r="I445" s="44" t="s">
        <v>1208</v>
      </c>
      <c r="J445" s="50" t="s">
        <v>2168</v>
      </c>
      <c r="K445" s="50" t="s">
        <v>118</v>
      </c>
      <c r="L445" s="50" t="s">
        <v>2182</v>
      </c>
      <c r="M445" s="50">
        <v>444</v>
      </c>
    </row>
    <row r="446" spans="1:13" ht="15.75" x14ac:dyDescent="0.25">
      <c r="A446" s="48">
        <v>445</v>
      </c>
      <c r="B446" s="44" t="s">
        <v>1401</v>
      </c>
      <c r="C446" s="44" t="s">
        <v>1203</v>
      </c>
      <c r="D446" s="49" t="s">
        <v>86</v>
      </c>
      <c r="E446" s="205">
        <v>3.99</v>
      </c>
      <c r="F446" s="44" t="s">
        <v>269</v>
      </c>
      <c r="G446" s="42" t="s">
        <v>1204</v>
      </c>
      <c r="H446" s="44" t="s">
        <v>1459</v>
      </c>
      <c r="I446" s="44" t="s">
        <v>1205</v>
      </c>
      <c r="J446" s="50" t="s">
        <v>2168</v>
      </c>
      <c r="K446" s="50" t="s">
        <v>118</v>
      </c>
      <c r="L446" s="50" t="s">
        <v>2182</v>
      </c>
      <c r="M446" s="50">
        <v>445</v>
      </c>
    </row>
    <row r="447" spans="1:13" ht="15.75" x14ac:dyDescent="0.25">
      <c r="A447" s="48">
        <v>669</v>
      </c>
      <c r="B447" s="44" t="s">
        <v>1401</v>
      </c>
      <c r="C447" s="44" t="s">
        <v>1398</v>
      </c>
      <c r="D447" s="49" t="s">
        <v>86</v>
      </c>
      <c r="E447" s="205">
        <v>60</v>
      </c>
      <c r="F447" s="44" t="s">
        <v>269</v>
      </c>
      <c r="G447" s="42" t="s">
        <v>1399</v>
      </c>
      <c r="H447" s="44" t="s">
        <v>1402</v>
      </c>
      <c r="I447" s="44" t="s">
        <v>1400</v>
      </c>
      <c r="J447" s="50" t="s">
        <v>2168</v>
      </c>
      <c r="K447" s="50" t="s">
        <v>118</v>
      </c>
      <c r="L447" s="50" t="s">
        <v>2182</v>
      </c>
      <c r="M447" s="50">
        <v>444</v>
      </c>
    </row>
    <row r="448" spans="1:13" ht="15.75" x14ac:dyDescent="0.25">
      <c r="A448" s="48">
        <v>670</v>
      </c>
      <c r="B448" s="44" t="s">
        <v>1401</v>
      </c>
      <c r="C448" s="44" t="s">
        <v>1395</v>
      </c>
      <c r="D448" s="49" t="s">
        <v>86</v>
      </c>
      <c r="E448" s="205">
        <v>31.9</v>
      </c>
      <c r="F448" s="44" t="s">
        <v>269</v>
      </c>
      <c r="G448" s="42" t="s">
        <v>1396</v>
      </c>
      <c r="H448" s="44" t="s">
        <v>375</v>
      </c>
      <c r="I448" s="44" t="s">
        <v>1397</v>
      </c>
      <c r="J448" s="50" t="s">
        <v>2168</v>
      </c>
      <c r="K448" s="50" t="s">
        <v>118</v>
      </c>
      <c r="L448" s="50" t="s">
        <v>2182</v>
      </c>
      <c r="M448" s="50">
        <v>445</v>
      </c>
    </row>
    <row r="449" spans="1:13" ht="15.75" x14ac:dyDescent="0.25">
      <c r="A449" s="48">
        <v>446</v>
      </c>
      <c r="B449" s="44" t="s">
        <v>1957</v>
      </c>
      <c r="C449" s="44" t="s">
        <v>1590</v>
      </c>
      <c r="D449" s="49" t="s">
        <v>264</v>
      </c>
      <c r="E449" s="205">
        <v>33.97</v>
      </c>
      <c r="F449" s="44" t="s">
        <v>269</v>
      </c>
      <c r="G449" s="42" t="s">
        <v>1955</v>
      </c>
      <c r="H449" s="44" t="s">
        <v>1958</v>
      </c>
      <c r="I449" s="44" t="s">
        <v>1956</v>
      </c>
      <c r="J449" s="50" t="s">
        <v>2129</v>
      </c>
      <c r="K449" s="50" t="s">
        <v>118</v>
      </c>
      <c r="L449" s="50" t="s">
        <v>2181</v>
      </c>
      <c r="M449" s="50">
        <v>446</v>
      </c>
    </row>
    <row r="450" spans="1:13" ht="15.75" x14ac:dyDescent="0.25">
      <c r="A450" s="48">
        <v>447</v>
      </c>
      <c r="B450" s="44" t="s">
        <v>1957</v>
      </c>
      <c r="C450" s="44" t="s">
        <v>1952</v>
      </c>
      <c r="D450" s="49" t="s">
        <v>264</v>
      </c>
      <c r="E450" s="205">
        <v>20.98</v>
      </c>
      <c r="F450" s="44" t="s">
        <v>269</v>
      </c>
      <c r="G450" s="42" t="s">
        <v>1953</v>
      </c>
      <c r="H450" s="44" t="s">
        <v>1959</v>
      </c>
      <c r="I450" s="44" t="s">
        <v>1954</v>
      </c>
      <c r="J450" s="50" t="s">
        <v>2129</v>
      </c>
      <c r="K450" s="50" t="s">
        <v>118</v>
      </c>
      <c r="L450" s="50" t="s">
        <v>2181</v>
      </c>
      <c r="M450" s="50">
        <v>447</v>
      </c>
    </row>
    <row r="451" spans="1:13" ht="15.75" x14ac:dyDescent="0.25">
      <c r="A451" s="48">
        <v>448</v>
      </c>
      <c r="B451" s="44" t="s">
        <v>1957</v>
      </c>
      <c r="C451" s="44" t="s">
        <v>1508</v>
      </c>
      <c r="D451" s="49" t="s">
        <v>264</v>
      </c>
      <c r="E451" s="205">
        <v>39.049999999999997</v>
      </c>
      <c r="F451" s="44" t="s">
        <v>269</v>
      </c>
      <c r="G451" s="42" t="s">
        <v>1950</v>
      </c>
      <c r="H451" s="44" t="s">
        <v>1960</v>
      </c>
      <c r="I451" s="44" t="s">
        <v>1951</v>
      </c>
      <c r="J451" s="50" t="s">
        <v>2129</v>
      </c>
      <c r="K451" s="50" t="s">
        <v>118</v>
      </c>
      <c r="L451" s="50" t="s">
        <v>2181</v>
      </c>
      <c r="M451" s="50">
        <v>448</v>
      </c>
    </row>
    <row r="452" spans="1:13" ht="15.75" x14ac:dyDescent="0.25">
      <c r="A452" s="48">
        <v>449</v>
      </c>
      <c r="B452" s="44" t="s">
        <v>1957</v>
      </c>
      <c r="C452" s="44" t="s">
        <v>1590</v>
      </c>
      <c r="D452" s="49" t="s">
        <v>264</v>
      </c>
      <c r="E452" s="205">
        <v>11.75</v>
      </c>
      <c r="F452" s="44" t="s">
        <v>269</v>
      </c>
      <c r="G452" s="42" t="s">
        <v>1948</v>
      </c>
      <c r="H452" s="44" t="s">
        <v>1961</v>
      </c>
      <c r="I452" s="44" t="s">
        <v>1949</v>
      </c>
      <c r="J452" s="50" t="s">
        <v>2129</v>
      </c>
      <c r="K452" s="50" t="s">
        <v>118</v>
      </c>
      <c r="L452" s="50" t="s">
        <v>2181</v>
      </c>
      <c r="M452" s="50">
        <v>449</v>
      </c>
    </row>
    <row r="453" spans="1:13" ht="15.75" x14ac:dyDescent="0.25">
      <c r="A453" s="48">
        <v>450</v>
      </c>
      <c r="B453" s="44" t="s">
        <v>1957</v>
      </c>
      <c r="C453" s="44" t="s">
        <v>1945</v>
      </c>
      <c r="D453" s="49" t="s">
        <v>85</v>
      </c>
      <c r="E453" s="205">
        <v>75.540000000000006</v>
      </c>
      <c r="F453" s="44" t="s">
        <v>269</v>
      </c>
      <c r="G453" s="42" t="s">
        <v>1946</v>
      </c>
      <c r="H453" s="44" t="s">
        <v>1962</v>
      </c>
      <c r="I453" s="44" t="s">
        <v>1947</v>
      </c>
      <c r="J453" s="50" t="s">
        <v>2129</v>
      </c>
      <c r="K453" s="50" t="s">
        <v>118</v>
      </c>
      <c r="L453" s="50" t="s">
        <v>2181</v>
      </c>
      <c r="M453" s="50">
        <v>450</v>
      </c>
    </row>
    <row r="454" spans="1:13" ht="15.75" x14ac:dyDescent="0.25">
      <c r="A454" s="48">
        <v>451</v>
      </c>
      <c r="B454" s="44" t="s">
        <v>1957</v>
      </c>
      <c r="C454" s="44" t="s">
        <v>1579</v>
      </c>
      <c r="D454" s="49" t="s">
        <v>85</v>
      </c>
      <c r="E454" s="205">
        <v>46.01</v>
      </c>
      <c r="F454" s="44" t="s">
        <v>269</v>
      </c>
      <c r="G454" s="42" t="s">
        <v>1943</v>
      </c>
      <c r="H454" s="44" t="s">
        <v>1963</v>
      </c>
      <c r="I454" s="44" t="s">
        <v>1944</v>
      </c>
      <c r="J454" s="50" t="s">
        <v>2129</v>
      </c>
      <c r="K454" s="50" t="s">
        <v>118</v>
      </c>
      <c r="L454" s="50" t="s">
        <v>2181</v>
      </c>
      <c r="M454" s="50">
        <v>451</v>
      </c>
    </row>
    <row r="455" spans="1:13" ht="15.75" x14ac:dyDescent="0.25">
      <c r="A455" s="48">
        <v>452</v>
      </c>
      <c r="B455" s="44" t="s">
        <v>1957</v>
      </c>
      <c r="C455" s="44" t="s">
        <v>1590</v>
      </c>
      <c r="D455" s="49" t="s">
        <v>85</v>
      </c>
      <c r="E455" s="205">
        <v>61.44</v>
      </c>
      <c r="F455" s="44" t="s">
        <v>269</v>
      </c>
      <c r="G455" s="42" t="s">
        <v>1941</v>
      </c>
      <c r="H455" s="44" t="s">
        <v>1964</v>
      </c>
      <c r="I455" s="44" t="s">
        <v>1942</v>
      </c>
      <c r="J455" s="50" t="s">
        <v>2129</v>
      </c>
      <c r="K455" s="50" t="s">
        <v>118</v>
      </c>
      <c r="L455" s="50" t="s">
        <v>2181</v>
      </c>
      <c r="M455" s="50">
        <v>452</v>
      </c>
    </row>
    <row r="456" spans="1:13" ht="15.75" x14ac:dyDescent="0.25">
      <c r="A456" s="48">
        <v>453</v>
      </c>
      <c r="B456" s="44" t="s">
        <v>1957</v>
      </c>
      <c r="C456" s="44" t="s">
        <v>1590</v>
      </c>
      <c r="D456" s="49" t="s">
        <v>85</v>
      </c>
      <c r="E456" s="205">
        <v>16.98</v>
      </c>
      <c r="F456" s="44" t="s">
        <v>269</v>
      </c>
      <c r="G456" s="42" t="s">
        <v>1939</v>
      </c>
      <c r="H456" s="44" t="s">
        <v>1965</v>
      </c>
      <c r="I456" s="44" t="s">
        <v>1940</v>
      </c>
      <c r="J456" s="50" t="s">
        <v>2129</v>
      </c>
      <c r="K456" s="50" t="s">
        <v>118</v>
      </c>
      <c r="L456" s="50" t="s">
        <v>2181</v>
      </c>
      <c r="M456" s="50">
        <v>453</v>
      </c>
    </row>
    <row r="457" spans="1:13" ht="15.75" x14ac:dyDescent="0.25">
      <c r="A457" s="48">
        <v>454</v>
      </c>
      <c r="B457" s="44" t="s">
        <v>1957</v>
      </c>
      <c r="C457" s="44" t="s">
        <v>1936</v>
      </c>
      <c r="D457" s="49" t="s">
        <v>85</v>
      </c>
      <c r="E457" s="205">
        <v>7.91</v>
      </c>
      <c r="F457" s="44" t="s">
        <v>269</v>
      </c>
      <c r="G457" s="42" t="s">
        <v>1937</v>
      </c>
      <c r="H457" s="44" t="s">
        <v>1966</v>
      </c>
      <c r="I457" s="44" t="s">
        <v>1938</v>
      </c>
      <c r="J457" s="50" t="s">
        <v>2129</v>
      </c>
      <c r="K457" s="50" t="s">
        <v>118</v>
      </c>
      <c r="L457" s="50" t="s">
        <v>2181</v>
      </c>
      <c r="M457" s="50">
        <v>454</v>
      </c>
    </row>
    <row r="458" spans="1:13" ht="15.75" x14ac:dyDescent="0.25">
      <c r="A458" s="48">
        <v>455</v>
      </c>
      <c r="B458" s="44" t="s">
        <v>1957</v>
      </c>
      <c r="C458" s="44" t="s">
        <v>1579</v>
      </c>
      <c r="D458" s="49" t="s">
        <v>85</v>
      </c>
      <c r="E458" s="205">
        <v>13.99</v>
      </c>
      <c r="F458" s="44" t="s">
        <v>269</v>
      </c>
      <c r="G458" s="42" t="s">
        <v>1934</v>
      </c>
      <c r="H458" s="44" t="s">
        <v>1967</v>
      </c>
      <c r="I458" s="44" t="s">
        <v>1935</v>
      </c>
      <c r="J458" s="50" t="s">
        <v>2129</v>
      </c>
      <c r="K458" s="50" t="s">
        <v>118</v>
      </c>
      <c r="L458" s="50" t="s">
        <v>2181</v>
      </c>
      <c r="M458" s="50">
        <v>455</v>
      </c>
    </row>
    <row r="459" spans="1:13" ht="15.75" x14ac:dyDescent="0.25">
      <c r="A459" s="48">
        <v>456</v>
      </c>
      <c r="B459" s="44" t="s">
        <v>1957</v>
      </c>
      <c r="C459" s="44" t="s">
        <v>1749</v>
      </c>
      <c r="D459" s="49" t="s">
        <v>85</v>
      </c>
      <c r="E459" s="205">
        <v>15.16</v>
      </c>
      <c r="F459" s="44" t="s">
        <v>269</v>
      </c>
      <c r="G459" s="42" t="s">
        <v>1932</v>
      </c>
      <c r="H459" s="44" t="s">
        <v>1967</v>
      </c>
      <c r="I459" s="44" t="s">
        <v>1933</v>
      </c>
      <c r="J459" s="50" t="s">
        <v>2129</v>
      </c>
      <c r="K459" s="50" t="s">
        <v>118</v>
      </c>
      <c r="L459" s="50" t="s">
        <v>2181</v>
      </c>
      <c r="M459" s="50">
        <v>456</v>
      </c>
    </row>
    <row r="460" spans="1:13" ht="15.75" x14ac:dyDescent="0.25">
      <c r="A460" s="48">
        <v>457</v>
      </c>
      <c r="B460" s="44" t="s">
        <v>1957</v>
      </c>
      <c r="C460" s="44" t="s">
        <v>1467</v>
      </c>
      <c r="D460" s="49" t="s">
        <v>85</v>
      </c>
      <c r="E460" s="205">
        <v>12.9</v>
      </c>
      <c r="F460" s="44" t="s">
        <v>269</v>
      </c>
      <c r="G460" s="42" t="s">
        <v>1930</v>
      </c>
      <c r="H460" s="44" t="s">
        <v>1968</v>
      </c>
      <c r="I460" s="44" t="s">
        <v>1931</v>
      </c>
      <c r="J460" s="50" t="s">
        <v>2129</v>
      </c>
      <c r="K460" s="50" t="s">
        <v>118</v>
      </c>
      <c r="L460" s="50" t="s">
        <v>2181</v>
      </c>
      <c r="M460" s="50">
        <v>457</v>
      </c>
    </row>
    <row r="461" spans="1:13" ht="15.75" x14ac:dyDescent="0.25">
      <c r="A461" s="48">
        <v>458</v>
      </c>
      <c r="B461" s="44" t="s">
        <v>1957</v>
      </c>
      <c r="C461" s="44" t="s">
        <v>1590</v>
      </c>
      <c r="D461" s="49" t="s">
        <v>85</v>
      </c>
      <c r="E461" s="205">
        <v>11.99</v>
      </c>
      <c r="F461" s="44" t="s">
        <v>269</v>
      </c>
      <c r="G461" s="42" t="s">
        <v>1928</v>
      </c>
      <c r="H461" s="44" t="s">
        <v>1969</v>
      </c>
      <c r="I461" s="44" t="s">
        <v>1929</v>
      </c>
      <c r="J461" s="50" t="s">
        <v>2129</v>
      </c>
      <c r="K461" s="50" t="s">
        <v>118</v>
      </c>
      <c r="L461" s="50" t="s">
        <v>2181</v>
      </c>
      <c r="M461" s="50">
        <v>458</v>
      </c>
    </row>
    <row r="462" spans="1:13" ht="15.75" x14ac:dyDescent="0.25">
      <c r="A462" s="48">
        <v>459</v>
      </c>
      <c r="B462" s="44" t="s">
        <v>1957</v>
      </c>
      <c r="C462" s="44" t="s">
        <v>1590</v>
      </c>
      <c r="D462" s="49" t="s">
        <v>85</v>
      </c>
      <c r="E462" s="205">
        <v>8.9600000000000009</v>
      </c>
      <c r="F462" s="44" t="s">
        <v>269</v>
      </c>
      <c r="G462" s="42" t="s">
        <v>1926</v>
      </c>
      <c r="H462" s="44" t="s">
        <v>1969</v>
      </c>
      <c r="I462" s="44" t="s">
        <v>1927</v>
      </c>
      <c r="J462" s="50" t="s">
        <v>2129</v>
      </c>
      <c r="K462" s="50" t="s">
        <v>118</v>
      </c>
      <c r="L462" s="50" t="s">
        <v>2181</v>
      </c>
      <c r="M462" s="50">
        <v>459</v>
      </c>
    </row>
    <row r="463" spans="1:13" ht="15.75" x14ac:dyDescent="0.25">
      <c r="A463" s="48">
        <v>460</v>
      </c>
      <c r="B463" s="44" t="s">
        <v>1957</v>
      </c>
      <c r="C463" s="44" t="s">
        <v>1579</v>
      </c>
      <c r="D463" s="49" t="s">
        <v>85</v>
      </c>
      <c r="E463" s="205">
        <v>22.67</v>
      </c>
      <c r="F463" s="44" t="s">
        <v>269</v>
      </c>
      <c r="G463" s="42" t="s">
        <v>1924</v>
      </c>
      <c r="H463" s="44" t="s">
        <v>1970</v>
      </c>
      <c r="I463" s="44" t="s">
        <v>1925</v>
      </c>
      <c r="J463" s="50" t="s">
        <v>2129</v>
      </c>
      <c r="K463" s="50" t="s">
        <v>118</v>
      </c>
      <c r="L463" s="50" t="s">
        <v>2181</v>
      </c>
      <c r="M463" s="50">
        <v>460</v>
      </c>
    </row>
    <row r="464" spans="1:13" ht="15.75" x14ac:dyDescent="0.25">
      <c r="A464" s="48">
        <v>461</v>
      </c>
      <c r="B464" s="44" t="s">
        <v>1957</v>
      </c>
      <c r="C464" s="44" t="s">
        <v>1508</v>
      </c>
      <c r="D464" s="49" t="s">
        <v>85</v>
      </c>
      <c r="E464" s="205">
        <v>18.97</v>
      </c>
      <c r="F464" s="44" t="s">
        <v>269</v>
      </c>
      <c r="G464" s="42" t="s">
        <v>1922</v>
      </c>
      <c r="H464" s="44" t="s">
        <v>1970</v>
      </c>
      <c r="I464" s="44" t="s">
        <v>1923</v>
      </c>
      <c r="J464" s="50" t="s">
        <v>2129</v>
      </c>
      <c r="K464" s="50" t="s">
        <v>118</v>
      </c>
      <c r="L464" s="50" t="s">
        <v>2181</v>
      </c>
      <c r="M464" s="50">
        <v>461</v>
      </c>
    </row>
    <row r="465" spans="1:13" ht="15.75" x14ac:dyDescent="0.25">
      <c r="A465" s="48">
        <v>462</v>
      </c>
      <c r="B465" s="44" t="s">
        <v>1957</v>
      </c>
      <c r="C465" s="44" t="s">
        <v>1600</v>
      </c>
      <c r="D465" s="49" t="s">
        <v>85</v>
      </c>
      <c r="E465" s="205">
        <v>41.68</v>
      </c>
      <c r="F465" s="44" t="s">
        <v>269</v>
      </c>
      <c r="G465" s="42" t="s">
        <v>1920</v>
      </c>
      <c r="H465" s="44" t="s">
        <v>1970</v>
      </c>
      <c r="I465" s="44" t="s">
        <v>1921</v>
      </c>
      <c r="J465" s="50" t="s">
        <v>2129</v>
      </c>
      <c r="K465" s="50" t="s">
        <v>118</v>
      </c>
      <c r="L465" s="50" t="s">
        <v>2181</v>
      </c>
      <c r="M465" s="50">
        <v>462</v>
      </c>
    </row>
    <row r="466" spans="1:13" ht="15.75" x14ac:dyDescent="0.25">
      <c r="A466" s="48">
        <v>463</v>
      </c>
      <c r="B466" s="44" t="s">
        <v>1957</v>
      </c>
      <c r="C466" s="44" t="s">
        <v>1590</v>
      </c>
      <c r="D466" s="49" t="s">
        <v>85</v>
      </c>
      <c r="E466" s="205">
        <v>5.89</v>
      </c>
      <c r="F466" s="44" t="s">
        <v>269</v>
      </c>
      <c r="G466" s="42" t="s">
        <v>1918</v>
      </c>
      <c r="H466" s="44" t="s">
        <v>1971</v>
      </c>
      <c r="I466" s="44" t="s">
        <v>1919</v>
      </c>
      <c r="J466" s="50" t="s">
        <v>2129</v>
      </c>
      <c r="K466" s="50" t="s">
        <v>118</v>
      </c>
      <c r="L466" s="50" t="s">
        <v>2181</v>
      </c>
      <c r="M466" s="50">
        <v>463</v>
      </c>
    </row>
    <row r="467" spans="1:13" ht="15.75" x14ac:dyDescent="0.25">
      <c r="A467" s="48">
        <v>464</v>
      </c>
      <c r="B467" s="44" t="s">
        <v>1957</v>
      </c>
      <c r="C467" s="44" t="s">
        <v>1590</v>
      </c>
      <c r="D467" s="49" t="s">
        <v>85</v>
      </c>
      <c r="E467" s="205">
        <v>13.98</v>
      </c>
      <c r="F467" s="44" t="s">
        <v>269</v>
      </c>
      <c r="G467" s="42" t="s">
        <v>1916</v>
      </c>
      <c r="H467" s="44" t="s">
        <v>1972</v>
      </c>
      <c r="I467" s="44" t="s">
        <v>1917</v>
      </c>
      <c r="J467" s="50" t="s">
        <v>2129</v>
      </c>
      <c r="K467" s="50" t="s">
        <v>118</v>
      </c>
      <c r="L467" s="50" t="s">
        <v>2181</v>
      </c>
      <c r="M467" s="50">
        <v>464</v>
      </c>
    </row>
    <row r="468" spans="1:13" ht="15.75" x14ac:dyDescent="0.25">
      <c r="A468" s="48">
        <v>465</v>
      </c>
      <c r="B468" s="44" t="s">
        <v>1957</v>
      </c>
      <c r="C468" s="44" t="s">
        <v>1913</v>
      </c>
      <c r="D468" s="49" t="s">
        <v>85</v>
      </c>
      <c r="E468" s="205">
        <v>41.01</v>
      </c>
      <c r="F468" s="44" t="s">
        <v>269</v>
      </c>
      <c r="G468" s="42" t="s">
        <v>1914</v>
      </c>
      <c r="H468" s="44" t="s">
        <v>1973</v>
      </c>
      <c r="I468" s="44" t="s">
        <v>1915</v>
      </c>
      <c r="J468" s="50" t="s">
        <v>2129</v>
      </c>
      <c r="K468" s="50" t="s">
        <v>118</v>
      </c>
      <c r="L468" s="50" t="s">
        <v>2181</v>
      </c>
      <c r="M468" s="50">
        <v>465</v>
      </c>
    </row>
    <row r="469" spans="1:13" ht="15.75" x14ac:dyDescent="0.25">
      <c r="A469" s="48">
        <v>466</v>
      </c>
      <c r="B469" s="44" t="s">
        <v>1957</v>
      </c>
      <c r="C469" s="44" t="s">
        <v>1749</v>
      </c>
      <c r="D469" s="49" t="s">
        <v>80</v>
      </c>
      <c r="E469" s="205">
        <v>11.37</v>
      </c>
      <c r="F469" s="44" t="s">
        <v>269</v>
      </c>
      <c r="G469" s="42" t="s">
        <v>1911</v>
      </c>
      <c r="H469" s="44" t="s">
        <v>1974</v>
      </c>
      <c r="I469" s="44" t="s">
        <v>1912</v>
      </c>
      <c r="J469" s="50" t="s">
        <v>2129</v>
      </c>
      <c r="K469" s="50" t="s">
        <v>118</v>
      </c>
      <c r="L469" s="50" t="s">
        <v>2181</v>
      </c>
      <c r="M469" s="50">
        <v>466</v>
      </c>
    </row>
    <row r="470" spans="1:13" ht="15.75" x14ac:dyDescent="0.25">
      <c r="A470" s="48">
        <v>467</v>
      </c>
      <c r="B470" s="44" t="s">
        <v>1957</v>
      </c>
      <c r="C470" s="44" t="s">
        <v>1600</v>
      </c>
      <c r="D470" s="49" t="s">
        <v>80</v>
      </c>
      <c r="E470" s="205">
        <v>25.09</v>
      </c>
      <c r="F470" s="44" t="s">
        <v>269</v>
      </c>
      <c r="G470" s="42" t="s">
        <v>1909</v>
      </c>
      <c r="H470" s="44" t="s">
        <v>1974</v>
      </c>
      <c r="I470" s="139" t="s">
        <v>1910</v>
      </c>
      <c r="J470" s="50" t="s">
        <v>2129</v>
      </c>
      <c r="K470" s="50" t="s">
        <v>118</v>
      </c>
      <c r="L470" s="50" t="s">
        <v>2181</v>
      </c>
      <c r="M470" s="50">
        <v>467</v>
      </c>
    </row>
    <row r="471" spans="1:13" ht="15.75" x14ac:dyDescent="0.25">
      <c r="A471" s="48">
        <v>468</v>
      </c>
      <c r="B471" s="44" t="s">
        <v>1957</v>
      </c>
      <c r="C471" s="44" t="s">
        <v>1517</v>
      </c>
      <c r="D471" s="49" t="s">
        <v>80</v>
      </c>
      <c r="E471" s="205">
        <v>31.61</v>
      </c>
      <c r="F471" s="44" t="s">
        <v>269</v>
      </c>
      <c r="G471" s="42" t="s">
        <v>1907</v>
      </c>
      <c r="H471" s="44" t="s">
        <v>1975</v>
      </c>
      <c r="I471" s="44" t="s">
        <v>1908</v>
      </c>
      <c r="J471" s="50" t="s">
        <v>2129</v>
      </c>
      <c r="K471" s="50" t="s">
        <v>118</v>
      </c>
      <c r="L471" s="50" t="s">
        <v>2181</v>
      </c>
      <c r="M471" s="50">
        <v>468</v>
      </c>
    </row>
    <row r="472" spans="1:13" ht="15.75" x14ac:dyDescent="0.25">
      <c r="A472" s="48">
        <v>469</v>
      </c>
      <c r="B472" s="44" t="s">
        <v>1957</v>
      </c>
      <c r="C472" s="44" t="s">
        <v>1477</v>
      </c>
      <c r="D472" s="49" t="s">
        <v>80</v>
      </c>
      <c r="E472" s="205">
        <v>27.76</v>
      </c>
      <c r="F472" s="44" t="s">
        <v>269</v>
      </c>
      <c r="G472" s="42" t="s">
        <v>1905</v>
      </c>
      <c r="H472" s="44" t="s">
        <v>1975</v>
      </c>
      <c r="I472" s="44" t="s">
        <v>1906</v>
      </c>
      <c r="J472" s="50" t="s">
        <v>2129</v>
      </c>
      <c r="K472" s="50" t="s">
        <v>118</v>
      </c>
      <c r="L472" s="50" t="s">
        <v>2181</v>
      </c>
      <c r="M472" s="50">
        <v>469</v>
      </c>
    </row>
    <row r="473" spans="1:13" ht="15.75" x14ac:dyDescent="0.25">
      <c r="A473" s="48">
        <v>470</v>
      </c>
      <c r="B473" s="44" t="s">
        <v>1957</v>
      </c>
      <c r="C473" s="44" t="s">
        <v>1902</v>
      </c>
      <c r="D473" s="49" t="s">
        <v>80</v>
      </c>
      <c r="E473" s="205">
        <v>19.899999999999999</v>
      </c>
      <c r="F473" s="44" t="s">
        <v>269</v>
      </c>
      <c r="G473" s="42" t="s">
        <v>1903</v>
      </c>
      <c r="H473" s="44" t="s">
        <v>1976</v>
      </c>
      <c r="I473" s="44" t="s">
        <v>1904</v>
      </c>
      <c r="J473" s="50" t="s">
        <v>2129</v>
      </c>
      <c r="K473" s="50" t="s">
        <v>118</v>
      </c>
      <c r="L473" s="50" t="s">
        <v>2181</v>
      </c>
      <c r="M473" s="50">
        <v>470</v>
      </c>
    </row>
    <row r="474" spans="1:13" ht="15.75" x14ac:dyDescent="0.25">
      <c r="A474" s="48">
        <v>471</v>
      </c>
      <c r="B474" s="44" t="s">
        <v>1957</v>
      </c>
      <c r="C474" s="44" t="s">
        <v>1514</v>
      </c>
      <c r="D474" s="49" t="s">
        <v>80</v>
      </c>
      <c r="E474" s="205">
        <v>63.49</v>
      </c>
      <c r="F474" s="44" t="s">
        <v>269</v>
      </c>
      <c r="G474" s="42" t="s">
        <v>1900</v>
      </c>
      <c r="H474" s="44" t="s">
        <v>1977</v>
      </c>
      <c r="I474" s="44" t="s">
        <v>1901</v>
      </c>
      <c r="J474" s="50" t="s">
        <v>2129</v>
      </c>
      <c r="K474" s="50" t="s">
        <v>118</v>
      </c>
      <c r="L474" s="50" t="s">
        <v>2181</v>
      </c>
      <c r="M474" s="50">
        <v>471</v>
      </c>
    </row>
    <row r="475" spans="1:13" ht="15.75" x14ac:dyDescent="0.25">
      <c r="A475" s="48">
        <v>472</v>
      </c>
      <c r="B475" s="44" t="s">
        <v>1957</v>
      </c>
      <c r="C475" s="44" t="s">
        <v>1477</v>
      </c>
      <c r="D475" s="49" t="s">
        <v>80</v>
      </c>
      <c r="E475" s="205">
        <v>37.15</v>
      </c>
      <c r="F475" s="44" t="s">
        <v>269</v>
      </c>
      <c r="G475" s="42" t="s">
        <v>1898</v>
      </c>
      <c r="H475" s="44" t="s">
        <v>1978</v>
      </c>
      <c r="I475" s="44" t="s">
        <v>1899</v>
      </c>
      <c r="J475" s="50" t="s">
        <v>2129</v>
      </c>
      <c r="K475" s="50" t="s">
        <v>118</v>
      </c>
      <c r="L475" s="50" t="s">
        <v>2181</v>
      </c>
      <c r="M475" s="50">
        <v>472</v>
      </c>
    </row>
    <row r="476" spans="1:13" ht="15.75" x14ac:dyDescent="0.25">
      <c r="A476" s="48">
        <v>473</v>
      </c>
      <c r="B476" s="44" t="s">
        <v>1957</v>
      </c>
      <c r="C476" s="44" t="s">
        <v>1664</v>
      </c>
      <c r="D476" s="49" t="s">
        <v>80</v>
      </c>
      <c r="E476" s="205">
        <v>59.99</v>
      </c>
      <c r="F476" s="44" t="s">
        <v>269</v>
      </c>
      <c r="G476" s="42" t="s">
        <v>1896</v>
      </c>
      <c r="H476" s="44" t="s">
        <v>1979</v>
      </c>
      <c r="I476" s="44" t="s">
        <v>1897</v>
      </c>
      <c r="J476" s="50" t="s">
        <v>2129</v>
      </c>
      <c r="K476" s="50" t="s">
        <v>118</v>
      </c>
      <c r="L476" s="50" t="s">
        <v>2181</v>
      </c>
      <c r="M476" s="50">
        <v>473</v>
      </c>
    </row>
    <row r="477" spans="1:13" ht="15.75" x14ac:dyDescent="0.25">
      <c r="A477" s="48">
        <v>474</v>
      </c>
      <c r="B477" s="44" t="s">
        <v>1957</v>
      </c>
      <c r="C477" s="44" t="s">
        <v>1664</v>
      </c>
      <c r="D477" s="49" t="s">
        <v>80</v>
      </c>
      <c r="E477" s="205">
        <v>84.24</v>
      </c>
      <c r="F477" s="44" t="s">
        <v>269</v>
      </c>
      <c r="G477" s="42" t="s">
        <v>1894</v>
      </c>
      <c r="H477" s="44" t="s">
        <v>1979</v>
      </c>
      <c r="I477" s="44" t="s">
        <v>1895</v>
      </c>
      <c r="J477" s="50" t="s">
        <v>2129</v>
      </c>
      <c r="K477" s="50" t="s">
        <v>118</v>
      </c>
      <c r="L477" s="50" t="s">
        <v>2181</v>
      </c>
      <c r="M477" s="50">
        <v>474</v>
      </c>
    </row>
    <row r="478" spans="1:13" ht="15.75" x14ac:dyDescent="0.25">
      <c r="A478" s="48">
        <v>475</v>
      </c>
      <c r="B478" s="44" t="s">
        <v>1957</v>
      </c>
      <c r="C478" s="44" t="s">
        <v>1477</v>
      </c>
      <c r="D478" s="49" t="s">
        <v>80</v>
      </c>
      <c r="E478" s="205">
        <v>54.95</v>
      </c>
      <c r="F478" s="44" t="s">
        <v>269</v>
      </c>
      <c r="G478" s="42" t="s">
        <v>1892</v>
      </c>
      <c r="H478" s="44" t="s">
        <v>1979</v>
      </c>
      <c r="I478" s="44" t="s">
        <v>1893</v>
      </c>
      <c r="J478" s="50" t="s">
        <v>2129</v>
      </c>
      <c r="K478" s="50" t="s">
        <v>118</v>
      </c>
      <c r="L478" s="50" t="s">
        <v>2181</v>
      </c>
      <c r="M478" s="50">
        <v>475</v>
      </c>
    </row>
    <row r="479" spans="1:13" ht="15.75" x14ac:dyDescent="0.25">
      <c r="A479" s="48">
        <v>476</v>
      </c>
      <c r="B479" s="44" t="s">
        <v>1957</v>
      </c>
      <c r="C479" s="44" t="s">
        <v>1880</v>
      </c>
      <c r="D479" s="49" t="s">
        <v>80</v>
      </c>
      <c r="E479" s="205">
        <v>23.74</v>
      </c>
      <c r="F479" s="44" t="s">
        <v>269</v>
      </c>
      <c r="G479" s="42" t="s">
        <v>1890</v>
      </c>
      <c r="H479" s="44" t="s">
        <v>1171</v>
      </c>
      <c r="I479" s="44" t="s">
        <v>1891</v>
      </c>
      <c r="J479" s="50" t="s">
        <v>2129</v>
      </c>
      <c r="K479" s="50" t="s">
        <v>118</v>
      </c>
      <c r="L479" s="50" t="s">
        <v>2181</v>
      </c>
      <c r="M479" s="50">
        <v>476</v>
      </c>
    </row>
    <row r="480" spans="1:13" ht="15.75" x14ac:dyDescent="0.25">
      <c r="A480" s="48">
        <v>477</v>
      </c>
      <c r="B480" s="44" t="s">
        <v>1957</v>
      </c>
      <c r="C480" s="44" t="s">
        <v>1887</v>
      </c>
      <c r="D480" s="49" t="s">
        <v>80</v>
      </c>
      <c r="E480" s="205">
        <v>24.99</v>
      </c>
      <c r="F480" s="44" t="s">
        <v>269</v>
      </c>
      <c r="G480" s="42" t="s">
        <v>1888</v>
      </c>
      <c r="H480" s="44" t="s">
        <v>1980</v>
      </c>
      <c r="I480" s="44" t="s">
        <v>1889</v>
      </c>
      <c r="J480" s="50" t="s">
        <v>2129</v>
      </c>
      <c r="K480" s="50" t="s">
        <v>118</v>
      </c>
      <c r="L480" s="50" t="s">
        <v>2181</v>
      </c>
      <c r="M480" s="50">
        <v>477</v>
      </c>
    </row>
    <row r="481" spans="1:13" ht="15.75" x14ac:dyDescent="0.25">
      <c r="A481" s="48">
        <v>478</v>
      </c>
      <c r="B481" s="44" t="s">
        <v>1957</v>
      </c>
      <c r="C481" s="44" t="s">
        <v>1590</v>
      </c>
      <c r="D481" s="49" t="s">
        <v>80</v>
      </c>
      <c r="E481" s="205">
        <v>10.58</v>
      </c>
      <c r="F481" s="44" t="s">
        <v>269</v>
      </c>
      <c r="G481" s="42" t="s">
        <v>1885</v>
      </c>
      <c r="H481" s="44" t="s">
        <v>1981</v>
      </c>
      <c r="I481" s="44" t="s">
        <v>1886</v>
      </c>
      <c r="J481" s="50" t="s">
        <v>2129</v>
      </c>
      <c r="K481" s="50" t="s">
        <v>118</v>
      </c>
      <c r="L481" s="50" t="s">
        <v>2181</v>
      </c>
      <c r="M481" s="50">
        <v>478</v>
      </c>
    </row>
    <row r="482" spans="1:13" ht="15.75" x14ac:dyDescent="0.25">
      <c r="A482" s="48">
        <v>479</v>
      </c>
      <c r="B482" s="44" t="s">
        <v>1957</v>
      </c>
      <c r="C482" s="44" t="s">
        <v>1511</v>
      </c>
      <c r="D482" s="49" t="s">
        <v>80</v>
      </c>
      <c r="E482" s="205">
        <v>56.48</v>
      </c>
      <c r="F482" s="44" t="s">
        <v>269</v>
      </c>
      <c r="G482" s="42" t="s">
        <v>1883</v>
      </c>
      <c r="H482" s="44" t="s">
        <v>278</v>
      </c>
      <c r="I482" s="44" t="s">
        <v>1884</v>
      </c>
      <c r="J482" s="50" t="s">
        <v>2129</v>
      </c>
      <c r="K482" s="50" t="s">
        <v>118</v>
      </c>
      <c r="L482" s="50" t="s">
        <v>2181</v>
      </c>
      <c r="M482" s="50">
        <v>479</v>
      </c>
    </row>
    <row r="483" spans="1:13" ht="15.75" x14ac:dyDescent="0.25">
      <c r="A483" s="48">
        <v>480</v>
      </c>
      <c r="B483" s="44" t="s">
        <v>1957</v>
      </c>
      <c r="C483" s="44" t="s">
        <v>1880</v>
      </c>
      <c r="D483" s="49" t="s">
        <v>80</v>
      </c>
      <c r="E483" s="205">
        <v>43.04</v>
      </c>
      <c r="F483" s="44" t="s">
        <v>269</v>
      </c>
      <c r="G483" s="42" t="s">
        <v>1881</v>
      </c>
      <c r="H483" s="44" t="s">
        <v>1982</v>
      </c>
      <c r="I483" s="44" t="s">
        <v>1882</v>
      </c>
      <c r="J483" s="50" t="s">
        <v>2129</v>
      </c>
      <c r="K483" s="50" t="s">
        <v>118</v>
      </c>
      <c r="L483" s="50" t="s">
        <v>2181</v>
      </c>
      <c r="M483" s="50">
        <v>480</v>
      </c>
    </row>
    <row r="484" spans="1:13" ht="15.75" x14ac:dyDescent="0.25">
      <c r="A484" s="48">
        <v>481</v>
      </c>
      <c r="B484" s="44" t="s">
        <v>1957</v>
      </c>
      <c r="C484" s="44" t="s">
        <v>1600</v>
      </c>
      <c r="D484" s="49" t="s">
        <v>80</v>
      </c>
      <c r="E484" s="205">
        <v>34.15</v>
      </c>
      <c r="F484" s="44" t="s">
        <v>269</v>
      </c>
      <c r="G484" s="42" t="s">
        <v>1878</v>
      </c>
      <c r="H484" s="44" t="s">
        <v>1983</v>
      </c>
      <c r="I484" s="44" t="s">
        <v>1879</v>
      </c>
      <c r="J484" s="50" t="s">
        <v>2129</v>
      </c>
      <c r="K484" s="50" t="s">
        <v>118</v>
      </c>
      <c r="L484" s="50" t="s">
        <v>2181</v>
      </c>
      <c r="M484" s="50">
        <v>481</v>
      </c>
    </row>
    <row r="485" spans="1:13" ht="15.75" x14ac:dyDescent="0.25">
      <c r="A485" s="48">
        <v>482</v>
      </c>
      <c r="B485" s="44" t="s">
        <v>1957</v>
      </c>
      <c r="C485" s="44" t="s">
        <v>1590</v>
      </c>
      <c r="D485" s="49" t="s">
        <v>80</v>
      </c>
      <c r="E485" s="205">
        <v>21.98</v>
      </c>
      <c r="F485" s="44" t="s">
        <v>269</v>
      </c>
      <c r="G485" s="42" t="s">
        <v>1876</v>
      </c>
      <c r="H485" s="44" t="s">
        <v>1984</v>
      </c>
      <c r="I485" s="139" t="s">
        <v>1877</v>
      </c>
      <c r="J485" s="50" t="s">
        <v>2129</v>
      </c>
      <c r="K485" s="50" t="s">
        <v>118</v>
      </c>
      <c r="L485" s="50" t="s">
        <v>2181</v>
      </c>
      <c r="M485" s="50">
        <v>482</v>
      </c>
    </row>
    <row r="486" spans="1:13" ht="15.75" x14ac:dyDescent="0.25">
      <c r="A486" s="48">
        <v>483</v>
      </c>
      <c r="B486" s="44" t="s">
        <v>1957</v>
      </c>
      <c r="C486" s="44" t="s">
        <v>1472</v>
      </c>
      <c r="D486" s="49" t="s">
        <v>80</v>
      </c>
      <c r="E486" s="205">
        <v>424.8</v>
      </c>
      <c r="F486" s="44" t="s">
        <v>269</v>
      </c>
      <c r="G486" s="42" t="s">
        <v>1874</v>
      </c>
      <c r="H486" s="44" t="s">
        <v>1985</v>
      </c>
      <c r="I486" s="44" t="s">
        <v>1875</v>
      </c>
      <c r="J486" s="50" t="s">
        <v>2129</v>
      </c>
      <c r="K486" s="50" t="s">
        <v>118</v>
      </c>
      <c r="L486" s="50" t="s">
        <v>2181</v>
      </c>
      <c r="M486" s="50">
        <v>483</v>
      </c>
    </row>
    <row r="487" spans="1:13" ht="15.75" x14ac:dyDescent="0.25">
      <c r="A487" s="48">
        <v>484</v>
      </c>
      <c r="B487" s="44" t="s">
        <v>1957</v>
      </c>
      <c r="C487" s="44" t="s">
        <v>1232</v>
      </c>
      <c r="D487" s="49" t="s">
        <v>80</v>
      </c>
      <c r="E487" s="205">
        <v>182.15</v>
      </c>
      <c r="F487" s="44" t="s">
        <v>269</v>
      </c>
      <c r="G487" s="42" t="s">
        <v>1872</v>
      </c>
      <c r="H487" s="44" t="s">
        <v>1986</v>
      </c>
      <c r="I487" s="44" t="s">
        <v>1873</v>
      </c>
      <c r="J487" s="50" t="s">
        <v>2131</v>
      </c>
      <c r="K487" s="50" t="s">
        <v>118</v>
      </c>
      <c r="L487" s="50" t="s">
        <v>2181</v>
      </c>
      <c r="M487" s="50">
        <v>484</v>
      </c>
    </row>
    <row r="488" spans="1:13" ht="15.75" x14ac:dyDescent="0.25">
      <c r="A488" s="48">
        <v>485</v>
      </c>
      <c r="B488" s="44" t="s">
        <v>1957</v>
      </c>
      <c r="C488" s="44" t="s">
        <v>1869</v>
      </c>
      <c r="D488" s="49" t="s">
        <v>80</v>
      </c>
      <c r="E488" s="205">
        <v>68.72</v>
      </c>
      <c r="F488" s="44" t="s">
        <v>269</v>
      </c>
      <c r="G488" s="42" t="s">
        <v>1870</v>
      </c>
      <c r="H488" s="44" t="s">
        <v>1986</v>
      </c>
      <c r="I488" s="44" t="s">
        <v>1871</v>
      </c>
      <c r="J488" s="50" t="s">
        <v>2129</v>
      </c>
      <c r="K488" s="50" t="s">
        <v>118</v>
      </c>
      <c r="L488" s="50" t="s">
        <v>2181</v>
      </c>
      <c r="M488" s="50">
        <v>485</v>
      </c>
    </row>
    <row r="489" spans="1:13" ht="15.75" x14ac:dyDescent="0.25">
      <c r="A489" s="48">
        <v>486</v>
      </c>
      <c r="B489" s="44" t="s">
        <v>1957</v>
      </c>
      <c r="C489" s="44" t="s">
        <v>1467</v>
      </c>
      <c r="D489" s="49" t="s">
        <v>80</v>
      </c>
      <c r="E489" s="205">
        <v>92.89</v>
      </c>
      <c r="F489" s="44" t="s">
        <v>269</v>
      </c>
      <c r="G489" s="42" t="s">
        <v>1867</v>
      </c>
      <c r="H489" s="44" t="s">
        <v>1987</v>
      </c>
      <c r="I489" s="44" t="s">
        <v>1868</v>
      </c>
      <c r="J489" s="50" t="s">
        <v>2129</v>
      </c>
      <c r="K489" s="50" t="s">
        <v>118</v>
      </c>
      <c r="L489" s="50" t="s">
        <v>2181</v>
      </c>
      <c r="M489" s="50">
        <v>486</v>
      </c>
    </row>
    <row r="490" spans="1:13" ht="15.75" x14ac:dyDescent="0.25">
      <c r="A490" s="48">
        <v>487</v>
      </c>
      <c r="B490" s="44" t="s">
        <v>1957</v>
      </c>
      <c r="C490" s="44" t="s">
        <v>147</v>
      </c>
      <c r="D490" s="49" t="s">
        <v>80</v>
      </c>
      <c r="E490" s="205">
        <v>15.99</v>
      </c>
      <c r="F490" s="44" t="s">
        <v>269</v>
      </c>
      <c r="G490" s="42" t="s">
        <v>1865</v>
      </c>
      <c r="H490" s="44" t="s">
        <v>1988</v>
      </c>
      <c r="I490" s="44" t="s">
        <v>1866</v>
      </c>
      <c r="J490" s="50" t="s">
        <v>2129</v>
      </c>
      <c r="K490" s="50" t="s">
        <v>118</v>
      </c>
      <c r="L490" s="50" t="s">
        <v>2181</v>
      </c>
      <c r="M490" s="50">
        <v>487</v>
      </c>
    </row>
    <row r="491" spans="1:13" ht="15.75" x14ac:dyDescent="0.25">
      <c r="A491" s="48">
        <v>488</v>
      </c>
      <c r="B491" s="44" t="s">
        <v>1957</v>
      </c>
      <c r="C491" s="44" t="s">
        <v>1862</v>
      </c>
      <c r="D491" s="49" t="s">
        <v>80</v>
      </c>
      <c r="E491" s="205">
        <v>28</v>
      </c>
      <c r="F491" s="44" t="s">
        <v>269</v>
      </c>
      <c r="G491" s="42" t="s">
        <v>1863</v>
      </c>
      <c r="H491" s="44" t="s">
        <v>1988</v>
      </c>
      <c r="I491" s="44" t="s">
        <v>1864</v>
      </c>
      <c r="J491" s="50" t="s">
        <v>2129</v>
      </c>
      <c r="K491" s="50" t="s">
        <v>118</v>
      </c>
      <c r="L491" s="50" t="s">
        <v>2181</v>
      </c>
      <c r="M491" s="50">
        <v>488</v>
      </c>
    </row>
    <row r="492" spans="1:13" ht="15.75" x14ac:dyDescent="0.25">
      <c r="A492" s="48">
        <v>489</v>
      </c>
      <c r="B492" s="44" t="s">
        <v>1957</v>
      </c>
      <c r="C492" s="44" t="s">
        <v>1041</v>
      </c>
      <c r="D492" s="49" t="s">
        <v>80</v>
      </c>
      <c r="E492" s="205">
        <v>200</v>
      </c>
      <c r="F492" s="44" t="s">
        <v>269</v>
      </c>
      <c r="G492" s="42" t="s">
        <v>1860</v>
      </c>
      <c r="H492" s="44" t="s">
        <v>1988</v>
      </c>
      <c r="I492" s="44" t="s">
        <v>1861</v>
      </c>
      <c r="J492" s="50" t="s">
        <v>2129</v>
      </c>
      <c r="K492" s="50" t="s">
        <v>118</v>
      </c>
      <c r="L492" s="50" t="s">
        <v>2181</v>
      </c>
      <c r="M492" s="50">
        <v>489</v>
      </c>
    </row>
    <row r="493" spans="1:13" ht="15.75" x14ac:dyDescent="0.25">
      <c r="A493" s="48">
        <v>490</v>
      </c>
      <c r="B493" s="44" t="s">
        <v>1957</v>
      </c>
      <c r="C493" s="44" t="s">
        <v>1511</v>
      </c>
      <c r="D493" s="49" t="s">
        <v>80</v>
      </c>
      <c r="E493" s="205">
        <v>27.89</v>
      </c>
      <c r="F493" s="44" t="s">
        <v>269</v>
      </c>
      <c r="G493" s="42" t="s">
        <v>1858</v>
      </c>
      <c r="H493" s="44" t="s">
        <v>1989</v>
      </c>
      <c r="I493" s="44" t="s">
        <v>1859</v>
      </c>
      <c r="J493" s="50" t="s">
        <v>2129</v>
      </c>
      <c r="K493" s="50" t="s">
        <v>118</v>
      </c>
      <c r="L493" s="50" t="s">
        <v>2181</v>
      </c>
      <c r="M493" s="50">
        <v>490</v>
      </c>
    </row>
    <row r="494" spans="1:13" ht="15.75" x14ac:dyDescent="0.25">
      <c r="A494" s="48">
        <v>491</v>
      </c>
      <c r="B494" s="44" t="s">
        <v>1957</v>
      </c>
      <c r="C494" s="44" t="s">
        <v>1517</v>
      </c>
      <c r="D494" s="49" t="s">
        <v>80</v>
      </c>
      <c r="E494" s="205">
        <v>8.1999999999999993</v>
      </c>
      <c r="F494" s="44" t="s">
        <v>269</v>
      </c>
      <c r="G494" s="42" t="s">
        <v>1856</v>
      </c>
      <c r="H494" s="44" t="s">
        <v>1989</v>
      </c>
      <c r="I494" s="44" t="s">
        <v>1857</v>
      </c>
      <c r="J494" s="50" t="s">
        <v>2129</v>
      </c>
      <c r="K494" s="50" t="s">
        <v>118</v>
      </c>
      <c r="L494" s="50" t="s">
        <v>2181</v>
      </c>
      <c r="M494" s="50">
        <v>491</v>
      </c>
    </row>
    <row r="495" spans="1:13" ht="15.75" x14ac:dyDescent="0.25">
      <c r="A495" s="48">
        <v>492</v>
      </c>
      <c r="B495" s="44" t="s">
        <v>1957</v>
      </c>
      <c r="C495" s="44" t="s">
        <v>1467</v>
      </c>
      <c r="D495" s="49" t="s">
        <v>80</v>
      </c>
      <c r="E495" s="205">
        <v>40.99</v>
      </c>
      <c r="F495" s="44" t="s">
        <v>269</v>
      </c>
      <c r="G495" s="42" t="s">
        <v>1854</v>
      </c>
      <c r="H495" s="44" t="s">
        <v>1990</v>
      </c>
      <c r="I495" s="44" t="s">
        <v>1855</v>
      </c>
      <c r="J495" s="50" t="s">
        <v>2129</v>
      </c>
      <c r="K495" s="50" t="s">
        <v>118</v>
      </c>
      <c r="L495" s="50" t="s">
        <v>2181</v>
      </c>
      <c r="M495" s="50">
        <v>492</v>
      </c>
    </row>
    <row r="496" spans="1:13" ht="15.75" x14ac:dyDescent="0.25">
      <c r="A496" s="48">
        <v>493</v>
      </c>
      <c r="B496" s="44" t="s">
        <v>1957</v>
      </c>
      <c r="C496" s="44" t="s">
        <v>1517</v>
      </c>
      <c r="D496" s="49" t="s">
        <v>80</v>
      </c>
      <c r="E496" s="205">
        <v>3.51</v>
      </c>
      <c r="F496" s="44" t="s">
        <v>269</v>
      </c>
      <c r="G496" s="42" t="s">
        <v>1852</v>
      </c>
      <c r="H496" s="44" t="s">
        <v>1991</v>
      </c>
      <c r="I496" s="44" t="s">
        <v>1853</v>
      </c>
      <c r="J496" s="50" t="s">
        <v>2129</v>
      </c>
      <c r="K496" s="50" t="s">
        <v>118</v>
      </c>
      <c r="L496" s="50" t="s">
        <v>2181</v>
      </c>
      <c r="M496" s="50">
        <v>493</v>
      </c>
    </row>
    <row r="497" spans="1:13" ht="15.75" x14ac:dyDescent="0.25">
      <c r="A497" s="48">
        <v>494</v>
      </c>
      <c r="B497" s="44" t="s">
        <v>1957</v>
      </c>
      <c r="C497" s="44" t="s">
        <v>1477</v>
      </c>
      <c r="D497" s="49" t="s">
        <v>80</v>
      </c>
      <c r="E497" s="205">
        <v>40.86</v>
      </c>
      <c r="F497" s="44" t="s">
        <v>269</v>
      </c>
      <c r="G497" s="42" t="s">
        <v>1850</v>
      </c>
      <c r="H497" s="44" t="s">
        <v>1991</v>
      </c>
      <c r="I497" s="44" t="s">
        <v>1851</v>
      </c>
      <c r="J497" s="50" t="s">
        <v>2129</v>
      </c>
      <c r="K497" s="50" t="s">
        <v>118</v>
      </c>
      <c r="L497" s="50" t="s">
        <v>2181</v>
      </c>
      <c r="M497" s="50">
        <v>494</v>
      </c>
    </row>
    <row r="498" spans="1:13" ht="15.75" x14ac:dyDescent="0.25">
      <c r="A498" s="48">
        <v>495</v>
      </c>
      <c r="B498" s="44" t="s">
        <v>1957</v>
      </c>
      <c r="C498" s="44" t="s">
        <v>1467</v>
      </c>
      <c r="D498" s="49" t="s">
        <v>80</v>
      </c>
      <c r="E498" s="205">
        <v>39.619999999999997</v>
      </c>
      <c r="F498" s="44" t="s">
        <v>269</v>
      </c>
      <c r="G498" s="42" t="s">
        <v>1848</v>
      </c>
      <c r="H498" s="44" t="s">
        <v>1992</v>
      </c>
      <c r="I498" s="44" t="s">
        <v>1849</v>
      </c>
      <c r="J498" s="50" t="s">
        <v>2129</v>
      </c>
      <c r="K498" s="50" t="s">
        <v>118</v>
      </c>
      <c r="L498" s="50" t="s">
        <v>2181</v>
      </c>
      <c r="M498" s="50">
        <v>495</v>
      </c>
    </row>
    <row r="499" spans="1:13" ht="15.75" x14ac:dyDescent="0.25">
      <c r="A499" s="48">
        <v>496</v>
      </c>
      <c r="B499" s="44" t="s">
        <v>1957</v>
      </c>
      <c r="C499" s="44" t="s">
        <v>1232</v>
      </c>
      <c r="D499" s="49" t="s">
        <v>80</v>
      </c>
      <c r="E499" s="205">
        <v>15.38</v>
      </c>
      <c r="F499" s="44" t="s">
        <v>269</v>
      </c>
      <c r="G499" s="42" t="s">
        <v>1846</v>
      </c>
      <c r="H499" s="44" t="s">
        <v>1993</v>
      </c>
      <c r="I499" s="44" t="s">
        <v>1847</v>
      </c>
      <c r="J499" s="50" t="s">
        <v>2129</v>
      </c>
      <c r="K499" s="50" t="s">
        <v>118</v>
      </c>
      <c r="L499" s="50" t="s">
        <v>2181</v>
      </c>
      <c r="M499" s="50">
        <v>496</v>
      </c>
    </row>
    <row r="500" spans="1:13" ht="15.75" x14ac:dyDescent="0.25">
      <c r="A500" s="48">
        <v>497</v>
      </c>
      <c r="B500" s="44" t="s">
        <v>1957</v>
      </c>
      <c r="C500" s="44" t="s">
        <v>1590</v>
      </c>
      <c r="D500" s="49" t="s">
        <v>80</v>
      </c>
      <c r="E500" s="205">
        <v>24.56</v>
      </c>
      <c r="F500" s="44" t="s">
        <v>269</v>
      </c>
      <c r="G500" s="42" t="s">
        <v>1844</v>
      </c>
      <c r="H500" s="44" t="s">
        <v>1994</v>
      </c>
      <c r="I500" s="44" t="s">
        <v>1845</v>
      </c>
      <c r="J500" s="50" t="s">
        <v>2129</v>
      </c>
      <c r="K500" s="50" t="s">
        <v>118</v>
      </c>
      <c r="L500" s="50" t="s">
        <v>2181</v>
      </c>
      <c r="M500" s="50">
        <v>497</v>
      </c>
    </row>
    <row r="501" spans="1:13" ht="15.75" x14ac:dyDescent="0.25">
      <c r="A501" s="48">
        <v>498</v>
      </c>
      <c r="B501" s="44" t="s">
        <v>1957</v>
      </c>
      <c r="C501" s="44" t="s">
        <v>1290</v>
      </c>
      <c r="D501" s="49" t="s">
        <v>80</v>
      </c>
      <c r="E501" s="205">
        <v>18.89</v>
      </c>
      <c r="F501" s="44" t="s">
        <v>269</v>
      </c>
      <c r="G501" s="42" t="s">
        <v>1842</v>
      </c>
      <c r="H501" s="44" t="s">
        <v>1995</v>
      </c>
      <c r="I501" s="44" t="s">
        <v>1843</v>
      </c>
      <c r="J501" s="50" t="s">
        <v>2129</v>
      </c>
      <c r="K501" s="50" t="s">
        <v>118</v>
      </c>
      <c r="L501" s="50" t="s">
        <v>2181</v>
      </c>
      <c r="M501" s="50">
        <v>498</v>
      </c>
    </row>
    <row r="502" spans="1:13" ht="15.75" x14ac:dyDescent="0.25">
      <c r="A502" s="48">
        <v>499</v>
      </c>
      <c r="B502" s="44" t="s">
        <v>1957</v>
      </c>
      <c r="C502" s="44" t="s">
        <v>1839</v>
      </c>
      <c r="D502" s="49" t="s">
        <v>80</v>
      </c>
      <c r="E502" s="205">
        <v>47.7</v>
      </c>
      <c r="F502" s="44" t="s">
        <v>269</v>
      </c>
      <c r="G502" s="42" t="s">
        <v>1840</v>
      </c>
      <c r="H502" s="44" t="s">
        <v>1995</v>
      </c>
      <c r="I502" s="44" t="s">
        <v>1841</v>
      </c>
      <c r="J502" s="50" t="s">
        <v>2129</v>
      </c>
      <c r="K502" s="50" t="s">
        <v>118</v>
      </c>
      <c r="L502" s="50" t="s">
        <v>2181</v>
      </c>
      <c r="M502" s="50">
        <v>499</v>
      </c>
    </row>
    <row r="503" spans="1:13" ht="15.75" x14ac:dyDescent="0.25">
      <c r="A503" s="48">
        <v>500</v>
      </c>
      <c r="B503" s="44" t="s">
        <v>1957</v>
      </c>
      <c r="C503" s="44" t="s">
        <v>1603</v>
      </c>
      <c r="D503" s="49" t="s">
        <v>80</v>
      </c>
      <c r="E503" s="205">
        <v>154.1</v>
      </c>
      <c r="F503" s="44" t="s">
        <v>269</v>
      </c>
      <c r="G503" s="42" t="s">
        <v>1837</v>
      </c>
      <c r="H503" s="44" t="s">
        <v>1996</v>
      </c>
      <c r="I503" s="44" t="s">
        <v>1838</v>
      </c>
      <c r="J503" s="50" t="s">
        <v>2129</v>
      </c>
      <c r="K503" s="50" t="s">
        <v>118</v>
      </c>
      <c r="L503" s="50" t="s">
        <v>2181</v>
      </c>
      <c r="M503" s="50">
        <v>500</v>
      </c>
    </row>
    <row r="504" spans="1:13" ht="15.75" x14ac:dyDescent="0.25">
      <c r="A504" s="48">
        <v>501</v>
      </c>
      <c r="B504" s="44" t="s">
        <v>1957</v>
      </c>
      <c r="C504" s="44" t="s">
        <v>1834</v>
      </c>
      <c r="D504" s="49" t="s">
        <v>81</v>
      </c>
      <c r="E504" s="205">
        <v>24.9</v>
      </c>
      <c r="F504" s="44" t="s">
        <v>269</v>
      </c>
      <c r="G504" s="42" t="s">
        <v>1835</v>
      </c>
      <c r="H504" s="44" t="s">
        <v>1997</v>
      </c>
      <c r="I504" s="44" t="s">
        <v>1836</v>
      </c>
      <c r="J504" s="50" t="s">
        <v>2129</v>
      </c>
      <c r="K504" s="50" t="s">
        <v>118</v>
      </c>
      <c r="L504" s="50" t="s">
        <v>2181</v>
      </c>
      <c r="M504" s="50">
        <v>501</v>
      </c>
    </row>
    <row r="505" spans="1:13" ht="15.75" x14ac:dyDescent="0.25">
      <c r="A505" s="48">
        <v>502</v>
      </c>
      <c r="B505" s="44" t="s">
        <v>1957</v>
      </c>
      <c r="C505" s="44" t="s">
        <v>1708</v>
      </c>
      <c r="D505" s="49" t="s">
        <v>81</v>
      </c>
      <c r="E505" s="205">
        <v>88.03</v>
      </c>
      <c r="F505" s="44" t="s">
        <v>269</v>
      </c>
      <c r="G505" s="42" t="s">
        <v>1832</v>
      </c>
      <c r="H505" s="44" t="s">
        <v>1998</v>
      </c>
      <c r="I505" s="44" t="s">
        <v>1833</v>
      </c>
      <c r="J505" s="50" t="s">
        <v>2129</v>
      </c>
      <c r="K505" s="50" t="s">
        <v>118</v>
      </c>
      <c r="L505" s="50" t="s">
        <v>2181</v>
      </c>
      <c r="M505" s="50">
        <v>502</v>
      </c>
    </row>
    <row r="506" spans="1:13" ht="15.75" x14ac:dyDescent="0.25">
      <c r="A506" s="48">
        <v>503</v>
      </c>
      <c r="B506" s="44" t="s">
        <v>1957</v>
      </c>
      <c r="C506" s="44" t="s">
        <v>1467</v>
      </c>
      <c r="D506" s="49" t="s">
        <v>81</v>
      </c>
      <c r="E506" s="205">
        <v>40.74</v>
      </c>
      <c r="F506" s="44" t="s">
        <v>269</v>
      </c>
      <c r="G506" s="42" t="s">
        <v>1830</v>
      </c>
      <c r="H506" s="44" t="s">
        <v>1999</v>
      </c>
      <c r="I506" s="44" t="s">
        <v>1831</v>
      </c>
      <c r="J506" s="50" t="s">
        <v>2129</v>
      </c>
      <c r="K506" s="50" t="s">
        <v>118</v>
      </c>
      <c r="L506" s="50" t="s">
        <v>2181</v>
      </c>
      <c r="M506" s="50">
        <v>503</v>
      </c>
    </row>
    <row r="507" spans="1:13" ht="15.75" x14ac:dyDescent="0.25">
      <c r="A507" s="48">
        <v>504</v>
      </c>
      <c r="B507" s="44" t="s">
        <v>1957</v>
      </c>
      <c r="C507" s="44" t="s">
        <v>1508</v>
      </c>
      <c r="D507" s="49" t="s">
        <v>81</v>
      </c>
      <c r="E507" s="205">
        <v>4.1900000000000004</v>
      </c>
      <c r="F507" s="44" t="s">
        <v>269</v>
      </c>
      <c r="G507" s="42" t="s">
        <v>1828</v>
      </c>
      <c r="H507" s="44" t="s">
        <v>2000</v>
      </c>
      <c r="I507" s="44" t="s">
        <v>1829</v>
      </c>
      <c r="J507" s="50" t="s">
        <v>2129</v>
      </c>
      <c r="K507" s="50" t="s">
        <v>118</v>
      </c>
      <c r="L507" s="50" t="s">
        <v>2181</v>
      </c>
      <c r="M507" s="50">
        <v>504</v>
      </c>
    </row>
    <row r="508" spans="1:13" ht="15.75" x14ac:dyDescent="0.25">
      <c r="A508" s="48">
        <v>505</v>
      </c>
      <c r="B508" s="44" t="s">
        <v>1957</v>
      </c>
      <c r="C508" s="44" t="s">
        <v>1511</v>
      </c>
      <c r="D508" s="49" t="s">
        <v>81</v>
      </c>
      <c r="E508" s="205">
        <v>25.69</v>
      </c>
      <c r="F508" s="44" t="s">
        <v>269</v>
      </c>
      <c r="G508" s="42" t="s">
        <v>1826</v>
      </c>
      <c r="H508" s="44" t="s">
        <v>2001</v>
      </c>
      <c r="I508" s="44" t="s">
        <v>1827</v>
      </c>
      <c r="J508" s="50" t="s">
        <v>2129</v>
      </c>
      <c r="K508" s="50" t="s">
        <v>118</v>
      </c>
      <c r="L508" s="50" t="s">
        <v>2181</v>
      </c>
      <c r="M508" s="50">
        <v>505</v>
      </c>
    </row>
    <row r="509" spans="1:13" ht="15.75" x14ac:dyDescent="0.25">
      <c r="A509" s="48">
        <v>506</v>
      </c>
      <c r="B509" s="44" t="s">
        <v>1957</v>
      </c>
      <c r="C509" s="44" t="s">
        <v>1823</v>
      </c>
      <c r="D509" s="49" t="s">
        <v>81</v>
      </c>
      <c r="E509" s="205">
        <v>17.62</v>
      </c>
      <c r="F509" s="44" t="s">
        <v>269</v>
      </c>
      <c r="G509" s="42" t="s">
        <v>1824</v>
      </c>
      <c r="H509" s="44" t="s">
        <v>2001</v>
      </c>
      <c r="I509" s="44" t="s">
        <v>1825</v>
      </c>
      <c r="J509" s="50" t="s">
        <v>2129</v>
      </c>
      <c r="K509" s="50" t="s">
        <v>118</v>
      </c>
      <c r="L509" s="50" t="s">
        <v>2181</v>
      </c>
      <c r="M509" s="50">
        <v>506</v>
      </c>
    </row>
    <row r="510" spans="1:13" ht="15.75" x14ac:dyDescent="0.25">
      <c r="A510" s="48">
        <v>507</v>
      </c>
      <c r="B510" s="44" t="s">
        <v>1957</v>
      </c>
      <c r="C510" s="44" t="s">
        <v>1477</v>
      </c>
      <c r="D510" s="49" t="s">
        <v>81</v>
      </c>
      <c r="E510" s="205">
        <v>51.99</v>
      </c>
      <c r="F510" s="44" t="s">
        <v>269</v>
      </c>
      <c r="G510" s="42" t="s">
        <v>1821</v>
      </c>
      <c r="H510" s="44" t="s">
        <v>2001</v>
      </c>
      <c r="I510" s="44" t="s">
        <v>1822</v>
      </c>
      <c r="J510" s="50" t="s">
        <v>2129</v>
      </c>
      <c r="K510" s="50" t="s">
        <v>118</v>
      </c>
      <c r="L510" s="50" t="s">
        <v>2181</v>
      </c>
      <c r="M510" s="50">
        <v>507</v>
      </c>
    </row>
    <row r="511" spans="1:13" ht="15.75" x14ac:dyDescent="0.25">
      <c r="A511" s="48">
        <v>508</v>
      </c>
      <c r="B511" s="44" t="s">
        <v>1957</v>
      </c>
      <c r="C511" s="44" t="s">
        <v>1818</v>
      </c>
      <c r="D511" s="49" t="s">
        <v>81</v>
      </c>
      <c r="E511" s="205">
        <v>4</v>
      </c>
      <c r="F511" s="44" t="s">
        <v>269</v>
      </c>
      <c r="G511" s="42" t="s">
        <v>1819</v>
      </c>
      <c r="H511" s="44" t="s">
        <v>2002</v>
      </c>
      <c r="I511" s="44" t="s">
        <v>1820</v>
      </c>
      <c r="J511" s="50" t="s">
        <v>2129</v>
      </c>
      <c r="K511" s="50" t="s">
        <v>118</v>
      </c>
      <c r="L511" s="50" t="s">
        <v>2181</v>
      </c>
      <c r="M511" s="50">
        <v>508</v>
      </c>
    </row>
    <row r="512" spans="1:13" ht="15.75" x14ac:dyDescent="0.25">
      <c r="A512" s="48">
        <v>509</v>
      </c>
      <c r="B512" s="44" t="s">
        <v>1957</v>
      </c>
      <c r="C512" s="44" t="s">
        <v>1540</v>
      </c>
      <c r="D512" s="49" t="s">
        <v>81</v>
      </c>
      <c r="E512" s="205">
        <v>15.86</v>
      </c>
      <c r="F512" s="44" t="s">
        <v>269</v>
      </c>
      <c r="G512" s="42" t="s">
        <v>1816</v>
      </c>
      <c r="H512" s="44" t="s">
        <v>287</v>
      </c>
      <c r="I512" s="44" t="s">
        <v>1817</v>
      </c>
      <c r="J512" s="50" t="s">
        <v>2129</v>
      </c>
      <c r="K512" s="50" t="s">
        <v>118</v>
      </c>
      <c r="L512" s="50" t="s">
        <v>2181</v>
      </c>
      <c r="M512" s="50">
        <v>509</v>
      </c>
    </row>
    <row r="513" spans="1:13" ht="15.75" x14ac:dyDescent="0.25">
      <c r="A513" s="48">
        <v>510</v>
      </c>
      <c r="B513" s="44" t="s">
        <v>1957</v>
      </c>
      <c r="C513" s="44" t="s">
        <v>1467</v>
      </c>
      <c r="D513" s="49" t="s">
        <v>81</v>
      </c>
      <c r="E513" s="205">
        <v>64.430000000000007</v>
      </c>
      <c r="F513" s="44" t="s">
        <v>269</v>
      </c>
      <c r="G513" s="42" t="s">
        <v>1814</v>
      </c>
      <c r="H513" s="44" t="s">
        <v>2003</v>
      </c>
      <c r="I513" s="44" t="s">
        <v>1815</v>
      </c>
      <c r="J513" s="50" t="s">
        <v>2129</v>
      </c>
      <c r="K513" s="50" t="s">
        <v>118</v>
      </c>
      <c r="L513" s="50" t="s">
        <v>2181</v>
      </c>
      <c r="M513" s="50">
        <v>510</v>
      </c>
    </row>
    <row r="514" spans="1:13" ht="15.75" x14ac:dyDescent="0.25">
      <c r="A514" s="48">
        <v>511</v>
      </c>
      <c r="B514" s="44" t="s">
        <v>1957</v>
      </c>
      <c r="C514" s="44" t="s">
        <v>1811</v>
      </c>
      <c r="D514" s="49" t="s">
        <v>81</v>
      </c>
      <c r="E514" s="205">
        <v>4</v>
      </c>
      <c r="F514" s="44" t="s">
        <v>269</v>
      </c>
      <c r="G514" s="42" t="s">
        <v>1812</v>
      </c>
      <c r="H514" s="44" t="s">
        <v>2004</v>
      </c>
      <c r="I514" s="44" t="s">
        <v>1813</v>
      </c>
      <c r="J514" s="50" t="s">
        <v>2129</v>
      </c>
      <c r="K514" s="50" t="s">
        <v>118</v>
      </c>
      <c r="L514" s="50" t="s">
        <v>2181</v>
      </c>
      <c r="M514" s="50">
        <v>511</v>
      </c>
    </row>
    <row r="515" spans="1:13" ht="15.75" x14ac:dyDescent="0.25">
      <c r="A515" s="48">
        <v>512</v>
      </c>
      <c r="B515" s="44" t="s">
        <v>1957</v>
      </c>
      <c r="C515" s="44" t="s">
        <v>1664</v>
      </c>
      <c r="D515" s="49" t="s">
        <v>81</v>
      </c>
      <c r="E515" s="205">
        <v>91.91</v>
      </c>
      <c r="F515" s="44" t="s">
        <v>269</v>
      </c>
      <c r="G515" s="42" t="s">
        <v>1809</v>
      </c>
      <c r="H515" s="44" t="s">
        <v>1415</v>
      </c>
      <c r="I515" s="44" t="s">
        <v>1810</v>
      </c>
      <c r="J515" s="50" t="s">
        <v>2129</v>
      </c>
      <c r="K515" s="50" t="s">
        <v>118</v>
      </c>
      <c r="L515" s="50" t="s">
        <v>2181</v>
      </c>
      <c r="M515" s="50">
        <v>512</v>
      </c>
    </row>
    <row r="516" spans="1:13" ht="15.75" x14ac:dyDescent="0.25">
      <c r="A516" s="48">
        <v>513</v>
      </c>
      <c r="B516" s="44" t="s">
        <v>1957</v>
      </c>
      <c r="C516" s="44" t="s">
        <v>1806</v>
      </c>
      <c r="D516" s="49" t="s">
        <v>81</v>
      </c>
      <c r="E516" s="205">
        <v>24.22</v>
      </c>
      <c r="F516" s="44" t="s">
        <v>269</v>
      </c>
      <c r="G516" s="42" t="s">
        <v>1807</v>
      </c>
      <c r="H516" s="44" t="s">
        <v>2005</v>
      </c>
      <c r="I516" s="44" t="s">
        <v>1808</v>
      </c>
      <c r="J516" s="50" t="s">
        <v>2129</v>
      </c>
      <c r="K516" s="50" t="s">
        <v>118</v>
      </c>
      <c r="L516" s="50" t="s">
        <v>2181</v>
      </c>
      <c r="M516" s="50">
        <v>513</v>
      </c>
    </row>
    <row r="517" spans="1:13" ht="15.75" x14ac:dyDescent="0.25">
      <c r="A517" s="48">
        <v>514</v>
      </c>
      <c r="B517" s="44" t="s">
        <v>1957</v>
      </c>
      <c r="C517" s="44" t="s">
        <v>1508</v>
      </c>
      <c r="D517" s="49" t="s">
        <v>81</v>
      </c>
      <c r="E517" s="205">
        <v>19.75</v>
      </c>
      <c r="F517" s="44" t="s">
        <v>269</v>
      </c>
      <c r="G517" s="42" t="s">
        <v>1804</v>
      </c>
      <c r="H517" s="44" t="s">
        <v>2006</v>
      </c>
      <c r="I517" s="44" t="s">
        <v>1805</v>
      </c>
      <c r="J517" s="50" t="s">
        <v>2129</v>
      </c>
      <c r="K517" s="50" t="s">
        <v>118</v>
      </c>
      <c r="L517" s="50" t="s">
        <v>2181</v>
      </c>
      <c r="M517" s="50">
        <v>514</v>
      </c>
    </row>
    <row r="518" spans="1:13" ht="15.75" x14ac:dyDescent="0.25">
      <c r="A518" s="48">
        <v>515</v>
      </c>
      <c r="B518" s="44" t="s">
        <v>1957</v>
      </c>
      <c r="C518" s="44" t="s">
        <v>1749</v>
      </c>
      <c r="D518" s="49" t="s">
        <v>81</v>
      </c>
      <c r="E518" s="205">
        <v>2.5</v>
      </c>
      <c r="F518" s="44" t="s">
        <v>269</v>
      </c>
      <c r="G518" s="42" t="s">
        <v>1802</v>
      </c>
      <c r="H518" s="44" t="s">
        <v>2006</v>
      </c>
      <c r="I518" s="44" t="s">
        <v>1803</v>
      </c>
      <c r="J518" s="50" t="s">
        <v>2129</v>
      </c>
      <c r="K518" s="50" t="s">
        <v>118</v>
      </c>
      <c r="L518" s="50" t="s">
        <v>2181</v>
      </c>
      <c r="M518" s="50">
        <v>515</v>
      </c>
    </row>
    <row r="519" spans="1:13" ht="15.75" x14ac:dyDescent="0.25">
      <c r="A519" s="48">
        <v>516</v>
      </c>
      <c r="B519" s="44" t="s">
        <v>1957</v>
      </c>
      <c r="C519" s="44" t="s">
        <v>1600</v>
      </c>
      <c r="D519" s="49" t="s">
        <v>81</v>
      </c>
      <c r="E519" s="205">
        <v>23.09</v>
      </c>
      <c r="F519" s="44" t="s">
        <v>269</v>
      </c>
      <c r="G519" s="42" t="s">
        <v>1800</v>
      </c>
      <c r="H519" s="44" t="s">
        <v>2006</v>
      </c>
      <c r="I519" s="44" t="s">
        <v>1801</v>
      </c>
      <c r="J519" s="50" t="s">
        <v>2129</v>
      </c>
      <c r="K519" s="50" t="s">
        <v>118</v>
      </c>
      <c r="L519" s="50" t="s">
        <v>2181</v>
      </c>
      <c r="M519" s="50">
        <v>516</v>
      </c>
    </row>
    <row r="520" spans="1:13" ht="15.75" x14ac:dyDescent="0.25">
      <c r="A520" s="48">
        <v>517</v>
      </c>
      <c r="B520" s="44" t="s">
        <v>1957</v>
      </c>
      <c r="C520" s="44" t="s">
        <v>1540</v>
      </c>
      <c r="D520" s="49" t="s">
        <v>81</v>
      </c>
      <c r="E520" s="205">
        <v>2.83</v>
      </c>
      <c r="F520" s="44" t="s">
        <v>269</v>
      </c>
      <c r="G520" s="42" t="s">
        <v>1798</v>
      </c>
      <c r="H520" s="44" t="s">
        <v>2006</v>
      </c>
      <c r="I520" s="44" t="s">
        <v>1799</v>
      </c>
      <c r="J520" s="50" t="s">
        <v>2129</v>
      </c>
      <c r="K520" s="50" t="s">
        <v>118</v>
      </c>
      <c r="L520" s="50" t="s">
        <v>2181</v>
      </c>
      <c r="M520" s="50">
        <v>517</v>
      </c>
    </row>
    <row r="521" spans="1:13" ht="15.75" x14ac:dyDescent="0.25">
      <c r="A521" s="48">
        <v>518</v>
      </c>
      <c r="B521" s="44" t="s">
        <v>1957</v>
      </c>
      <c r="C521" s="44" t="s">
        <v>1508</v>
      </c>
      <c r="D521" s="49" t="s">
        <v>81</v>
      </c>
      <c r="E521" s="205">
        <v>35.880000000000003</v>
      </c>
      <c r="F521" s="44" t="s">
        <v>269</v>
      </c>
      <c r="G521" s="42" t="s">
        <v>1796</v>
      </c>
      <c r="H521" s="44" t="s">
        <v>2006</v>
      </c>
      <c r="I521" s="44" t="s">
        <v>1797</v>
      </c>
      <c r="J521" s="50" t="s">
        <v>2129</v>
      </c>
      <c r="K521" s="50" t="s">
        <v>118</v>
      </c>
      <c r="L521" s="50" t="s">
        <v>2181</v>
      </c>
      <c r="M521" s="50">
        <v>518</v>
      </c>
    </row>
    <row r="522" spans="1:13" ht="15.75" x14ac:dyDescent="0.25">
      <c r="A522" s="48">
        <v>519</v>
      </c>
      <c r="B522" s="44" t="s">
        <v>1957</v>
      </c>
      <c r="C522" s="44" t="s">
        <v>1508</v>
      </c>
      <c r="D522" s="49" t="s">
        <v>81</v>
      </c>
      <c r="E522" s="205">
        <v>19.760000000000002</v>
      </c>
      <c r="F522" s="44" t="s">
        <v>269</v>
      </c>
      <c r="G522" s="42" t="s">
        <v>1794</v>
      </c>
      <c r="H522" s="44" t="s">
        <v>2007</v>
      </c>
      <c r="I522" s="44" t="s">
        <v>1795</v>
      </c>
      <c r="J522" s="50" t="s">
        <v>2129</v>
      </c>
      <c r="K522" s="50" t="s">
        <v>118</v>
      </c>
      <c r="L522" s="50" t="s">
        <v>2181</v>
      </c>
      <c r="M522" s="50">
        <v>519</v>
      </c>
    </row>
    <row r="523" spans="1:13" ht="15.75" x14ac:dyDescent="0.25">
      <c r="A523" s="48">
        <v>520</v>
      </c>
      <c r="B523" s="44" t="s">
        <v>1957</v>
      </c>
      <c r="C523" s="44" t="s">
        <v>1511</v>
      </c>
      <c r="D523" s="49" t="s">
        <v>81</v>
      </c>
      <c r="E523" s="205">
        <v>45.6</v>
      </c>
      <c r="F523" s="44" t="s">
        <v>269</v>
      </c>
      <c r="G523" s="42" t="s">
        <v>1792</v>
      </c>
      <c r="H523" s="44" t="s">
        <v>2008</v>
      </c>
      <c r="I523" s="44" t="s">
        <v>1793</v>
      </c>
      <c r="J523" s="50" t="s">
        <v>2129</v>
      </c>
      <c r="K523" s="50" t="s">
        <v>118</v>
      </c>
      <c r="L523" s="50" t="s">
        <v>2181</v>
      </c>
      <c r="M523" s="50">
        <v>520</v>
      </c>
    </row>
    <row r="524" spans="1:13" ht="15.75" x14ac:dyDescent="0.25">
      <c r="A524" s="48">
        <v>521</v>
      </c>
      <c r="B524" s="44" t="s">
        <v>1957</v>
      </c>
      <c r="C524" s="44" t="s">
        <v>1749</v>
      </c>
      <c r="D524" s="49" t="s">
        <v>81</v>
      </c>
      <c r="E524" s="205">
        <v>6.66</v>
      </c>
      <c r="F524" s="44" t="s">
        <v>269</v>
      </c>
      <c r="G524" s="42" t="s">
        <v>1790</v>
      </c>
      <c r="H524" s="44" t="s">
        <v>2009</v>
      </c>
      <c r="I524" s="44" t="s">
        <v>1791</v>
      </c>
      <c r="J524" s="50" t="s">
        <v>2129</v>
      </c>
      <c r="K524" s="50" t="s">
        <v>118</v>
      </c>
      <c r="L524" s="50" t="s">
        <v>2181</v>
      </c>
      <c r="M524" s="50">
        <v>521</v>
      </c>
    </row>
    <row r="525" spans="1:13" ht="15.75" x14ac:dyDescent="0.25">
      <c r="A525" s="48">
        <v>522</v>
      </c>
      <c r="B525" s="44" t="s">
        <v>1957</v>
      </c>
      <c r="C525" s="44" t="s">
        <v>1600</v>
      </c>
      <c r="D525" s="49" t="s">
        <v>81</v>
      </c>
      <c r="E525" s="205">
        <v>7.9</v>
      </c>
      <c r="F525" s="44" t="s">
        <v>269</v>
      </c>
      <c r="G525" s="42" t="s">
        <v>1788</v>
      </c>
      <c r="H525" s="44" t="s">
        <v>2009</v>
      </c>
      <c r="I525" s="44" t="s">
        <v>1789</v>
      </c>
      <c r="J525" s="50" t="s">
        <v>2129</v>
      </c>
      <c r="K525" s="50" t="s">
        <v>118</v>
      </c>
      <c r="L525" s="50" t="s">
        <v>2181</v>
      </c>
      <c r="M525" s="50">
        <v>522</v>
      </c>
    </row>
    <row r="526" spans="1:13" ht="15.75" x14ac:dyDescent="0.25">
      <c r="A526" s="48">
        <v>523</v>
      </c>
      <c r="B526" s="44" t="s">
        <v>1957</v>
      </c>
      <c r="C526" s="44" t="s">
        <v>1785</v>
      </c>
      <c r="D526" s="49" t="s">
        <v>81</v>
      </c>
      <c r="E526" s="205">
        <v>10</v>
      </c>
      <c r="F526" s="44" t="s">
        <v>269</v>
      </c>
      <c r="G526" s="42" t="s">
        <v>1786</v>
      </c>
      <c r="H526" s="44" t="s">
        <v>2010</v>
      </c>
      <c r="I526" s="44" t="s">
        <v>1787</v>
      </c>
      <c r="J526" s="50" t="s">
        <v>2129</v>
      </c>
      <c r="K526" s="50" t="s">
        <v>118</v>
      </c>
      <c r="L526" s="50" t="s">
        <v>2181</v>
      </c>
      <c r="M526" s="50">
        <v>523</v>
      </c>
    </row>
    <row r="527" spans="1:13" ht="15.75" x14ac:dyDescent="0.25">
      <c r="A527" s="48">
        <v>524</v>
      </c>
      <c r="B527" s="44" t="s">
        <v>1957</v>
      </c>
      <c r="C527" s="44" t="s">
        <v>1590</v>
      </c>
      <c r="D527" s="49" t="s">
        <v>81</v>
      </c>
      <c r="E527" s="205">
        <v>86.74</v>
      </c>
      <c r="F527" s="44" t="s">
        <v>269</v>
      </c>
      <c r="G527" s="42" t="s">
        <v>1783</v>
      </c>
      <c r="H527" s="44" t="s">
        <v>2010</v>
      </c>
      <c r="I527" s="44" t="s">
        <v>1784</v>
      </c>
      <c r="J527" s="50" t="s">
        <v>2129</v>
      </c>
      <c r="K527" s="50" t="s">
        <v>118</v>
      </c>
      <c r="L527" s="50" t="s">
        <v>2181</v>
      </c>
      <c r="M527" s="50">
        <v>524</v>
      </c>
    </row>
    <row r="528" spans="1:13" ht="15.75" x14ac:dyDescent="0.25">
      <c r="A528" s="48">
        <v>525</v>
      </c>
      <c r="B528" s="44" t="s">
        <v>1957</v>
      </c>
      <c r="C528" s="44" t="s">
        <v>1514</v>
      </c>
      <c r="D528" s="49" t="s">
        <v>81</v>
      </c>
      <c r="E528" s="205">
        <v>14.26</v>
      </c>
      <c r="F528" s="44" t="s">
        <v>269</v>
      </c>
      <c r="G528" s="42" t="s">
        <v>1781</v>
      </c>
      <c r="H528" s="44" t="s">
        <v>2011</v>
      </c>
      <c r="I528" s="44" t="s">
        <v>1782</v>
      </c>
      <c r="J528" s="50" t="s">
        <v>2129</v>
      </c>
      <c r="K528" s="50" t="s">
        <v>118</v>
      </c>
      <c r="L528" s="50" t="s">
        <v>2181</v>
      </c>
      <c r="M528" s="50">
        <v>525</v>
      </c>
    </row>
    <row r="529" spans="1:13" ht="15.75" x14ac:dyDescent="0.25">
      <c r="A529" s="48">
        <v>526</v>
      </c>
      <c r="B529" s="44" t="s">
        <v>1957</v>
      </c>
      <c r="C529" s="44" t="s">
        <v>162</v>
      </c>
      <c r="D529" s="49" t="s">
        <v>81</v>
      </c>
      <c r="E529" s="205">
        <v>36.119999999999997</v>
      </c>
      <c r="F529" s="44" t="s">
        <v>269</v>
      </c>
      <c r="G529" s="42" t="s">
        <v>1779</v>
      </c>
      <c r="H529" s="44" t="s">
        <v>2012</v>
      </c>
      <c r="I529" s="139" t="s">
        <v>1780</v>
      </c>
      <c r="J529" s="50" t="s">
        <v>2131</v>
      </c>
      <c r="K529" s="50" t="s">
        <v>118</v>
      </c>
      <c r="L529" s="50" t="s">
        <v>2181</v>
      </c>
      <c r="M529" s="50">
        <v>526</v>
      </c>
    </row>
    <row r="530" spans="1:13" ht="15.75" x14ac:dyDescent="0.25">
      <c r="A530" s="48">
        <v>527</v>
      </c>
      <c r="B530" s="44" t="s">
        <v>1957</v>
      </c>
      <c r="C530" s="44" t="s">
        <v>1774</v>
      </c>
      <c r="D530" s="49" t="s">
        <v>82</v>
      </c>
      <c r="E530" s="205">
        <v>23</v>
      </c>
      <c r="F530" s="44" t="s">
        <v>269</v>
      </c>
      <c r="G530" s="42" t="s">
        <v>1777</v>
      </c>
      <c r="H530" s="44" t="s">
        <v>2013</v>
      </c>
      <c r="I530" s="44" t="s">
        <v>1778</v>
      </c>
      <c r="J530" s="50" t="s">
        <v>2129</v>
      </c>
      <c r="K530" s="50" t="s">
        <v>118</v>
      </c>
      <c r="L530" s="50" t="s">
        <v>2181</v>
      </c>
      <c r="M530" s="50">
        <v>527</v>
      </c>
    </row>
    <row r="531" spans="1:13" ht="15.75" x14ac:dyDescent="0.25">
      <c r="A531" s="48">
        <v>528</v>
      </c>
      <c r="B531" s="44" t="s">
        <v>1957</v>
      </c>
      <c r="C531" s="44" t="s">
        <v>1774</v>
      </c>
      <c r="D531" s="49" t="s">
        <v>82</v>
      </c>
      <c r="E531" s="205">
        <v>3</v>
      </c>
      <c r="F531" s="44" t="s">
        <v>269</v>
      </c>
      <c r="G531" s="42" t="s">
        <v>1775</v>
      </c>
      <c r="H531" s="44" t="s">
        <v>2013</v>
      </c>
      <c r="I531" s="44" t="s">
        <v>1776</v>
      </c>
      <c r="J531" s="50" t="s">
        <v>2129</v>
      </c>
      <c r="K531" s="50" t="s">
        <v>118</v>
      </c>
      <c r="L531" s="50" t="s">
        <v>2181</v>
      </c>
      <c r="M531" s="50">
        <v>528</v>
      </c>
    </row>
    <row r="532" spans="1:13" ht="15.75" x14ac:dyDescent="0.25">
      <c r="A532" s="48">
        <v>529</v>
      </c>
      <c r="B532" s="44" t="s">
        <v>1957</v>
      </c>
      <c r="C532" s="44" t="s">
        <v>1467</v>
      </c>
      <c r="D532" s="49" t="s">
        <v>82</v>
      </c>
      <c r="E532" s="205">
        <v>27.24</v>
      </c>
      <c r="F532" s="44" t="s">
        <v>269</v>
      </c>
      <c r="G532" s="42" t="s">
        <v>1772</v>
      </c>
      <c r="H532" s="44" t="s">
        <v>2014</v>
      </c>
      <c r="I532" s="44" t="s">
        <v>1773</v>
      </c>
      <c r="J532" s="50" t="s">
        <v>2129</v>
      </c>
      <c r="K532" s="50" t="s">
        <v>118</v>
      </c>
      <c r="L532" s="50" t="s">
        <v>2181</v>
      </c>
      <c r="M532" s="50">
        <v>529</v>
      </c>
    </row>
    <row r="533" spans="1:13" ht="15.75" x14ac:dyDescent="0.25">
      <c r="A533" s="48">
        <v>530</v>
      </c>
      <c r="B533" s="44" t="s">
        <v>1957</v>
      </c>
      <c r="C533" s="44" t="s">
        <v>1664</v>
      </c>
      <c r="D533" s="49" t="s">
        <v>82</v>
      </c>
      <c r="E533" s="205">
        <v>69.92</v>
      </c>
      <c r="F533" s="44" t="s">
        <v>269</v>
      </c>
      <c r="G533" s="42" t="s">
        <v>1770</v>
      </c>
      <c r="H533" s="44" t="s">
        <v>2015</v>
      </c>
      <c r="I533" s="44" t="s">
        <v>1771</v>
      </c>
      <c r="J533" s="50" t="s">
        <v>2129</v>
      </c>
      <c r="K533" s="50" t="s">
        <v>118</v>
      </c>
      <c r="L533" s="50" t="s">
        <v>2181</v>
      </c>
      <c r="M533" s="50">
        <v>530</v>
      </c>
    </row>
    <row r="534" spans="1:13" ht="15.75" x14ac:dyDescent="0.25">
      <c r="A534" s="48">
        <v>531</v>
      </c>
      <c r="B534" s="44" t="s">
        <v>1957</v>
      </c>
      <c r="C534" s="44" t="s">
        <v>1472</v>
      </c>
      <c r="D534" s="49" t="s">
        <v>82</v>
      </c>
      <c r="E534" s="205">
        <v>370.65</v>
      </c>
      <c r="F534" s="44" t="s">
        <v>269</v>
      </c>
      <c r="G534" s="42" t="s">
        <v>1768</v>
      </c>
      <c r="H534" s="44" t="s">
        <v>2016</v>
      </c>
      <c r="I534" s="44" t="s">
        <v>1769</v>
      </c>
      <c r="J534" s="50" t="s">
        <v>2129</v>
      </c>
      <c r="K534" s="50" t="s">
        <v>118</v>
      </c>
      <c r="L534" s="50" t="s">
        <v>2181</v>
      </c>
      <c r="M534" s="50">
        <v>531</v>
      </c>
    </row>
    <row r="535" spans="1:13" ht="15.75" x14ac:dyDescent="0.25">
      <c r="A535" s="48">
        <v>532</v>
      </c>
      <c r="B535" s="44" t="s">
        <v>1957</v>
      </c>
      <c r="C535" s="44" t="s">
        <v>1508</v>
      </c>
      <c r="D535" s="49" t="s">
        <v>82</v>
      </c>
      <c r="E535" s="205">
        <v>33.28</v>
      </c>
      <c r="F535" s="44" t="s">
        <v>269</v>
      </c>
      <c r="G535" s="42" t="s">
        <v>1766</v>
      </c>
      <c r="H535" s="44" t="s">
        <v>2017</v>
      </c>
      <c r="I535" s="44" t="s">
        <v>1767</v>
      </c>
      <c r="J535" s="50" t="s">
        <v>2129</v>
      </c>
      <c r="K535" s="50" t="s">
        <v>118</v>
      </c>
      <c r="L535" s="50" t="s">
        <v>2181</v>
      </c>
      <c r="M535" s="50">
        <v>532</v>
      </c>
    </row>
    <row r="536" spans="1:13" ht="15.75" x14ac:dyDescent="0.25">
      <c r="A536" s="48">
        <v>533</v>
      </c>
      <c r="B536" s="44" t="s">
        <v>1957</v>
      </c>
      <c r="C536" s="44" t="s">
        <v>1579</v>
      </c>
      <c r="D536" s="49" t="s">
        <v>82</v>
      </c>
      <c r="E536" s="205">
        <v>11.12</v>
      </c>
      <c r="F536" s="44" t="s">
        <v>269</v>
      </c>
      <c r="G536" s="42" t="s">
        <v>1764</v>
      </c>
      <c r="H536" s="44" t="s">
        <v>2017</v>
      </c>
      <c r="I536" s="44" t="s">
        <v>1765</v>
      </c>
      <c r="J536" s="50" t="s">
        <v>2129</v>
      </c>
      <c r="K536" s="50" t="s">
        <v>118</v>
      </c>
      <c r="L536" s="50" t="s">
        <v>2181</v>
      </c>
      <c r="M536" s="50">
        <v>533</v>
      </c>
    </row>
    <row r="537" spans="1:13" ht="15.75" x14ac:dyDescent="0.25">
      <c r="A537" s="48">
        <v>534</v>
      </c>
      <c r="B537" s="44" t="s">
        <v>1957</v>
      </c>
      <c r="C537" s="44" t="s">
        <v>1221</v>
      </c>
      <c r="D537" s="49" t="s">
        <v>82</v>
      </c>
      <c r="E537" s="205">
        <v>10</v>
      </c>
      <c r="F537" s="44" t="s">
        <v>269</v>
      </c>
      <c r="G537" s="42" t="s">
        <v>1762</v>
      </c>
      <c r="H537" s="44" t="s">
        <v>2018</v>
      </c>
      <c r="I537" s="44" t="s">
        <v>1763</v>
      </c>
      <c r="J537" s="50" t="s">
        <v>2129</v>
      </c>
      <c r="K537" s="50" t="s">
        <v>118</v>
      </c>
      <c r="L537" s="50" t="s">
        <v>2181</v>
      </c>
      <c r="M537" s="50">
        <v>534</v>
      </c>
    </row>
    <row r="538" spans="1:13" ht="15.75" x14ac:dyDescent="0.25">
      <c r="A538" s="48">
        <v>535</v>
      </c>
      <c r="B538" s="44" t="s">
        <v>1957</v>
      </c>
      <c r="C538" s="44" t="s">
        <v>1633</v>
      </c>
      <c r="D538" s="49" t="s">
        <v>82</v>
      </c>
      <c r="E538" s="205">
        <v>30</v>
      </c>
      <c r="F538" s="44" t="s">
        <v>269</v>
      </c>
      <c r="G538" s="42" t="s">
        <v>1760</v>
      </c>
      <c r="H538" s="44" t="s">
        <v>2019</v>
      </c>
      <c r="I538" s="44" t="s">
        <v>1761</v>
      </c>
      <c r="J538" s="50" t="s">
        <v>2129</v>
      </c>
      <c r="K538" s="50" t="s">
        <v>118</v>
      </c>
      <c r="L538" s="50" t="s">
        <v>2181</v>
      </c>
      <c r="M538" s="50">
        <v>535</v>
      </c>
    </row>
    <row r="539" spans="1:13" ht="15.75" x14ac:dyDescent="0.25">
      <c r="A539" s="48">
        <v>536</v>
      </c>
      <c r="B539" s="44" t="s">
        <v>1957</v>
      </c>
      <c r="C539" s="44" t="s">
        <v>1467</v>
      </c>
      <c r="D539" s="49" t="s">
        <v>82</v>
      </c>
      <c r="E539" s="205">
        <v>4.9000000000000004</v>
      </c>
      <c r="F539" s="44" t="s">
        <v>269</v>
      </c>
      <c r="G539" s="42" t="s">
        <v>1758</v>
      </c>
      <c r="H539" s="44" t="s">
        <v>2020</v>
      </c>
      <c r="I539" s="44" t="s">
        <v>1759</v>
      </c>
      <c r="J539" s="50" t="s">
        <v>2129</v>
      </c>
      <c r="K539" s="50" t="s">
        <v>118</v>
      </c>
      <c r="L539" s="50" t="s">
        <v>2181</v>
      </c>
      <c r="M539" s="50">
        <v>536</v>
      </c>
    </row>
    <row r="540" spans="1:13" ht="15.75" x14ac:dyDescent="0.25">
      <c r="A540" s="48">
        <v>537</v>
      </c>
      <c r="B540" s="44" t="s">
        <v>1957</v>
      </c>
      <c r="C540" s="44" t="s">
        <v>1467</v>
      </c>
      <c r="D540" s="49" t="s">
        <v>82</v>
      </c>
      <c r="E540" s="205">
        <v>23.74</v>
      </c>
      <c r="F540" s="44" t="s">
        <v>269</v>
      </c>
      <c r="G540" s="42" t="s">
        <v>1756</v>
      </c>
      <c r="H540" s="44" t="s">
        <v>2021</v>
      </c>
      <c r="I540" s="44" t="s">
        <v>1757</v>
      </c>
      <c r="J540" s="50" t="s">
        <v>2129</v>
      </c>
      <c r="K540" s="50" t="s">
        <v>118</v>
      </c>
      <c r="L540" s="50" t="s">
        <v>2181</v>
      </c>
      <c r="M540" s="50">
        <v>537</v>
      </c>
    </row>
    <row r="541" spans="1:13" ht="15.75" x14ac:dyDescent="0.25">
      <c r="A541" s="48">
        <v>538</v>
      </c>
      <c r="B541" s="44" t="s">
        <v>1957</v>
      </c>
      <c r="C541" s="44" t="s">
        <v>1708</v>
      </c>
      <c r="D541" s="49" t="s">
        <v>82</v>
      </c>
      <c r="E541" s="205">
        <v>30.55</v>
      </c>
      <c r="F541" s="44" t="s">
        <v>269</v>
      </c>
      <c r="G541" s="42" t="s">
        <v>1754</v>
      </c>
      <c r="H541" s="44" t="s">
        <v>294</v>
      </c>
      <c r="I541" s="44" t="s">
        <v>1755</v>
      </c>
      <c r="J541" s="50" t="s">
        <v>2129</v>
      </c>
      <c r="K541" s="50" t="s">
        <v>118</v>
      </c>
      <c r="L541" s="50" t="s">
        <v>2181</v>
      </c>
      <c r="M541" s="50">
        <v>538</v>
      </c>
    </row>
    <row r="542" spans="1:13" ht="15.75" x14ac:dyDescent="0.25">
      <c r="A542" s="48">
        <v>539</v>
      </c>
      <c r="B542" s="44" t="s">
        <v>1957</v>
      </c>
      <c r="C542" s="44" t="s">
        <v>1467</v>
      </c>
      <c r="D542" s="49" t="s">
        <v>82</v>
      </c>
      <c r="E542" s="205">
        <v>23.74</v>
      </c>
      <c r="F542" s="44" t="s">
        <v>269</v>
      </c>
      <c r="G542" s="42" t="s">
        <v>1752</v>
      </c>
      <c r="H542" s="44" t="s">
        <v>2022</v>
      </c>
      <c r="I542" s="44" t="s">
        <v>1753</v>
      </c>
      <c r="J542" s="50" t="s">
        <v>2129</v>
      </c>
      <c r="K542" s="50" t="s">
        <v>118</v>
      </c>
      <c r="L542" s="50" t="s">
        <v>2181</v>
      </c>
      <c r="M542" s="50">
        <v>539</v>
      </c>
    </row>
    <row r="543" spans="1:13" ht="15.75" x14ac:dyDescent="0.25">
      <c r="A543" s="48">
        <v>540</v>
      </c>
      <c r="B543" s="44" t="s">
        <v>1957</v>
      </c>
      <c r="C543" s="44" t="s">
        <v>1749</v>
      </c>
      <c r="D543" s="49" t="s">
        <v>82</v>
      </c>
      <c r="E543" s="205">
        <v>5.36</v>
      </c>
      <c r="F543" s="44" t="s">
        <v>269</v>
      </c>
      <c r="G543" s="42" t="s">
        <v>1750</v>
      </c>
      <c r="H543" s="44" t="s">
        <v>2023</v>
      </c>
      <c r="I543" s="44" t="s">
        <v>1751</v>
      </c>
      <c r="J543" s="50" t="s">
        <v>2129</v>
      </c>
      <c r="K543" s="50" t="s">
        <v>118</v>
      </c>
      <c r="L543" s="50" t="s">
        <v>2181</v>
      </c>
      <c r="M543" s="50">
        <v>540</v>
      </c>
    </row>
    <row r="544" spans="1:13" ht="15.75" x14ac:dyDescent="0.25">
      <c r="A544" s="48">
        <v>541</v>
      </c>
      <c r="B544" s="44" t="s">
        <v>1957</v>
      </c>
      <c r="C544" s="44" t="s">
        <v>1508</v>
      </c>
      <c r="D544" s="49" t="s">
        <v>82</v>
      </c>
      <c r="E544" s="205">
        <v>3.98</v>
      </c>
      <c r="F544" s="44" t="s">
        <v>269</v>
      </c>
      <c r="G544" s="42" t="s">
        <v>1747</v>
      </c>
      <c r="H544" s="44" t="s">
        <v>2023</v>
      </c>
      <c r="I544" s="44" t="s">
        <v>1748</v>
      </c>
      <c r="J544" s="50" t="s">
        <v>2129</v>
      </c>
      <c r="K544" s="50" t="s">
        <v>118</v>
      </c>
      <c r="L544" s="50" t="s">
        <v>2181</v>
      </c>
      <c r="M544" s="50">
        <v>541</v>
      </c>
    </row>
    <row r="545" spans="1:13" ht="15.75" x14ac:dyDescent="0.25">
      <c r="A545" s="48">
        <v>542</v>
      </c>
      <c r="B545" s="44" t="s">
        <v>1957</v>
      </c>
      <c r="C545" s="44" t="s">
        <v>1636</v>
      </c>
      <c r="D545" s="49" t="s">
        <v>82</v>
      </c>
      <c r="E545" s="205">
        <v>3</v>
      </c>
      <c r="F545" s="44" t="s">
        <v>269</v>
      </c>
      <c r="G545" s="42" t="s">
        <v>1745</v>
      </c>
      <c r="H545" s="44" t="s">
        <v>2024</v>
      </c>
      <c r="I545" s="44" t="s">
        <v>1746</v>
      </c>
      <c r="J545" s="50" t="s">
        <v>2129</v>
      </c>
      <c r="K545" s="50" t="s">
        <v>118</v>
      </c>
      <c r="L545" s="50" t="s">
        <v>2181</v>
      </c>
      <c r="M545" s="50">
        <v>542</v>
      </c>
    </row>
    <row r="546" spans="1:13" ht="15.75" x14ac:dyDescent="0.25">
      <c r="A546" s="48">
        <v>543</v>
      </c>
      <c r="B546" s="44" t="s">
        <v>1957</v>
      </c>
      <c r="C546" s="44" t="s">
        <v>1590</v>
      </c>
      <c r="D546" s="49" t="s">
        <v>82</v>
      </c>
      <c r="E546" s="205">
        <v>21.99</v>
      </c>
      <c r="F546" s="44" t="s">
        <v>269</v>
      </c>
      <c r="G546" s="42" t="s">
        <v>1743</v>
      </c>
      <c r="H546" s="44" t="s">
        <v>2025</v>
      </c>
      <c r="I546" s="44" t="s">
        <v>1744</v>
      </c>
      <c r="J546" s="50" t="s">
        <v>2129</v>
      </c>
      <c r="K546" s="50" t="s">
        <v>118</v>
      </c>
      <c r="L546" s="50" t="s">
        <v>2181</v>
      </c>
      <c r="M546" s="50">
        <v>543</v>
      </c>
    </row>
    <row r="547" spans="1:13" ht="15.75" x14ac:dyDescent="0.25">
      <c r="A547" s="48">
        <v>544</v>
      </c>
      <c r="B547" s="44" t="s">
        <v>1957</v>
      </c>
      <c r="C547" s="44" t="s">
        <v>1467</v>
      </c>
      <c r="D547" s="49" t="s">
        <v>82</v>
      </c>
      <c r="E547" s="205">
        <v>25.49</v>
      </c>
      <c r="F547" s="44" t="s">
        <v>269</v>
      </c>
      <c r="G547" s="42" t="s">
        <v>1741</v>
      </c>
      <c r="H547" s="44" t="s">
        <v>2026</v>
      </c>
      <c r="I547" s="44" t="s">
        <v>1742</v>
      </c>
      <c r="J547" s="50" t="s">
        <v>2129</v>
      </c>
      <c r="K547" s="50" t="s">
        <v>118</v>
      </c>
      <c r="L547" s="50" t="s">
        <v>2181</v>
      </c>
      <c r="M547" s="50">
        <v>544</v>
      </c>
    </row>
    <row r="548" spans="1:13" ht="15.75" x14ac:dyDescent="0.25">
      <c r="A548" s="48">
        <v>545</v>
      </c>
      <c r="B548" s="44" t="s">
        <v>1957</v>
      </c>
      <c r="C548" s="44" t="s">
        <v>1738</v>
      </c>
      <c r="D548" s="49" t="s">
        <v>82</v>
      </c>
      <c r="E548" s="205">
        <v>69.8</v>
      </c>
      <c r="F548" s="44" t="s">
        <v>269</v>
      </c>
      <c r="G548" s="42" t="s">
        <v>1739</v>
      </c>
      <c r="H548" s="44" t="s">
        <v>366</v>
      </c>
      <c r="I548" s="44" t="s">
        <v>1740</v>
      </c>
      <c r="J548" s="50" t="s">
        <v>2129</v>
      </c>
      <c r="K548" s="50" t="s">
        <v>118</v>
      </c>
      <c r="L548" s="50" t="s">
        <v>2181</v>
      </c>
      <c r="M548" s="50">
        <v>545</v>
      </c>
    </row>
    <row r="549" spans="1:13" ht="15.75" x14ac:dyDescent="0.25">
      <c r="A549" s="48">
        <v>546</v>
      </c>
      <c r="B549" s="44" t="s">
        <v>1957</v>
      </c>
      <c r="C549" s="44" t="s">
        <v>1526</v>
      </c>
      <c r="D549" s="49" t="s">
        <v>82</v>
      </c>
      <c r="E549" s="205">
        <v>161.78</v>
      </c>
      <c r="F549" s="44" t="s">
        <v>269</v>
      </c>
      <c r="G549" s="42" t="s">
        <v>1736</v>
      </c>
      <c r="H549" s="44" t="s">
        <v>366</v>
      </c>
      <c r="I549" s="139" t="s">
        <v>1737</v>
      </c>
      <c r="J549" s="50" t="s">
        <v>2129</v>
      </c>
      <c r="K549" s="50" t="s">
        <v>118</v>
      </c>
      <c r="L549" s="50" t="s">
        <v>2181</v>
      </c>
      <c r="M549" s="50">
        <v>546</v>
      </c>
    </row>
    <row r="550" spans="1:13" ht="15.75" x14ac:dyDescent="0.25">
      <c r="A550" s="48">
        <v>547</v>
      </c>
      <c r="B550" s="44" t="s">
        <v>1957</v>
      </c>
      <c r="C550" s="44" t="s">
        <v>1590</v>
      </c>
      <c r="D550" s="49" t="s">
        <v>82</v>
      </c>
      <c r="E550" s="205">
        <v>51.46</v>
      </c>
      <c r="F550" s="44" t="s">
        <v>269</v>
      </c>
      <c r="G550" s="42" t="s">
        <v>1734</v>
      </c>
      <c r="H550" s="44" t="s">
        <v>2027</v>
      </c>
      <c r="I550" s="44" t="s">
        <v>1735</v>
      </c>
      <c r="J550" s="50" t="s">
        <v>2129</v>
      </c>
      <c r="K550" s="50" t="s">
        <v>118</v>
      </c>
      <c r="L550" s="50" t="s">
        <v>2181</v>
      </c>
      <c r="M550" s="50">
        <v>547</v>
      </c>
    </row>
    <row r="551" spans="1:13" ht="15.75" x14ac:dyDescent="0.25">
      <c r="A551" s="48">
        <v>548</v>
      </c>
      <c r="B551" s="44" t="s">
        <v>1957</v>
      </c>
      <c r="C551" s="44" t="s">
        <v>1545</v>
      </c>
      <c r="D551" s="49" t="s">
        <v>82</v>
      </c>
      <c r="E551" s="205">
        <v>15.15</v>
      </c>
      <c r="F551" s="44" t="s">
        <v>269</v>
      </c>
      <c r="G551" s="42" t="s">
        <v>1732</v>
      </c>
      <c r="H551" s="44" t="s">
        <v>2027</v>
      </c>
      <c r="I551" s="44" t="s">
        <v>1733</v>
      </c>
      <c r="J551" s="50" t="s">
        <v>2129</v>
      </c>
      <c r="K551" s="50" t="s">
        <v>118</v>
      </c>
      <c r="L551" s="50" t="s">
        <v>2181</v>
      </c>
      <c r="M551" s="50">
        <v>548</v>
      </c>
    </row>
    <row r="552" spans="1:13" ht="15.75" x14ac:dyDescent="0.25">
      <c r="A552" s="48">
        <v>549</v>
      </c>
      <c r="B552" s="44" t="s">
        <v>1957</v>
      </c>
      <c r="C552" s="44" t="s">
        <v>1464</v>
      </c>
      <c r="D552" s="49" t="s">
        <v>82</v>
      </c>
      <c r="E552" s="205">
        <v>686.88</v>
      </c>
      <c r="F552" s="44" t="s">
        <v>269</v>
      </c>
      <c r="G552" s="42" t="s">
        <v>1730</v>
      </c>
      <c r="H552" s="44" t="s">
        <v>2028</v>
      </c>
      <c r="I552" s="44" t="s">
        <v>1731</v>
      </c>
      <c r="J552" s="50" t="s">
        <v>2129</v>
      </c>
      <c r="K552" s="50" t="s">
        <v>118</v>
      </c>
      <c r="L552" s="50" t="s">
        <v>2181</v>
      </c>
      <c r="M552" s="50">
        <v>549</v>
      </c>
    </row>
    <row r="553" spans="1:13" ht="15.75" x14ac:dyDescent="0.25">
      <c r="A553" s="48">
        <v>550</v>
      </c>
      <c r="B553" s="44" t="s">
        <v>1957</v>
      </c>
      <c r="C553" s="44" t="s">
        <v>1467</v>
      </c>
      <c r="D553" s="49" t="s">
        <v>82</v>
      </c>
      <c r="E553" s="205">
        <v>69.239999999999995</v>
      </c>
      <c r="F553" s="44" t="s">
        <v>269</v>
      </c>
      <c r="G553" s="42" t="s">
        <v>1728</v>
      </c>
      <c r="H553" s="44" t="s">
        <v>2029</v>
      </c>
      <c r="I553" s="44" t="s">
        <v>1729</v>
      </c>
      <c r="J553" s="50" t="s">
        <v>2129</v>
      </c>
      <c r="K553" s="50" t="s">
        <v>118</v>
      </c>
      <c r="L553" s="50" t="s">
        <v>2181</v>
      </c>
      <c r="M553" s="50">
        <v>550</v>
      </c>
    </row>
    <row r="554" spans="1:13" ht="15.75" x14ac:dyDescent="0.25">
      <c r="A554" s="48">
        <v>551</v>
      </c>
      <c r="B554" s="44" t="s">
        <v>1957</v>
      </c>
      <c r="C554" s="44" t="s">
        <v>1467</v>
      </c>
      <c r="D554" s="49" t="s">
        <v>83</v>
      </c>
      <c r="E554" s="205">
        <v>28.49</v>
      </c>
      <c r="F554" s="44" t="s">
        <v>269</v>
      </c>
      <c r="G554" s="42" t="s">
        <v>1726</v>
      </c>
      <c r="H554" s="44" t="s">
        <v>2030</v>
      </c>
      <c r="I554" s="44" t="s">
        <v>1727</v>
      </c>
      <c r="J554" s="50" t="s">
        <v>2129</v>
      </c>
      <c r="K554" s="50" t="s">
        <v>118</v>
      </c>
      <c r="L554" s="50" t="s">
        <v>2181</v>
      </c>
      <c r="M554" s="50">
        <v>551</v>
      </c>
    </row>
    <row r="555" spans="1:13" ht="15.75" x14ac:dyDescent="0.25">
      <c r="A555" s="48">
        <v>552</v>
      </c>
      <c r="B555" s="44" t="s">
        <v>1957</v>
      </c>
      <c r="C555" s="44" t="s">
        <v>1508</v>
      </c>
      <c r="D555" s="49" t="s">
        <v>83</v>
      </c>
      <c r="E555" s="205">
        <v>29.34</v>
      </c>
      <c r="F555" s="44" t="s">
        <v>269</v>
      </c>
      <c r="G555" s="42" t="s">
        <v>1724</v>
      </c>
      <c r="H555" s="44" t="s">
        <v>2031</v>
      </c>
      <c r="I555" s="44" t="s">
        <v>1725</v>
      </c>
      <c r="J555" s="50" t="s">
        <v>2129</v>
      </c>
      <c r="K555" s="50" t="s">
        <v>118</v>
      </c>
      <c r="L555" s="50" t="s">
        <v>2181</v>
      </c>
      <c r="M555" s="50">
        <v>552</v>
      </c>
    </row>
    <row r="556" spans="1:13" ht="15.75" x14ac:dyDescent="0.25">
      <c r="A556" s="48">
        <v>553</v>
      </c>
      <c r="B556" s="44" t="s">
        <v>1957</v>
      </c>
      <c r="C556" s="44" t="s">
        <v>1517</v>
      </c>
      <c r="D556" s="49" t="s">
        <v>83</v>
      </c>
      <c r="E556" s="205">
        <v>26.29</v>
      </c>
      <c r="F556" s="44" t="s">
        <v>269</v>
      </c>
      <c r="G556" s="42" t="s">
        <v>1722</v>
      </c>
      <c r="H556" s="44" t="s">
        <v>298</v>
      </c>
      <c r="I556" s="44" t="s">
        <v>1723</v>
      </c>
      <c r="J556" s="50" t="s">
        <v>2129</v>
      </c>
      <c r="K556" s="50" t="s">
        <v>118</v>
      </c>
      <c r="L556" s="50" t="s">
        <v>2181</v>
      </c>
      <c r="M556" s="50">
        <v>553</v>
      </c>
    </row>
    <row r="557" spans="1:13" ht="15.75" x14ac:dyDescent="0.25">
      <c r="A557" s="48">
        <v>554</v>
      </c>
      <c r="B557" s="44" t="s">
        <v>1957</v>
      </c>
      <c r="C557" s="44" t="s">
        <v>1514</v>
      </c>
      <c r="D557" s="49" t="s">
        <v>83</v>
      </c>
      <c r="E557" s="205">
        <v>2.92</v>
      </c>
      <c r="F557" s="44" t="s">
        <v>269</v>
      </c>
      <c r="G557" s="42" t="s">
        <v>1720</v>
      </c>
      <c r="H557" s="44" t="s">
        <v>298</v>
      </c>
      <c r="I557" s="44" t="s">
        <v>1721</v>
      </c>
      <c r="J557" s="50" t="s">
        <v>2129</v>
      </c>
      <c r="K557" s="50" t="s">
        <v>118</v>
      </c>
      <c r="L557" s="50" t="s">
        <v>2181</v>
      </c>
      <c r="M557" s="50">
        <v>554</v>
      </c>
    </row>
    <row r="558" spans="1:13" ht="15.75" x14ac:dyDescent="0.25">
      <c r="A558" s="48">
        <v>555</v>
      </c>
      <c r="B558" s="44" t="s">
        <v>1957</v>
      </c>
      <c r="C558" s="44" t="s">
        <v>1263</v>
      </c>
      <c r="D558" s="49" t="s">
        <v>83</v>
      </c>
      <c r="E558" s="205">
        <v>8.24</v>
      </c>
      <c r="F558" s="44" t="s">
        <v>269</v>
      </c>
      <c r="G558" s="42" t="s">
        <v>1718</v>
      </c>
      <c r="H558" s="44" t="s">
        <v>2032</v>
      </c>
      <c r="I558" s="44" t="s">
        <v>1719</v>
      </c>
      <c r="J558" s="50" t="s">
        <v>2129</v>
      </c>
      <c r="K558" s="50" t="s">
        <v>118</v>
      </c>
      <c r="L558" s="50" t="s">
        <v>2181</v>
      </c>
      <c r="M558" s="50">
        <v>555</v>
      </c>
    </row>
    <row r="559" spans="1:13" ht="15.75" x14ac:dyDescent="0.25">
      <c r="A559" s="48">
        <v>556</v>
      </c>
      <c r="B559" s="44" t="s">
        <v>1957</v>
      </c>
      <c r="C559" s="44" t="s">
        <v>1467</v>
      </c>
      <c r="D559" s="49" t="s">
        <v>83</v>
      </c>
      <c r="E559" s="205">
        <v>55.33</v>
      </c>
      <c r="F559" s="44" t="s">
        <v>269</v>
      </c>
      <c r="G559" s="42" t="s">
        <v>1716</v>
      </c>
      <c r="H559" s="44" t="s">
        <v>2033</v>
      </c>
      <c r="I559" s="44" t="s">
        <v>1717</v>
      </c>
      <c r="J559" s="50" t="s">
        <v>2129</v>
      </c>
      <c r="K559" s="50" t="s">
        <v>118</v>
      </c>
      <c r="L559" s="50" t="s">
        <v>2181</v>
      </c>
      <c r="M559" s="50">
        <v>556</v>
      </c>
    </row>
    <row r="560" spans="1:13" ht="15.75" x14ac:dyDescent="0.25">
      <c r="A560" s="48">
        <v>557</v>
      </c>
      <c r="B560" s="44" t="s">
        <v>1957</v>
      </c>
      <c r="C560" s="44" t="s">
        <v>1713</v>
      </c>
      <c r="D560" s="49" t="s">
        <v>83</v>
      </c>
      <c r="E560" s="205">
        <v>20</v>
      </c>
      <c r="F560" s="44" t="s">
        <v>269</v>
      </c>
      <c r="G560" s="42" t="s">
        <v>1714</v>
      </c>
      <c r="H560" s="44" t="s">
        <v>2034</v>
      </c>
      <c r="I560" s="44" t="s">
        <v>1715</v>
      </c>
      <c r="J560" s="50" t="s">
        <v>2129</v>
      </c>
      <c r="K560" s="50" t="s">
        <v>118</v>
      </c>
      <c r="L560" s="50" t="s">
        <v>2181</v>
      </c>
      <c r="M560" s="50">
        <v>557</v>
      </c>
    </row>
    <row r="561" spans="1:13" ht="15.75" x14ac:dyDescent="0.25">
      <c r="A561" s="48">
        <v>558</v>
      </c>
      <c r="B561" s="44" t="s">
        <v>1957</v>
      </c>
      <c r="C561" s="44" t="s">
        <v>1467</v>
      </c>
      <c r="D561" s="49" t="s">
        <v>83</v>
      </c>
      <c r="E561" s="205">
        <v>14.99</v>
      </c>
      <c r="F561" s="44" t="s">
        <v>269</v>
      </c>
      <c r="G561" s="42" t="s">
        <v>1711</v>
      </c>
      <c r="H561" s="44" t="s">
        <v>2035</v>
      </c>
      <c r="I561" s="44" t="s">
        <v>1712</v>
      </c>
      <c r="J561" s="50" t="s">
        <v>2129</v>
      </c>
      <c r="K561" s="50" t="s">
        <v>118</v>
      </c>
      <c r="L561" s="50" t="s">
        <v>2181</v>
      </c>
      <c r="M561" s="50">
        <v>558</v>
      </c>
    </row>
    <row r="562" spans="1:13" ht="15.75" x14ac:dyDescent="0.25">
      <c r="A562" s="48">
        <v>559</v>
      </c>
      <c r="B562" s="44" t="s">
        <v>1957</v>
      </c>
      <c r="C562" s="44" t="s">
        <v>1708</v>
      </c>
      <c r="D562" s="49" t="s">
        <v>83</v>
      </c>
      <c r="E562" s="205">
        <v>54.97</v>
      </c>
      <c r="F562" s="44" t="s">
        <v>269</v>
      </c>
      <c r="G562" s="42" t="s">
        <v>1709</v>
      </c>
      <c r="H562" s="44" t="s">
        <v>1427</v>
      </c>
      <c r="I562" s="44" t="s">
        <v>1710</v>
      </c>
      <c r="J562" s="50" t="s">
        <v>2129</v>
      </c>
      <c r="K562" s="50" t="s">
        <v>118</v>
      </c>
      <c r="L562" s="50" t="s">
        <v>2181</v>
      </c>
      <c r="M562" s="50">
        <v>559</v>
      </c>
    </row>
    <row r="563" spans="1:13" ht="15.75" x14ac:dyDescent="0.25">
      <c r="A563" s="48">
        <v>560</v>
      </c>
      <c r="B563" s="44" t="s">
        <v>1957</v>
      </c>
      <c r="C563" s="44" t="s">
        <v>1526</v>
      </c>
      <c r="D563" s="49" t="s">
        <v>83</v>
      </c>
      <c r="E563" s="205">
        <v>74.97</v>
      </c>
      <c r="F563" s="44" t="s">
        <v>269</v>
      </c>
      <c r="G563" s="42" t="s">
        <v>1706</v>
      </c>
      <c r="H563" s="44" t="s">
        <v>1427</v>
      </c>
      <c r="I563" s="44" t="s">
        <v>1707</v>
      </c>
      <c r="J563" s="50" t="s">
        <v>2129</v>
      </c>
      <c r="K563" s="50" t="s">
        <v>118</v>
      </c>
      <c r="L563" s="50" t="s">
        <v>2181</v>
      </c>
      <c r="M563" s="50">
        <v>560</v>
      </c>
    </row>
    <row r="564" spans="1:13" ht="15.75" x14ac:dyDescent="0.25">
      <c r="A564" s="48">
        <v>561</v>
      </c>
      <c r="B564" s="44" t="s">
        <v>1957</v>
      </c>
      <c r="C564" s="44" t="s">
        <v>1511</v>
      </c>
      <c r="D564" s="49" t="s">
        <v>83</v>
      </c>
      <c r="E564" s="205">
        <v>16.98</v>
      </c>
      <c r="F564" s="44" t="s">
        <v>269</v>
      </c>
      <c r="G564" s="42" t="s">
        <v>1704</v>
      </c>
      <c r="H564" s="44" t="s">
        <v>2036</v>
      </c>
      <c r="I564" s="44" t="s">
        <v>1705</v>
      </c>
      <c r="J564" s="50" t="s">
        <v>2129</v>
      </c>
      <c r="K564" s="50" t="s">
        <v>118</v>
      </c>
      <c r="L564" s="50" t="s">
        <v>2181</v>
      </c>
      <c r="M564" s="50">
        <v>561</v>
      </c>
    </row>
    <row r="565" spans="1:13" ht="15.75" x14ac:dyDescent="0.25">
      <c r="A565" s="48">
        <v>562</v>
      </c>
      <c r="B565" s="44" t="s">
        <v>1957</v>
      </c>
      <c r="C565" s="44" t="s">
        <v>1467</v>
      </c>
      <c r="D565" s="49" t="s">
        <v>83</v>
      </c>
      <c r="E565" s="205">
        <v>27.24</v>
      </c>
      <c r="F565" s="44" t="s">
        <v>269</v>
      </c>
      <c r="G565" s="42" t="s">
        <v>1702</v>
      </c>
      <c r="H565" s="44" t="s">
        <v>2037</v>
      </c>
      <c r="I565" s="44" t="s">
        <v>1703</v>
      </c>
      <c r="J565" s="50" t="s">
        <v>2129</v>
      </c>
      <c r="K565" s="50" t="s">
        <v>118</v>
      </c>
      <c r="L565" s="50" t="s">
        <v>2181</v>
      </c>
      <c r="M565" s="50">
        <v>562</v>
      </c>
    </row>
    <row r="566" spans="1:13" ht="15.75" x14ac:dyDescent="0.25">
      <c r="A566" s="48">
        <v>563</v>
      </c>
      <c r="B566" s="44" t="s">
        <v>1957</v>
      </c>
      <c r="C566" s="44" t="s">
        <v>1545</v>
      </c>
      <c r="D566" s="49" t="s">
        <v>83</v>
      </c>
      <c r="E566" s="205">
        <v>205.69</v>
      </c>
      <c r="F566" s="44" t="s">
        <v>269</v>
      </c>
      <c r="G566" s="42" t="s">
        <v>1700</v>
      </c>
      <c r="H566" s="44" t="s">
        <v>2038</v>
      </c>
      <c r="I566" s="44" t="s">
        <v>1701</v>
      </c>
      <c r="J566" s="50" t="s">
        <v>2129</v>
      </c>
      <c r="K566" s="50" t="s">
        <v>118</v>
      </c>
      <c r="L566" s="50" t="s">
        <v>2181</v>
      </c>
      <c r="M566" s="50">
        <v>563</v>
      </c>
    </row>
    <row r="567" spans="1:13" ht="15.75" x14ac:dyDescent="0.25">
      <c r="A567" s="48">
        <v>564</v>
      </c>
      <c r="B567" s="44" t="s">
        <v>1957</v>
      </c>
      <c r="C567" s="44" t="s">
        <v>1697</v>
      </c>
      <c r="D567" s="49" t="s">
        <v>83</v>
      </c>
      <c r="E567" s="205">
        <v>11.33</v>
      </c>
      <c r="F567" s="44" t="s">
        <v>269</v>
      </c>
      <c r="G567" s="42" t="s">
        <v>1698</v>
      </c>
      <c r="H567" s="44" t="s">
        <v>1429</v>
      </c>
      <c r="I567" s="44" t="s">
        <v>1699</v>
      </c>
      <c r="J567" s="50" t="s">
        <v>2129</v>
      </c>
      <c r="K567" s="50" t="s">
        <v>118</v>
      </c>
      <c r="L567" s="50" t="s">
        <v>2181</v>
      </c>
      <c r="M567" s="50">
        <v>564</v>
      </c>
    </row>
    <row r="568" spans="1:13" ht="15.75" x14ac:dyDescent="0.25">
      <c r="A568" s="48">
        <v>565</v>
      </c>
      <c r="B568" s="44" t="s">
        <v>1957</v>
      </c>
      <c r="C568" s="44" t="s">
        <v>1540</v>
      </c>
      <c r="D568" s="49" t="s">
        <v>83</v>
      </c>
      <c r="E568" s="205">
        <v>43.41</v>
      </c>
      <c r="F568" s="44" t="s">
        <v>269</v>
      </c>
      <c r="G568" s="42" t="s">
        <v>1695</v>
      </c>
      <c r="H568" s="44" t="s">
        <v>2039</v>
      </c>
      <c r="I568" s="44" t="s">
        <v>1696</v>
      </c>
      <c r="J568" s="50" t="s">
        <v>2129</v>
      </c>
      <c r="K568" s="50" t="s">
        <v>118</v>
      </c>
      <c r="L568" s="50" t="s">
        <v>2181</v>
      </c>
      <c r="M568" s="50">
        <v>565</v>
      </c>
    </row>
    <row r="569" spans="1:13" ht="15.75" x14ac:dyDescent="0.25">
      <c r="A569" s="48">
        <v>566</v>
      </c>
      <c r="B569" s="44" t="s">
        <v>1957</v>
      </c>
      <c r="C569" s="44" t="s">
        <v>1467</v>
      </c>
      <c r="D569" s="49" t="s">
        <v>83</v>
      </c>
      <c r="E569" s="205">
        <v>65.02</v>
      </c>
      <c r="F569" s="44" t="s">
        <v>269</v>
      </c>
      <c r="G569" s="42" t="s">
        <v>1693</v>
      </c>
      <c r="H569" s="44" t="s">
        <v>2040</v>
      </c>
      <c r="I569" s="44" t="s">
        <v>1694</v>
      </c>
      <c r="J569" s="50" t="s">
        <v>2129</v>
      </c>
      <c r="K569" s="50" t="s">
        <v>118</v>
      </c>
      <c r="L569" s="50" t="s">
        <v>2181</v>
      </c>
      <c r="M569" s="50">
        <v>566</v>
      </c>
    </row>
    <row r="570" spans="1:13" ht="15.75" x14ac:dyDescent="0.25">
      <c r="A570" s="48">
        <v>567</v>
      </c>
      <c r="B570" s="44" t="s">
        <v>1957</v>
      </c>
      <c r="C570" s="44" t="s">
        <v>1690</v>
      </c>
      <c r="D570" s="49" t="s">
        <v>83</v>
      </c>
      <c r="E570" s="205">
        <v>20</v>
      </c>
      <c r="F570" s="44" t="s">
        <v>269</v>
      </c>
      <c r="G570" s="42" t="s">
        <v>1691</v>
      </c>
      <c r="H570" s="44" t="s">
        <v>2041</v>
      </c>
      <c r="I570" s="44" t="s">
        <v>1692</v>
      </c>
      <c r="J570" s="50" t="s">
        <v>2129</v>
      </c>
      <c r="K570" s="50" t="s">
        <v>118</v>
      </c>
      <c r="L570" s="50" t="s">
        <v>2181</v>
      </c>
      <c r="M570" s="50">
        <v>567</v>
      </c>
    </row>
    <row r="571" spans="1:13" ht="15.75" x14ac:dyDescent="0.25">
      <c r="A571" s="48">
        <v>568</v>
      </c>
      <c r="B571" s="44" t="s">
        <v>1957</v>
      </c>
      <c r="C571" s="44" t="s">
        <v>1649</v>
      </c>
      <c r="D571" s="49" t="s">
        <v>83</v>
      </c>
      <c r="E571" s="205">
        <v>75</v>
      </c>
      <c r="F571" s="44" t="s">
        <v>269</v>
      </c>
      <c r="G571" s="42" t="s">
        <v>1688</v>
      </c>
      <c r="H571" s="44" t="s">
        <v>2042</v>
      </c>
      <c r="I571" s="44" t="s">
        <v>1689</v>
      </c>
      <c r="J571" s="50" t="s">
        <v>2129</v>
      </c>
      <c r="K571" s="50" t="s">
        <v>118</v>
      </c>
      <c r="L571" s="50" t="s">
        <v>2181</v>
      </c>
      <c r="M571" s="50">
        <v>568</v>
      </c>
    </row>
    <row r="572" spans="1:13" ht="15.75" x14ac:dyDescent="0.25">
      <c r="A572" s="48">
        <v>569</v>
      </c>
      <c r="B572" s="44" t="s">
        <v>1957</v>
      </c>
      <c r="C572" s="44" t="s">
        <v>1636</v>
      </c>
      <c r="D572" s="49" t="s">
        <v>83</v>
      </c>
      <c r="E572" s="205">
        <v>4</v>
      </c>
      <c r="F572" s="44" t="s">
        <v>269</v>
      </c>
      <c r="G572" s="42" t="s">
        <v>1686</v>
      </c>
      <c r="H572" s="44" t="s">
        <v>2043</v>
      </c>
      <c r="I572" s="44" t="s">
        <v>1687</v>
      </c>
      <c r="J572" s="50" t="s">
        <v>2129</v>
      </c>
      <c r="K572" s="50" t="s">
        <v>118</v>
      </c>
      <c r="L572" s="50" t="s">
        <v>2181</v>
      </c>
      <c r="M572" s="50">
        <v>569</v>
      </c>
    </row>
    <row r="573" spans="1:13" ht="15.75" x14ac:dyDescent="0.25">
      <c r="A573" s="48">
        <v>570</v>
      </c>
      <c r="B573" s="44" t="s">
        <v>1957</v>
      </c>
      <c r="C573" s="44" t="s">
        <v>1477</v>
      </c>
      <c r="D573" s="49" t="s">
        <v>83</v>
      </c>
      <c r="E573" s="205">
        <v>15.47</v>
      </c>
      <c r="F573" s="44" t="s">
        <v>269</v>
      </c>
      <c r="G573" s="42" t="s">
        <v>1684</v>
      </c>
      <c r="H573" s="44" t="s">
        <v>303</v>
      </c>
      <c r="I573" s="44" t="s">
        <v>1685</v>
      </c>
      <c r="J573" s="50" t="s">
        <v>2129</v>
      </c>
      <c r="K573" s="50" t="s">
        <v>118</v>
      </c>
      <c r="L573" s="50" t="s">
        <v>2181</v>
      </c>
      <c r="M573" s="50">
        <v>570</v>
      </c>
    </row>
    <row r="574" spans="1:13" ht="15.75" x14ac:dyDescent="0.25">
      <c r="A574" s="48">
        <v>571</v>
      </c>
      <c r="B574" s="44" t="s">
        <v>1957</v>
      </c>
      <c r="C574" s="44" t="s">
        <v>1681</v>
      </c>
      <c r="D574" s="49" t="s">
        <v>83</v>
      </c>
      <c r="E574" s="205">
        <v>42.9</v>
      </c>
      <c r="F574" s="44" t="s">
        <v>269</v>
      </c>
      <c r="G574" s="42" t="s">
        <v>1682</v>
      </c>
      <c r="H574" s="44" t="s">
        <v>2044</v>
      </c>
      <c r="I574" s="44" t="s">
        <v>1683</v>
      </c>
      <c r="J574" s="50" t="s">
        <v>2129</v>
      </c>
      <c r="K574" s="50" t="s">
        <v>118</v>
      </c>
      <c r="L574" s="50" t="s">
        <v>2181</v>
      </c>
      <c r="M574" s="50">
        <v>571</v>
      </c>
    </row>
    <row r="575" spans="1:13" ht="15.75" x14ac:dyDescent="0.25">
      <c r="A575" s="48">
        <v>572</v>
      </c>
      <c r="B575" s="44" t="s">
        <v>1957</v>
      </c>
      <c r="C575" s="44" t="s">
        <v>1664</v>
      </c>
      <c r="D575" s="49" t="s">
        <v>83</v>
      </c>
      <c r="E575" s="205">
        <v>58.97</v>
      </c>
      <c r="F575" s="44" t="s">
        <v>269</v>
      </c>
      <c r="G575" s="42" t="s">
        <v>1679</v>
      </c>
      <c r="H575" s="44" t="s">
        <v>369</v>
      </c>
      <c r="I575" s="44" t="s">
        <v>1680</v>
      </c>
      <c r="J575" s="50" t="s">
        <v>2129</v>
      </c>
      <c r="K575" s="50" t="s">
        <v>118</v>
      </c>
      <c r="L575" s="50" t="s">
        <v>2181</v>
      </c>
      <c r="M575" s="50">
        <v>572</v>
      </c>
    </row>
    <row r="576" spans="1:13" ht="15.75" x14ac:dyDescent="0.25">
      <c r="A576" s="48">
        <v>573</v>
      </c>
      <c r="B576" s="44" t="s">
        <v>1957</v>
      </c>
      <c r="C576" s="44" t="s">
        <v>257</v>
      </c>
      <c r="D576" s="49" t="s">
        <v>83</v>
      </c>
      <c r="E576" s="205">
        <v>29</v>
      </c>
      <c r="F576" s="44" t="s">
        <v>269</v>
      </c>
      <c r="G576" s="42" t="s">
        <v>1677</v>
      </c>
      <c r="H576" s="44" t="s">
        <v>2045</v>
      </c>
      <c r="I576" s="44" t="s">
        <v>1678</v>
      </c>
      <c r="J576" s="50" t="s">
        <v>2131</v>
      </c>
      <c r="K576" s="50" t="s">
        <v>118</v>
      </c>
      <c r="L576" s="50" t="s">
        <v>2181</v>
      </c>
      <c r="M576" s="50">
        <v>573</v>
      </c>
    </row>
    <row r="577" spans="1:13" ht="15.75" x14ac:dyDescent="0.25">
      <c r="A577" s="48">
        <v>574</v>
      </c>
      <c r="B577" s="44" t="s">
        <v>1957</v>
      </c>
      <c r="C577" s="44" t="s">
        <v>1633</v>
      </c>
      <c r="D577" s="49" t="s">
        <v>83</v>
      </c>
      <c r="E577" s="205">
        <v>15</v>
      </c>
      <c r="F577" s="44" t="s">
        <v>269</v>
      </c>
      <c r="G577" s="42" t="s">
        <v>1675</v>
      </c>
      <c r="H577" s="44" t="s">
        <v>304</v>
      </c>
      <c r="I577" s="44" t="s">
        <v>1676</v>
      </c>
      <c r="J577" s="50" t="s">
        <v>2129</v>
      </c>
      <c r="K577" s="50" t="s">
        <v>118</v>
      </c>
      <c r="L577" s="50" t="s">
        <v>2181</v>
      </c>
      <c r="M577" s="50">
        <v>574</v>
      </c>
    </row>
    <row r="578" spans="1:13" ht="15.75" x14ac:dyDescent="0.25">
      <c r="A578" s="48">
        <v>575</v>
      </c>
      <c r="B578" s="44" t="s">
        <v>1957</v>
      </c>
      <c r="C578" s="44" t="s">
        <v>1664</v>
      </c>
      <c r="D578" s="49" t="s">
        <v>83</v>
      </c>
      <c r="E578" s="205">
        <v>254.65</v>
      </c>
      <c r="F578" s="44" t="s">
        <v>269</v>
      </c>
      <c r="G578" s="42" t="s">
        <v>1673</v>
      </c>
      <c r="H578" s="44" t="s">
        <v>304</v>
      </c>
      <c r="I578" s="44" t="s">
        <v>1674</v>
      </c>
      <c r="J578" s="50" t="s">
        <v>2129</v>
      </c>
      <c r="K578" s="50" t="s">
        <v>118</v>
      </c>
      <c r="L578" s="50" t="s">
        <v>2181</v>
      </c>
      <c r="M578" s="50">
        <v>575</v>
      </c>
    </row>
    <row r="579" spans="1:13" ht="15.75" x14ac:dyDescent="0.25">
      <c r="A579" s="48">
        <v>576</v>
      </c>
      <c r="B579" s="44" t="s">
        <v>1957</v>
      </c>
      <c r="C579" s="44" t="s">
        <v>1526</v>
      </c>
      <c r="D579" s="49" t="s">
        <v>83</v>
      </c>
      <c r="E579" s="205">
        <v>47.94</v>
      </c>
      <c r="F579" s="44" t="s">
        <v>269</v>
      </c>
      <c r="G579" s="42" t="s">
        <v>1671</v>
      </c>
      <c r="H579" s="44" t="s">
        <v>304</v>
      </c>
      <c r="I579" s="44" t="s">
        <v>1672</v>
      </c>
      <c r="J579" s="50" t="s">
        <v>2129</v>
      </c>
      <c r="K579" s="50" t="s">
        <v>118</v>
      </c>
      <c r="L579" s="50" t="s">
        <v>2181</v>
      </c>
      <c r="M579" s="50">
        <v>576</v>
      </c>
    </row>
    <row r="580" spans="1:13" ht="15.75" x14ac:dyDescent="0.25">
      <c r="A580" s="48">
        <v>577</v>
      </c>
      <c r="B580" s="44" t="s">
        <v>1957</v>
      </c>
      <c r="C580" s="44" t="s">
        <v>1467</v>
      </c>
      <c r="D580" s="49" t="s">
        <v>83</v>
      </c>
      <c r="E580" s="205">
        <v>31.98</v>
      </c>
      <c r="F580" s="44" t="s">
        <v>269</v>
      </c>
      <c r="G580" s="42" t="s">
        <v>1669</v>
      </c>
      <c r="H580" s="44" t="s">
        <v>2047</v>
      </c>
      <c r="I580" s="44" t="s">
        <v>1670</v>
      </c>
      <c r="J580" s="50" t="s">
        <v>2129</v>
      </c>
      <c r="K580" s="50" t="s">
        <v>118</v>
      </c>
      <c r="L580" s="50" t="s">
        <v>2181</v>
      </c>
      <c r="M580" s="50">
        <v>577</v>
      </c>
    </row>
    <row r="581" spans="1:13" ht="15.75" x14ac:dyDescent="0.25">
      <c r="A581" s="48">
        <v>578</v>
      </c>
      <c r="B581" s="44" t="s">
        <v>1957</v>
      </c>
      <c r="C581" s="44" t="s">
        <v>1472</v>
      </c>
      <c r="D581" s="49" t="s">
        <v>83</v>
      </c>
      <c r="E581" s="205">
        <v>308.13</v>
      </c>
      <c r="F581" s="44" t="s">
        <v>269</v>
      </c>
      <c r="G581" s="42" t="s">
        <v>1667</v>
      </c>
      <c r="H581" s="44" t="s">
        <v>2048</v>
      </c>
      <c r="I581" s="44" t="s">
        <v>1668</v>
      </c>
      <c r="J581" s="50" t="s">
        <v>2129</v>
      </c>
      <c r="K581" s="50" t="s">
        <v>118</v>
      </c>
      <c r="L581" s="50" t="s">
        <v>2181</v>
      </c>
      <c r="M581" s="50">
        <v>578</v>
      </c>
    </row>
    <row r="582" spans="1:13" ht="15.75" x14ac:dyDescent="0.25">
      <c r="A582" s="48">
        <v>579</v>
      </c>
      <c r="B582" s="44" t="s">
        <v>1957</v>
      </c>
      <c r="C582" s="44" t="s">
        <v>1664</v>
      </c>
      <c r="D582" s="49" t="s">
        <v>84</v>
      </c>
      <c r="E582" s="205">
        <v>22.95</v>
      </c>
      <c r="F582" s="44" t="s">
        <v>269</v>
      </c>
      <c r="G582" s="42" t="s">
        <v>1665</v>
      </c>
      <c r="H582" s="44" t="s">
        <v>305</v>
      </c>
      <c r="I582" s="44" t="s">
        <v>1666</v>
      </c>
      <c r="J582" s="50" t="s">
        <v>2129</v>
      </c>
      <c r="K582" s="50" t="s">
        <v>118</v>
      </c>
      <c r="L582" s="50" t="s">
        <v>2181</v>
      </c>
      <c r="M582" s="50">
        <v>579</v>
      </c>
    </row>
    <row r="583" spans="1:13" ht="15.75" x14ac:dyDescent="0.25">
      <c r="A583" s="48">
        <v>580</v>
      </c>
      <c r="B583" s="44" t="s">
        <v>1957</v>
      </c>
      <c r="C583" s="44" t="s">
        <v>1636</v>
      </c>
      <c r="D583" s="49" t="s">
        <v>84</v>
      </c>
      <c r="E583" s="205">
        <v>3</v>
      </c>
      <c r="F583" s="44" t="s">
        <v>269</v>
      </c>
      <c r="G583" s="42" t="s">
        <v>1662</v>
      </c>
      <c r="H583" s="44" t="s">
        <v>2049</v>
      </c>
      <c r="I583" s="44" t="s">
        <v>1663</v>
      </c>
      <c r="J583" s="50" t="s">
        <v>2129</v>
      </c>
      <c r="K583" s="50" t="s">
        <v>118</v>
      </c>
      <c r="L583" s="50" t="s">
        <v>2181</v>
      </c>
      <c r="M583" s="50">
        <v>580</v>
      </c>
    </row>
    <row r="584" spans="1:13" ht="15.75" x14ac:dyDescent="0.25">
      <c r="A584" s="48">
        <v>581</v>
      </c>
      <c r="B584" s="44" t="s">
        <v>1957</v>
      </c>
      <c r="C584" s="44" t="s">
        <v>1263</v>
      </c>
      <c r="D584" s="49" t="s">
        <v>84</v>
      </c>
      <c r="E584" s="205">
        <v>7.99</v>
      </c>
      <c r="F584" s="44" t="s">
        <v>269</v>
      </c>
      <c r="G584" s="42" t="s">
        <v>1660</v>
      </c>
      <c r="H584" s="44" t="s">
        <v>2049</v>
      </c>
      <c r="I584" s="139" t="s">
        <v>1661</v>
      </c>
      <c r="J584" s="50" t="s">
        <v>2129</v>
      </c>
      <c r="K584" s="50" t="s">
        <v>118</v>
      </c>
      <c r="L584" s="50" t="s">
        <v>2181</v>
      </c>
      <c r="M584" s="50">
        <v>581</v>
      </c>
    </row>
    <row r="585" spans="1:13" ht="15.75" x14ac:dyDescent="0.25">
      <c r="A585" s="48">
        <v>582</v>
      </c>
      <c r="B585" s="44" t="s">
        <v>1957</v>
      </c>
      <c r="C585" s="44" t="s">
        <v>1467</v>
      </c>
      <c r="D585" s="49" t="s">
        <v>84</v>
      </c>
      <c r="E585" s="205">
        <v>28.73</v>
      </c>
      <c r="F585" s="44" t="s">
        <v>269</v>
      </c>
      <c r="G585" s="42" t="s">
        <v>1658</v>
      </c>
      <c r="H585" s="44" t="s">
        <v>2050</v>
      </c>
      <c r="I585" s="44" t="s">
        <v>1659</v>
      </c>
      <c r="J585" s="50" t="s">
        <v>2129</v>
      </c>
      <c r="K585" s="50" t="s">
        <v>118</v>
      </c>
      <c r="L585" s="50" t="s">
        <v>2181</v>
      </c>
      <c r="M585" s="50">
        <v>582</v>
      </c>
    </row>
    <row r="586" spans="1:13" ht="15.75" x14ac:dyDescent="0.25">
      <c r="A586" s="48">
        <v>583</v>
      </c>
      <c r="B586" s="44" t="s">
        <v>1957</v>
      </c>
      <c r="C586" s="44" t="s">
        <v>1517</v>
      </c>
      <c r="D586" s="49" t="s">
        <v>84</v>
      </c>
      <c r="E586" s="205">
        <v>16.91</v>
      </c>
      <c r="F586" s="44" t="s">
        <v>269</v>
      </c>
      <c r="G586" s="42" t="s">
        <v>1656</v>
      </c>
      <c r="H586" s="44" t="s">
        <v>2051</v>
      </c>
      <c r="I586" s="44" t="s">
        <v>1657</v>
      </c>
      <c r="J586" s="50" t="s">
        <v>2129</v>
      </c>
      <c r="K586" s="50" t="s">
        <v>118</v>
      </c>
      <c r="L586" s="50" t="s">
        <v>2181</v>
      </c>
      <c r="M586" s="50">
        <v>583</v>
      </c>
    </row>
    <row r="587" spans="1:13" ht="15.75" x14ac:dyDescent="0.25">
      <c r="A587" s="48">
        <v>584</v>
      </c>
      <c r="B587" s="44" t="s">
        <v>1957</v>
      </c>
      <c r="C587" s="44" t="s">
        <v>1477</v>
      </c>
      <c r="D587" s="49" t="s">
        <v>84</v>
      </c>
      <c r="E587" s="205">
        <v>19.2</v>
      </c>
      <c r="F587" s="44" t="s">
        <v>269</v>
      </c>
      <c r="G587" s="42" t="s">
        <v>1654</v>
      </c>
      <c r="H587" s="44" t="s">
        <v>2051</v>
      </c>
      <c r="I587" s="44" t="s">
        <v>1655</v>
      </c>
      <c r="J587" s="50" t="s">
        <v>2129</v>
      </c>
      <c r="K587" s="50" t="s">
        <v>118</v>
      </c>
      <c r="L587" s="50" t="s">
        <v>2181</v>
      </c>
      <c r="M587" s="50">
        <v>584</v>
      </c>
    </row>
    <row r="588" spans="1:13" ht="15.75" x14ac:dyDescent="0.25">
      <c r="A588" s="48">
        <v>585</v>
      </c>
      <c r="B588" s="44" t="s">
        <v>1957</v>
      </c>
      <c r="C588" s="44" t="s">
        <v>1508</v>
      </c>
      <c r="D588" s="49" t="s">
        <v>84</v>
      </c>
      <c r="E588" s="205">
        <v>71.680000000000007</v>
      </c>
      <c r="F588" s="44" t="s">
        <v>269</v>
      </c>
      <c r="G588" s="42" t="s">
        <v>1652</v>
      </c>
      <c r="H588" s="44" t="s">
        <v>2052</v>
      </c>
      <c r="I588" s="44" t="s">
        <v>1653</v>
      </c>
      <c r="J588" s="50" t="s">
        <v>2129</v>
      </c>
      <c r="K588" s="50" t="s">
        <v>118</v>
      </c>
      <c r="L588" s="50" t="s">
        <v>2181</v>
      </c>
      <c r="M588" s="50">
        <v>585</v>
      </c>
    </row>
    <row r="589" spans="1:13" ht="15.75" x14ac:dyDescent="0.25">
      <c r="A589" s="48">
        <v>586</v>
      </c>
      <c r="B589" s="44" t="s">
        <v>1957</v>
      </c>
      <c r="C589" s="44" t="s">
        <v>1649</v>
      </c>
      <c r="D589" s="49" t="s">
        <v>84</v>
      </c>
      <c r="E589" s="205">
        <v>42</v>
      </c>
      <c r="F589" s="44" t="s">
        <v>269</v>
      </c>
      <c r="G589" s="42" t="s">
        <v>1650</v>
      </c>
      <c r="H589" s="44" t="s">
        <v>2053</v>
      </c>
      <c r="I589" s="44" t="s">
        <v>1651</v>
      </c>
      <c r="J589" s="50" t="s">
        <v>2129</v>
      </c>
      <c r="K589" s="50" t="s">
        <v>118</v>
      </c>
      <c r="L589" s="50" t="s">
        <v>2181</v>
      </c>
      <c r="M589" s="50">
        <v>586</v>
      </c>
    </row>
    <row r="590" spans="1:13" ht="15.75" x14ac:dyDescent="0.25">
      <c r="A590" s="48">
        <v>587</v>
      </c>
      <c r="B590" s="44" t="s">
        <v>1957</v>
      </c>
      <c r="C590" s="44" t="s">
        <v>1467</v>
      </c>
      <c r="D590" s="49" t="s">
        <v>84</v>
      </c>
      <c r="E590" s="205">
        <v>57.28</v>
      </c>
      <c r="F590" s="44" t="s">
        <v>269</v>
      </c>
      <c r="G590" s="42" t="s">
        <v>1647</v>
      </c>
      <c r="H590" s="44" t="s">
        <v>2054</v>
      </c>
      <c r="I590" s="44" t="s">
        <v>1648</v>
      </c>
      <c r="J590" s="50" t="s">
        <v>2129</v>
      </c>
      <c r="K590" s="50" t="s">
        <v>118</v>
      </c>
      <c r="L590" s="50" t="s">
        <v>2181</v>
      </c>
      <c r="M590" s="50">
        <v>587</v>
      </c>
    </row>
    <row r="591" spans="1:13" ht="15.75" x14ac:dyDescent="0.25">
      <c r="A591" s="48">
        <v>588</v>
      </c>
      <c r="B591" s="44" t="s">
        <v>1957</v>
      </c>
      <c r="C591" s="44" t="s">
        <v>1636</v>
      </c>
      <c r="D591" s="49" t="s">
        <v>84</v>
      </c>
      <c r="E591" s="205">
        <v>4</v>
      </c>
      <c r="F591" s="44" t="s">
        <v>269</v>
      </c>
      <c r="G591" s="42" t="s">
        <v>1645</v>
      </c>
      <c r="H591" s="44" t="s">
        <v>2055</v>
      </c>
      <c r="I591" s="44" t="s">
        <v>1646</v>
      </c>
      <c r="J591" s="50" t="s">
        <v>2129</v>
      </c>
      <c r="K591" s="50" t="s">
        <v>118</v>
      </c>
      <c r="L591" s="50" t="s">
        <v>2181</v>
      </c>
      <c r="M591" s="50">
        <v>588</v>
      </c>
    </row>
    <row r="592" spans="1:13" ht="15.75" x14ac:dyDescent="0.25">
      <c r="A592" s="48">
        <v>589</v>
      </c>
      <c r="B592" s="44" t="s">
        <v>1957</v>
      </c>
      <c r="C592" s="44" t="s">
        <v>1590</v>
      </c>
      <c r="D592" s="49" t="s">
        <v>84</v>
      </c>
      <c r="E592" s="205">
        <v>31.98</v>
      </c>
      <c r="F592" s="44" t="s">
        <v>269</v>
      </c>
      <c r="G592" s="42" t="s">
        <v>1643</v>
      </c>
      <c r="H592" s="44" t="s">
        <v>2055</v>
      </c>
      <c r="I592" s="44" t="s">
        <v>1644</v>
      </c>
      <c r="J592" s="50" t="s">
        <v>2129</v>
      </c>
      <c r="K592" s="50" t="s">
        <v>118</v>
      </c>
      <c r="L592" s="50" t="s">
        <v>2181</v>
      </c>
      <c r="M592" s="50">
        <v>589</v>
      </c>
    </row>
    <row r="593" spans="1:13" ht="15.75" x14ac:dyDescent="0.25">
      <c r="A593" s="48">
        <v>590</v>
      </c>
      <c r="B593" s="44" t="s">
        <v>1957</v>
      </c>
      <c r="C593" s="44" t="s">
        <v>1636</v>
      </c>
      <c r="D593" s="49" t="s">
        <v>84</v>
      </c>
      <c r="E593" s="205">
        <v>10.5</v>
      </c>
      <c r="F593" s="44" t="s">
        <v>269</v>
      </c>
      <c r="G593" s="42" t="s">
        <v>1641</v>
      </c>
      <c r="H593" s="44" t="s">
        <v>2056</v>
      </c>
      <c r="I593" s="44" t="s">
        <v>1642</v>
      </c>
      <c r="J593" s="50" t="s">
        <v>2129</v>
      </c>
      <c r="K593" s="50" t="s">
        <v>118</v>
      </c>
      <c r="L593" s="50" t="s">
        <v>2181</v>
      </c>
      <c r="M593" s="50">
        <v>590</v>
      </c>
    </row>
    <row r="594" spans="1:13" ht="15.75" x14ac:dyDescent="0.25">
      <c r="A594" s="48">
        <v>591</v>
      </c>
      <c r="B594" s="44" t="s">
        <v>1957</v>
      </c>
      <c r="C594" s="44" t="s">
        <v>1467</v>
      </c>
      <c r="D594" s="49" t="s">
        <v>84</v>
      </c>
      <c r="E594" s="205">
        <v>68.78</v>
      </c>
      <c r="F594" s="44" t="s">
        <v>269</v>
      </c>
      <c r="G594" s="42" t="s">
        <v>1639</v>
      </c>
      <c r="H594" s="44" t="s">
        <v>2057</v>
      </c>
      <c r="I594" s="44" t="s">
        <v>1640</v>
      </c>
      <c r="J594" s="50" t="s">
        <v>2129</v>
      </c>
      <c r="K594" s="50" t="s">
        <v>118</v>
      </c>
      <c r="L594" s="50" t="s">
        <v>2181</v>
      </c>
      <c r="M594" s="50">
        <v>591</v>
      </c>
    </row>
    <row r="595" spans="1:13" ht="15.75" x14ac:dyDescent="0.25">
      <c r="A595" s="48">
        <v>592</v>
      </c>
      <c r="B595" s="44" t="s">
        <v>1957</v>
      </c>
      <c r="C595" s="44" t="s">
        <v>1636</v>
      </c>
      <c r="D595" s="49" t="s">
        <v>84</v>
      </c>
      <c r="E595" s="205">
        <v>7.5</v>
      </c>
      <c r="F595" s="44" t="s">
        <v>269</v>
      </c>
      <c r="G595" s="42" t="s">
        <v>1637</v>
      </c>
      <c r="H595" s="44" t="s">
        <v>2058</v>
      </c>
      <c r="I595" s="44" t="s">
        <v>1638</v>
      </c>
      <c r="J595" s="50" t="s">
        <v>2129</v>
      </c>
      <c r="K595" s="50" t="s">
        <v>118</v>
      </c>
      <c r="L595" s="50" t="s">
        <v>2181</v>
      </c>
      <c r="M595" s="50">
        <v>592</v>
      </c>
    </row>
    <row r="596" spans="1:13" ht="15.75" x14ac:dyDescent="0.25">
      <c r="A596" s="48">
        <v>593</v>
      </c>
      <c r="B596" s="44" t="s">
        <v>1957</v>
      </c>
      <c r="C596" s="44" t="s">
        <v>1633</v>
      </c>
      <c r="D596" s="49" t="s">
        <v>84</v>
      </c>
      <c r="E596" s="205">
        <v>48</v>
      </c>
      <c r="F596" s="44" t="s">
        <v>269</v>
      </c>
      <c r="G596" s="42" t="s">
        <v>1634</v>
      </c>
      <c r="H596" s="44" t="s">
        <v>307</v>
      </c>
      <c r="I596" s="44" t="s">
        <v>1635</v>
      </c>
      <c r="J596" s="50" t="s">
        <v>2129</v>
      </c>
      <c r="K596" s="50" t="s">
        <v>118</v>
      </c>
      <c r="L596" s="50" t="s">
        <v>2181</v>
      </c>
      <c r="M596" s="50">
        <v>593</v>
      </c>
    </row>
    <row r="597" spans="1:13" ht="15.75" x14ac:dyDescent="0.25">
      <c r="A597" s="48">
        <v>594</v>
      </c>
      <c r="B597" s="44" t="s">
        <v>1957</v>
      </c>
      <c r="D597" s="49" t="s">
        <v>84</v>
      </c>
      <c r="E597" s="205">
        <v>35</v>
      </c>
      <c r="F597" s="44" t="s">
        <v>269</v>
      </c>
      <c r="G597" s="42" t="s">
        <v>1632</v>
      </c>
      <c r="H597" s="44" t="s">
        <v>2059</v>
      </c>
      <c r="J597" s="50" t="s">
        <v>2129</v>
      </c>
      <c r="K597" s="50" t="s">
        <v>118</v>
      </c>
      <c r="L597" s="50" t="s">
        <v>2181</v>
      </c>
      <c r="M597" s="50">
        <v>594</v>
      </c>
    </row>
    <row r="598" spans="1:13" ht="15.75" x14ac:dyDescent="0.25">
      <c r="A598" s="48">
        <v>595</v>
      </c>
      <c r="B598" s="44" t="s">
        <v>1957</v>
      </c>
      <c r="C598" s="44" t="s">
        <v>1477</v>
      </c>
      <c r="D598" s="49" t="s">
        <v>84</v>
      </c>
      <c r="E598" s="205">
        <v>50.52</v>
      </c>
      <c r="F598" s="44" t="s">
        <v>269</v>
      </c>
      <c r="G598" s="42" t="s">
        <v>1630</v>
      </c>
      <c r="H598" s="44" t="s">
        <v>2060</v>
      </c>
      <c r="I598" s="44" t="s">
        <v>1631</v>
      </c>
      <c r="J598" s="50" t="s">
        <v>2129</v>
      </c>
      <c r="K598" s="50" t="s">
        <v>118</v>
      </c>
      <c r="L598" s="50" t="s">
        <v>2181</v>
      </c>
      <c r="M598" s="50">
        <v>595</v>
      </c>
    </row>
    <row r="599" spans="1:13" ht="15.75" x14ac:dyDescent="0.25">
      <c r="A599" s="48">
        <v>596</v>
      </c>
      <c r="B599" s="44" t="s">
        <v>1957</v>
      </c>
      <c r="C599" s="44" t="s">
        <v>1495</v>
      </c>
      <c r="D599" s="49" t="s">
        <v>84</v>
      </c>
      <c r="E599" s="205">
        <v>24.99</v>
      </c>
      <c r="F599" s="44" t="s">
        <v>269</v>
      </c>
      <c r="G599" s="42" t="s">
        <v>1628</v>
      </c>
      <c r="H599" s="44" t="s">
        <v>2061</v>
      </c>
      <c r="I599" s="44" t="s">
        <v>1629</v>
      </c>
      <c r="J599" s="50" t="s">
        <v>2129</v>
      </c>
      <c r="K599" s="50" t="s">
        <v>118</v>
      </c>
      <c r="L599" s="50" t="s">
        <v>2181</v>
      </c>
      <c r="M599" s="50">
        <v>596</v>
      </c>
    </row>
    <row r="600" spans="1:13" ht="15.75" x14ac:dyDescent="0.25">
      <c r="A600" s="48">
        <v>597</v>
      </c>
      <c r="B600" s="44" t="s">
        <v>1957</v>
      </c>
      <c r="C600" s="44" t="s">
        <v>1540</v>
      </c>
      <c r="D600" s="49" t="s">
        <v>84</v>
      </c>
      <c r="E600" s="205">
        <v>3.32</v>
      </c>
      <c r="F600" s="44" t="s">
        <v>269</v>
      </c>
      <c r="G600" s="42" t="s">
        <v>1626</v>
      </c>
      <c r="H600" s="44" t="s">
        <v>2061</v>
      </c>
      <c r="I600" s="44" t="s">
        <v>1627</v>
      </c>
      <c r="J600" s="50" t="s">
        <v>2129</v>
      </c>
      <c r="K600" s="50" t="s">
        <v>118</v>
      </c>
      <c r="L600" s="50" t="s">
        <v>2181</v>
      </c>
      <c r="M600" s="50">
        <v>597</v>
      </c>
    </row>
    <row r="601" spans="1:13" ht="15.75" x14ac:dyDescent="0.25">
      <c r="A601" s="48">
        <v>598</v>
      </c>
      <c r="B601" s="44" t="s">
        <v>1957</v>
      </c>
      <c r="C601" s="44" t="s">
        <v>1467</v>
      </c>
      <c r="D601" s="49" t="s">
        <v>84</v>
      </c>
      <c r="E601" s="205">
        <v>47.74</v>
      </c>
      <c r="F601" s="44" t="s">
        <v>269</v>
      </c>
      <c r="G601" s="42" t="s">
        <v>1624</v>
      </c>
      <c r="H601" s="44" t="s">
        <v>2062</v>
      </c>
      <c r="I601" s="44" t="s">
        <v>1625</v>
      </c>
      <c r="J601" s="50" t="s">
        <v>2129</v>
      </c>
      <c r="K601" s="50" t="s">
        <v>118</v>
      </c>
      <c r="L601" s="50" t="s">
        <v>2181</v>
      </c>
      <c r="M601" s="50">
        <v>598</v>
      </c>
    </row>
    <row r="602" spans="1:13" ht="15.75" x14ac:dyDescent="0.25">
      <c r="A602" s="48">
        <v>599</v>
      </c>
      <c r="B602" s="44" t="s">
        <v>1957</v>
      </c>
      <c r="C602" s="44" t="s">
        <v>1621</v>
      </c>
      <c r="D602" s="49" t="s">
        <v>84</v>
      </c>
      <c r="E602" s="205">
        <v>23</v>
      </c>
      <c r="F602" s="44" t="s">
        <v>269</v>
      </c>
      <c r="G602" s="42" t="s">
        <v>1622</v>
      </c>
      <c r="H602" s="44" t="s">
        <v>2063</v>
      </c>
      <c r="I602" s="44" t="s">
        <v>1623</v>
      </c>
      <c r="J602" s="50" t="s">
        <v>2129</v>
      </c>
      <c r="K602" s="50" t="s">
        <v>118</v>
      </c>
      <c r="L602" s="50" t="s">
        <v>2181</v>
      </c>
      <c r="M602" s="50">
        <v>599</v>
      </c>
    </row>
    <row r="603" spans="1:13" ht="15.75" x14ac:dyDescent="0.25">
      <c r="A603" s="48">
        <v>600</v>
      </c>
      <c r="B603" s="44" t="s">
        <v>1957</v>
      </c>
      <c r="C603" s="44" t="s">
        <v>1472</v>
      </c>
      <c r="D603" s="49" t="s">
        <v>84</v>
      </c>
      <c r="E603" s="205">
        <v>701.83</v>
      </c>
      <c r="F603" s="44" t="s">
        <v>269</v>
      </c>
      <c r="G603" s="42" t="s">
        <v>1619</v>
      </c>
      <c r="H603" s="44" t="s">
        <v>1194</v>
      </c>
      <c r="I603" s="44" t="s">
        <v>1620</v>
      </c>
      <c r="J603" s="50" t="s">
        <v>2129</v>
      </c>
      <c r="K603" s="50" t="s">
        <v>118</v>
      </c>
      <c r="L603" s="50" t="s">
        <v>2181</v>
      </c>
      <c r="M603" s="50">
        <v>600</v>
      </c>
    </row>
    <row r="604" spans="1:13" ht="15.75" x14ac:dyDescent="0.25">
      <c r="A604" s="48">
        <v>601</v>
      </c>
      <c r="B604" s="44" t="s">
        <v>1957</v>
      </c>
      <c r="C604" s="44" t="s">
        <v>1467</v>
      </c>
      <c r="D604" s="49" t="s">
        <v>84</v>
      </c>
      <c r="E604" s="205">
        <v>22.89</v>
      </c>
      <c r="F604" s="44" t="s">
        <v>269</v>
      </c>
      <c r="G604" s="42" t="s">
        <v>1617</v>
      </c>
      <c r="H604" s="44" t="s">
        <v>2064</v>
      </c>
      <c r="I604" s="44" t="s">
        <v>1618</v>
      </c>
      <c r="J604" s="50" t="s">
        <v>2129</v>
      </c>
      <c r="K604" s="50" t="s">
        <v>118</v>
      </c>
      <c r="L604" s="50" t="s">
        <v>2181</v>
      </c>
      <c r="M604" s="50">
        <v>601</v>
      </c>
    </row>
    <row r="605" spans="1:13" ht="15.75" x14ac:dyDescent="0.25">
      <c r="A605" s="48">
        <v>602</v>
      </c>
      <c r="B605" s="44" t="s">
        <v>1957</v>
      </c>
      <c r="C605" s="44" t="s">
        <v>1590</v>
      </c>
      <c r="D605" s="49" t="s">
        <v>84</v>
      </c>
      <c r="E605" s="205">
        <v>8.99</v>
      </c>
      <c r="F605" s="44" t="s">
        <v>269</v>
      </c>
      <c r="G605" s="42" t="s">
        <v>1615</v>
      </c>
      <c r="H605" s="44" t="s">
        <v>2065</v>
      </c>
      <c r="I605" s="44" t="s">
        <v>1616</v>
      </c>
      <c r="J605" s="50" t="s">
        <v>2129</v>
      </c>
      <c r="K605" s="50" t="s">
        <v>118</v>
      </c>
      <c r="L605" s="50" t="s">
        <v>2181</v>
      </c>
      <c r="M605" s="50">
        <v>602</v>
      </c>
    </row>
    <row r="606" spans="1:13" ht="15.75" x14ac:dyDescent="0.25">
      <c r="A606" s="48">
        <v>603</v>
      </c>
      <c r="B606" s="44" t="s">
        <v>1957</v>
      </c>
      <c r="C606" s="44" t="s">
        <v>1612</v>
      </c>
      <c r="D606" s="49" t="s">
        <v>84</v>
      </c>
      <c r="E606" s="205">
        <v>5</v>
      </c>
      <c r="F606" s="44" t="s">
        <v>269</v>
      </c>
      <c r="G606" s="42" t="s">
        <v>1613</v>
      </c>
      <c r="H606" s="44" t="s">
        <v>2065</v>
      </c>
      <c r="I606" s="44" t="s">
        <v>1614</v>
      </c>
      <c r="J606" s="50" t="s">
        <v>2129</v>
      </c>
      <c r="K606" s="50" t="s">
        <v>118</v>
      </c>
      <c r="L606" s="50" t="s">
        <v>2181</v>
      </c>
      <c r="M606" s="50">
        <v>603</v>
      </c>
    </row>
    <row r="607" spans="1:13" ht="15.75" x14ac:dyDescent="0.25">
      <c r="A607" s="48">
        <v>604</v>
      </c>
      <c r="B607" s="44" t="s">
        <v>1957</v>
      </c>
      <c r="C607" s="44" t="s">
        <v>1526</v>
      </c>
      <c r="D607" s="49" t="s">
        <v>84</v>
      </c>
      <c r="E607" s="205">
        <v>86.95</v>
      </c>
      <c r="F607" s="44" t="s">
        <v>269</v>
      </c>
      <c r="G607" s="42" t="s">
        <v>1610</v>
      </c>
      <c r="H607" s="44" t="s">
        <v>371</v>
      </c>
      <c r="I607" s="44" t="s">
        <v>1611</v>
      </c>
      <c r="J607" s="50" t="s">
        <v>2129</v>
      </c>
      <c r="K607" s="50" t="s">
        <v>118</v>
      </c>
      <c r="L607" s="50" t="s">
        <v>2181</v>
      </c>
      <c r="M607" s="50">
        <v>604</v>
      </c>
    </row>
    <row r="608" spans="1:13" ht="15.75" x14ac:dyDescent="0.25">
      <c r="A608" s="48">
        <v>605</v>
      </c>
      <c r="B608" s="44" t="s">
        <v>1957</v>
      </c>
      <c r="C608" s="44" t="s">
        <v>1477</v>
      </c>
      <c r="D608" s="49" t="s">
        <v>84</v>
      </c>
      <c r="E608" s="205">
        <v>105.67</v>
      </c>
      <c r="F608" s="44" t="s">
        <v>269</v>
      </c>
      <c r="G608" s="42" t="s">
        <v>1608</v>
      </c>
      <c r="H608" s="44" t="s">
        <v>371</v>
      </c>
      <c r="I608" s="44" t="s">
        <v>1609</v>
      </c>
      <c r="J608" s="50" t="s">
        <v>2129</v>
      </c>
      <c r="K608" s="50" t="s">
        <v>118</v>
      </c>
      <c r="L608" s="50" t="s">
        <v>2181</v>
      </c>
      <c r="M608" s="50">
        <v>605</v>
      </c>
    </row>
    <row r="609" spans="1:13" ht="15.75" x14ac:dyDescent="0.25">
      <c r="A609" s="48">
        <v>606</v>
      </c>
      <c r="B609" s="44" t="s">
        <v>1957</v>
      </c>
      <c r="C609" s="44" t="s">
        <v>1275</v>
      </c>
      <c r="D609" s="49" t="s">
        <v>84</v>
      </c>
      <c r="E609" s="205">
        <v>29.99</v>
      </c>
      <c r="F609" s="44" t="s">
        <v>269</v>
      </c>
      <c r="G609" s="42" t="s">
        <v>1606</v>
      </c>
      <c r="H609" s="44" t="s">
        <v>2066</v>
      </c>
      <c r="I609" s="44" t="s">
        <v>1607</v>
      </c>
      <c r="J609" s="50" t="s">
        <v>2129</v>
      </c>
      <c r="K609" s="50" t="s">
        <v>118</v>
      </c>
      <c r="L609" s="50" t="s">
        <v>2181</v>
      </c>
      <c r="M609" s="50">
        <v>606</v>
      </c>
    </row>
    <row r="610" spans="1:13" ht="15.75" x14ac:dyDescent="0.25">
      <c r="A610" s="48">
        <v>607</v>
      </c>
      <c r="B610" s="44" t="s">
        <v>1957</v>
      </c>
      <c r="C610" s="44" t="s">
        <v>1603</v>
      </c>
      <c r="D610" s="49" t="s">
        <v>84</v>
      </c>
      <c r="E610" s="205">
        <v>39.619999999999997</v>
      </c>
      <c r="F610" s="44" t="s">
        <v>269</v>
      </c>
      <c r="G610" s="42" t="s">
        <v>1604</v>
      </c>
      <c r="H610" s="44" t="s">
        <v>2067</v>
      </c>
      <c r="I610" s="44" t="s">
        <v>1605</v>
      </c>
      <c r="J610" s="50" t="s">
        <v>2129</v>
      </c>
      <c r="K610" s="50" t="s">
        <v>118</v>
      </c>
      <c r="L610" s="50" t="s">
        <v>2181</v>
      </c>
      <c r="M610" s="50">
        <v>607</v>
      </c>
    </row>
    <row r="611" spans="1:13" ht="15.75" x14ac:dyDescent="0.25">
      <c r="A611" s="48">
        <v>608</v>
      </c>
      <c r="B611" s="44" t="s">
        <v>1957</v>
      </c>
      <c r="C611" s="44" t="s">
        <v>1600</v>
      </c>
      <c r="D611" s="49" t="s">
        <v>146</v>
      </c>
      <c r="E611" s="205">
        <v>28.07</v>
      </c>
      <c r="F611" s="44" t="s">
        <v>269</v>
      </c>
      <c r="G611" s="42" t="s">
        <v>1601</v>
      </c>
      <c r="H611" s="44" t="s">
        <v>2068</v>
      </c>
      <c r="I611" s="44" t="s">
        <v>1602</v>
      </c>
      <c r="J611" s="50" t="s">
        <v>2129</v>
      </c>
      <c r="K611" s="50" t="s">
        <v>118</v>
      </c>
      <c r="L611" s="50" t="s">
        <v>2181</v>
      </c>
      <c r="M611" s="50">
        <v>608</v>
      </c>
    </row>
    <row r="612" spans="1:13" ht="15.75" x14ac:dyDescent="0.25">
      <c r="A612" s="48">
        <v>609</v>
      </c>
      <c r="B612" s="44" t="s">
        <v>1957</v>
      </c>
      <c r="C612" s="44" t="s">
        <v>1597</v>
      </c>
      <c r="D612" s="49" t="s">
        <v>146</v>
      </c>
      <c r="E612" s="205">
        <v>8</v>
      </c>
      <c r="F612" s="44" t="s">
        <v>269</v>
      </c>
      <c r="G612" s="42" t="s">
        <v>1598</v>
      </c>
      <c r="H612" s="44" t="s">
        <v>2069</v>
      </c>
      <c r="I612" s="44" t="s">
        <v>1599</v>
      </c>
      <c r="J612" s="50" t="s">
        <v>2129</v>
      </c>
      <c r="K612" s="50" t="s">
        <v>118</v>
      </c>
      <c r="L612" s="50" t="s">
        <v>2181</v>
      </c>
      <c r="M612" s="50">
        <v>609</v>
      </c>
    </row>
    <row r="613" spans="1:13" ht="15.75" x14ac:dyDescent="0.25">
      <c r="A613" s="48">
        <v>610</v>
      </c>
      <c r="B613" s="44" t="s">
        <v>1957</v>
      </c>
      <c r="C613" s="44" t="s">
        <v>1467</v>
      </c>
      <c r="D613" s="49" t="s">
        <v>146</v>
      </c>
      <c r="E613" s="205">
        <v>20.98</v>
      </c>
      <c r="F613" s="44" t="s">
        <v>269</v>
      </c>
      <c r="G613" s="42" t="s">
        <v>1595</v>
      </c>
      <c r="H613" s="44" t="s">
        <v>2070</v>
      </c>
      <c r="I613" s="139" t="s">
        <v>1596</v>
      </c>
      <c r="J613" s="50" t="s">
        <v>2129</v>
      </c>
      <c r="K613" s="50" t="s">
        <v>118</v>
      </c>
      <c r="L613" s="50" t="s">
        <v>2181</v>
      </c>
      <c r="M613" s="50">
        <v>610</v>
      </c>
    </row>
    <row r="614" spans="1:13" ht="15.75" x14ac:dyDescent="0.25">
      <c r="A614" s="48">
        <v>611</v>
      </c>
      <c r="B614" s="44" t="s">
        <v>1957</v>
      </c>
      <c r="C614" s="44" t="s">
        <v>1590</v>
      </c>
      <c r="D614" s="49" t="s">
        <v>146</v>
      </c>
      <c r="E614" s="205">
        <v>9.49</v>
      </c>
      <c r="F614" s="44" t="s">
        <v>269</v>
      </c>
      <c r="G614" s="42" t="s">
        <v>1593</v>
      </c>
      <c r="H614" s="44" t="s">
        <v>2071</v>
      </c>
      <c r="I614" s="44" t="s">
        <v>1594</v>
      </c>
      <c r="J614" s="50" t="s">
        <v>2129</v>
      </c>
      <c r="K614" s="50" t="s">
        <v>118</v>
      </c>
      <c r="L614" s="50" t="s">
        <v>2181</v>
      </c>
      <c r="M614" s="50">
        <v>611</v>
      </c>
    </row>
    <row r="615" spans="1:13" ht="15.75" x14ac:dyDescent="0.25">
      <c r="A615" s="48">
        <v>612</v>
      </c>
      <c r="B615" s="44" t="s">
        <v>1957</v>
      </c>
      <c r="C615" s="44" t="s">
        <v>1590</v>
      </c>
      <c r="D615" s="49" t="s">
        <v>146</v>
      </c>
      <c r="E615" s="205">
        <v>13.88</v>
      </c>
      <c r="F615" s="44" t="s">
        <v>269</v>
      </c>
      <c r="G615" s="42" t="s">
        <v>1591</v>
      </c>
      <c r="H615" s="44" t="s">
        <v>2072</v>
      </c>
      <c r="I615" s="44" t="s">
        <v>1592</v>
      </c>
      <c r="J615" s="50" t="s">
        <v>2129</v>
      </c>
      <c r="K615" s="50" t="s">
        <v>118</v>
      </c>
      <c r="L615" s="50" t="s">
        <v>2181</v>
      </c>
      <c r="M615" s="50">
        <v>612</v>
      </c>
    </row>
    <row r="616" spans="1:13" ht="15.75" x14ac:dyDescent="0.25">
      <c r="A616" s="48">
        <v>613</v>
      </c>
      <c r="B616" s="44" t="s">
        <v>1957</v>
      </c>
      <c r="C616" s="44" t="s">
        <v>1540</v>
      </c>
      <c r="D616" s="49" t="s">
        <v>146</v>
      </c>
      <c r="E616" s="205">
        <v>12.99</v>
      </c>
      <c r="F616" s="44" t="s">
        <v>269</v>
      </c>
      <c r="G616" s="42" t="s">
        <v>1588</v>
      </c>
      <c r="H616" s="44" t="s">
        <v>2072</v>
      </c>
      <c r="I616" s="44" t="s">
        <v>1589</v>
      </c>
      <c r="J616" s="50" t="s">
        <v>2129</v>
      </c>
      <c r="K616" s="50" t="s">
        <v>118</v>
      </c>
      <c r="L616" s="50" t="s">
        <v>2181</v>
      </c>
      <c r="M616" s="50">
        <v>613</v>
      </c>
    </row>
    <row r="617" spans="1:13" ht="15.75" x14ac:dyDescent="0.25">
      <c r="A617" s="48">
        <v>614</v>
      </c>
      <c r="B617" s="44" t="s">
        <v>1957</v>
      </c>
      <c r="C617" s="44" t="s">
        <v>1508</v>
      </c>
      <c r="D617" s="49" t="s">
        <v>146</v>
      </c>
      <c r="E617" s="205">
        <v>16.98</v>
      </c>
      <c r="F617" s="44" t="s">
        <v>269</v>
      </c>
      <c r="G617" s="42" t="s">
        <v>1586</v>
      </c>
      <c r="H617" s="44" t="s">
        <v>2072</v>
      </c>
      <c r="I617" s="44" t="s">
        <v>1587</v>
      </c>
      <c r="J617" s="50" t="s">
        <v>2129</v>
      </c>
      <c r="K617" s="50" t="s">
        <v>118</v>
      </c>
      <c r="L617" s="50" t="s">
        <v>2181</v>
      </c>
      <c r="M617" s="50">
        <v>614</v>
      </c>
    </row>
    <row r="618" spans="1:13" ht="15.75" x14ac:dyDescent="0.25">
      <c r="A618" s="48">
        <v>615</v>
      </c>
      <c r="B618" s="44" t="s">
        <v>1957</v>
      </c>
      <c r="C618" s="44" t="s">
        <v>1553</v>
      </c>
      <c r="D618" s="49" t="s">
        <v>146</v>
      </c>
      <c r="E618" s="205">
        <v>29.98</v>
      </c>
      <c r="F618" s="44" t="s">
        <v>269</v>
      </c>
      <c r="G618" s="42" t="s">
        <v>1584</v>
      </c>
      <c r="H618" s="44" t="s">
        <v>2073</v>
      </c>
      <c r="I618" s="44" t="s">
        <v>1585</v>
      </c>
      <c r="J618" s="50" t="s">
        <v>2129</v>
      </c>
      <c r="K618" s="50" t="s">
        <v>118</v>
      </c>
      <c r="L618" s="50" t="s">
        <v>2181</v>
      </c>
      <c r="M618" s="50">
        <v>615</v>
      </c>
    </row>
    <row r="619" spans="1:13" ht="15.75" x14ac:dyDescent="0.25">
      <c r="A619" s="48">
        <v>616</v>
      </c>
      <c r="B619" s="44" t="s">
        <v>1957</v>
      </c>
      <c r="C619" s="44" t="s">
        <v>1472</v>
      </c>
      <c r="D619" s="49" t="s">
        <v>146</v>
      </c>
      <c r="E619" s="205">
        <v>219.83</v>
      </c>
      <c r="F619" s="44" t="s">
        <v>269</v>
      </c>
      <c r="G619" s="42" t="s">
        <v>1582</v>
      </c>
      <c r="H619" s="44" t="s">
        <v>2073</v>
      </c>
      <c r="I619" s="44" t="s">
        <v>1583</v>
      </c>
      <c r="J619" s="50" t="s">
        <v>2129</v>
      </c>
      <c r="K619" s="50" t="s">
        <v>118</v>
      </c>
      <c r="L619" s="50" t="s">
        <v>2181</v>
      </c>
      <c r="M619" s="50">
        <v>616</v>
      </c>
    </row>
    <row r="620" spans="1:13" ht="15.75" x14ac:dyDescent="0.25">
      <c r="A620" s="48">
        <v>617</v>
      </c>
      <c r="B620" s="44" t="s">
        <v>1957</v>
      </c>
      <c r="C620" s="44" t="s">
        <v>1579</v>
      </c>
      <c r="D620" s="49" t="s">
        <v>146</v>
      </c>
      <c r="E620" s="205">
        <v>9.4</v>
      </c>
      <c r="F620" s="44" t="s">
        <v>269</v>
      </c>
      <c r="G620" s="42" t="s">
        <v>1580</v>
      </c>
      <c r="H620" s="44" t="s">
        <v>2074</v>
      </c>
      <c r="I620" s="44" t="s">
        <v>1581</v>
      </c>
      <c r="J620" s="50" t="s">
        <v>2129</v>
      </c>
      <c r="K620" s="50" t="s">
        <v>118</v>
      </c>
      <c r="L620" s="50" t="s">
        <v>2181</v>
      </c>
      <c r="M620" s="50">
        <v>617</v>
      </c>
    </row>
    <row r="621" spans="1:13" ht="15.75" x14ac:dyDescent="0.25">
      <c r="A621" s="48">
        <v>618</v>
      </c>
      <c r="B621" s="44" t="s">
        <v>1957</v>
      </c>
      <c r="C621" s="44" t="s">
        <v>1576</v>
      </c>
      <c r="D621" s="49" t="s">
        <v>146</v>
      </c>
      <c r="E621" s="205">
        <v>22</v>
      </c>
      <c r="F621" s="44" t="s">
        <v>269</v>
      </c>
      <c r="G621" s="42" t="s">
        <v>1577</v>
      </c>
      <c r="H621" s="44" t="s">
        <v>2075</v>
      </c>
      <c r="I621" s="44" t="s">
        <v>1578</v>
      </c>
      <c r="J621" s="50" t="s">
        <v>2129</v>
      </c>
      <c r="K621" s="50" t="s">
        <v>118</v>
      </c>
      <c r="L621" s="50" t="s">
        <v>2181</v>
      </c>
      <c r="M621" s="50">
        <v>618</v>
      </c>
    </row>
    <row r="622" spans="1:13" ht="15.75" x14ac:dyDescent="0.25">
      <c r="A622" s="48">
        <v>619</v>
      </c>
      <c r="B622" s="44" t="s">
        <v>1957</v>
      </c>
      <c r="C622" s="44" t="s">
        <v>1553</v>
      </c>
      <c r="D622" s="49" t="s">
        <v>146</v>
      </c>
      <c r="E622" s="205">
        <v>47.68</v>
      </c>
      <c r="F622" s="44" t="s">
        <v>269</v>
      </c>
      <c r="G622" s="42" t="s">
        <v>1574</v>
      </c>
      <c r="H622" s="44" t="s">
        <v>2076</v>
      </c>
      <c r="I622" s="44" t="s">
        <v>1575</v>
      </c>
      <c r="J622" s="50" t="s">
        <v>2129</v>
      </c>
      <c r="K622" s="50" t="s">
        <v>118</v>
      </c>
      <c r="L622" s="50" t="s">
        <v>2181</v>
      </c>
      <c r="M622" s="50">
        <v>619</v>
      </c>
    </row>
    <row r="623" spans="1:13" ht="15.75" x14ac:dyDescent="0.25">
      <c r="A623" s="48">
        <v>620</v>
      </c>
      <c r="B623" s="44" t="s">
        <v>1957</v>
      </c>
      <c r="C623" s="44" t="s">
        <v>1464</v>
      </c>
      <c r="D623" s="49" t="s">
        <v>146</v>
      </c>
      <c r="E623" s="205">
        <v>73.33</v>
      </c>
      <c r="F623" s="44" t="s">
        <v>269</v>
      </c>
      <c r="G623" s="42" t="s">
        <v>1572</v>
      </c>
      <c r="H623" s="44" t="s">
        <v>2077</v>
      </c>
      <c r="I623" s="44" t="s">
        <v>1573</v>
      </c>
      <c r="J623" s="50" t="s">
        <v>2129</v>
      </c>
      <c r="K623" s="50" t="s">
        <v>118</v>
      </c>
      <c r="L623" s="50" t="s">
        <v>2181</v>
      </c>
      <c r="M623" s="50">
        <v>620</v>
      </c>
    </row>
    <row r="624" spans="1:13" ht="15.75" x14ac:dyDescent="0.25">
      <c r="A624" s="48">
        <v>621</v>
      </c>
      <c r="B624" s="44" t="s">
        <v>1957</v>
      </c>
      <c r="C624" s="44" t="s">
        <v>1553</v>
      </c>
      <c r="D624" s="49" t="s">
        <v>146</v>
      </c>
      <c r="E624" s="205">
        <v>49.99</v>
      </c>
      <c r="F624" s="44" t="s">
        <v>269</v>
      </c>
      <c r="G624" s="42" t="s">
        <v>1570</v>
      </c>
      <c r="H624" s="44" t="s">
        <v>2078</v>
      </c>
      <c r="I624" s="44" t="s">
        <v>1571</v>
      </c>
      <c r="J624" s="50" t="s">
        <v>2129</v>
      </c>
      <c r="K624" s="50" t="s">
        <v>118</v>
      </c>
      <c r="L624" s="50" t="s">
        <v>2181</v>
      </c>
      <c r="M624" s="50">
        <v>621</v>
      </c>
    </row>
    <row r="625" spans="1:13" ht="15.75" x14ac:dyDescent="0.25">
      <c r="A625" s="48">
        <v>622</v>
      </c>
      <c r="B625" s="44" t="s">
        <v>1957</v>
      </c>
      <c r="C625" s="44" t="s">
        <v>1567</v>
      </c>
      <c r="D625" s="49" t="s">
        <v>146</v>
      </c>
      <c r="E625" s="205">
        <v>10</v>
      </c>
      <c r="F625" s="44" t="s">
        <v>269</v>
      </c>
      <c r="G625" s="42" t="s">
        <v>1568</v>
      </c>
      <c r="H625" s="44" t="s">
        <v>2079</v>
      </c>
      <c r="I625" s="44" t="s">
        <v>1569</v>
      </c>
      <c r="J625" s="50" t="s">
        <v>2129</v>
      </c>
      <c r="K625" s="50" t="s">
        <v>118</v>
      </c>
      <c r="L625" s="50" t="s">
        <v>2181</v>
      </c>
      <c r="M625" s="50">
        <v>622</v>
      </c>
    </row>
    <row r="626" spans="1:13" ht="15.75" x14ac:dyDescent="0.25">
      <c r="A626" s="48">
        <v>623</v>
      </c>
      <c r="B626" s="44" t="s">
        <v>1957</v>
      </c>
      <c r="C626" s="44" t="s">
        <v>1472</v>
      </c>
      <c r="D626" s="49" t="s">
        <v>146</v>
      </c>
      <c r="E626" s="205">
        <v>165.28</v>
      </c>
      <c r="F626" s="44" t="s">
        <v>269</v>
      </c>
      <c r="G626" s="42" t="s">
        <v>1565</v>
      </c>
      <c r="H626" s="44" t="s">
        <v>2080</v>
      </c>
      <c r="I626" s="44" t="s">
        <v>1566</v>
      </c>
      <c r="J626" s="50" t="s">
        <v>2129</v>
      </c>
      <c r="K626" s="50" t="s">
        <v>118</v>
      </c>
      <c r="L626" s="50" t="s">
        <v>2181</v>
      </c>
      <c r="M626" s="50">
        <v>623</v>
      </c>
    </row>
    <row r="627" spans="1:13" ht="15.75" x14ac:dyDescent="0.25">
      <c r="A627" s="48">
        <v>624</v>
      </c>
      <c r="B627" s="44" t="s">
        <v>1957</v>
      </c>
      <c r="C627" s="44" t="s">
        <v>1508</v>
      </c>
      <c r="D627" s="49" t="s">
        <v>146</v>
      </c>
      <c r="E627" s="205">
        <v>12.48</v>
      </c>
      <c r="F627" s="44" t="s">
        <v>269</v>
      </c>
      <c r="G627" s="42" t="s">
        <v>1563</v>
      </c>
      <c r="H627" s="44" t="s">
        <v>2081</v>
      </c>
      <c r="I627" s="44" t="s">
        <v>1564</v>
      </c>
      <c r="J627" s="50" t="s">
        <v>2129</v>
      </c>
      <c r="K627" s="50" t="s">
        <v>118</v>
      </c>
      <c r="L627" s="50" t="s">
        <v>2181</v>
      </c>
      <c r="M627" s="50">
        <v>624</v>
      </c>
    </row>
    <row r="628" spans="1:13" ht="15.75" x14ac:dyDescent="0.25">
      <c r="A628" s="48">
        <v>625</v>
      </c>
      <c r="B628" s="44" t="s">
        <v>1957</v>
      </c>
      <c r="C628" s="44" t="s">
        <v>1560</v>
      </c>
      <c r="D628" s="49" t="s">
        <v>146</v>
      </c>
      <c r="E628" s="205">
        <v>11</v>
      </c>
      <c r="F628" s="44" t="s">
        <v>269</v>
      </c>
      <c r="G628" s="42" t="s">
        <v>1561</v>
      </c>
      <c r="H628" s="44" t="s">
        <v>2081</v>
      </c>
      <c r="I628" s="44" t="s">
        <v>1562</v>
      </c>
      <c r="J628" s="50" t="s">
        <v>2129</v>
      </c>
      <c r="K628" s="50" t="s">
        <v>118</v>
      </c>
      <c r="L628" s="50" t="s">
        <v>2181</v>
      </c>
      <c r="M628" s="50">
        <v>625</v>
      </c>
    </row>
    <row r="629" spans="1:13" ht="15.75" x14ac:dyDescent="0.25">
      <c r="A629" s="48">
        <v>626</v>
      </c>
      <c r="B629" s="44" t="s">
        <v>1957</v>
      </c>
      <c r="C629" s="44" t="s">
        <v>1467</v>
      </c>
      <c r="D629" s="49" t="s">
        <v>146</v>
      </c>
      <c r="E629" s="205">
        <v>23.89</v>
      </c>
      <c r="F629" s="44" t="s">
        <v>269</v>
      </c>
      <c r="G629" s="42" t="s">
        <v>1558</v>
      </c>
      <c r="H629" s="44" t="s">
        <v>2082</v>
      </c>
      <c r="I629" s="44" t="s">
        <v>1559</v>
      </c>
      <c r="J629" s="50" t="s">
        <v>2129</v>
      </c>
      <c r="K629" s="50" t="s">
        <v>118</v>
      </c>
      <c r="L629" s="50" t="s">
        <v>2181</v>
      </c>
      <c r="M629" s="50">
        <v>626</v>
      </c>
    </row>
    <row r="630" spans="1:13" ht="15.75" x14ac:dyDescent="0.25">
      <c r="A630" s="48">
        <v>627</v>
      </c>
      <c r="B630" s="44" t="s">
        <v>1957</v>
      </c>
      <c r="C630" s="44" t="s">
        <v>1263</v>
      </c>
      <c r="D630" s="49" t="s">
        <v>146</v>
      </c>
      <c r="E630" s="205">
        <v>16.989999999999998</v>
      </c>
      <c r="F630" s="44" t="s">
        <v>269</v>
      </c>
      <c r="G630" s="42" t="s">
        <v>1556</v>
      </c>
      <c r="H630" s="44" t="s">
        <v>2083</v>
      </c>
      <c r="I630" s="44" t="s">
        <v>1557</v>
      </c>
      <c r="J630" s="50" t="s">
        <v>2129</v>
      </c>
      <c r="K630" s="50" t="s">
        <v>118</v>
      </c>
      <c r="L630" s="50" t="s">
        <v>2181</v>
      </c>
      <c r="M630" s="50">
        <v>627</v>
      </c>
    </row>
    <row r="631" spans="1:13" ht="15.75" x14ac:dyDescent="0.25">
      <c r="A631" s="48">
        <v>628</v>
      </c>
      <c r="B631" s="44" t="s">
        <v>1957</v>
      </c>
      <c r="C631" s="44" t="s">
        <v>1553</v>
      </c>
      <c r="D631" s="49" t="s">
        <v>146</v>
      </c>
      <c r="E631" s="205">
        <v>55.98</v>
      </c>
      <c r="F631" s="44" t="s">
        <v>269</v>
      </c>
      <c r="G631" s="42" t="s">
        <v>1554</v>
      </c>
      <c r="H631" s="44" t="s">
        <v>1080</v>
      </c>
      <c r="I631" s="44" t="s">
        <v>1555</v>
      </c>
      <c r="J631" s="50" t="s">
        <v>2129</v>
      </c>
      <c r="K631" s="50" t="s">
        <v>118</v>
      </c>
      <c r="L631" s="50" t="s">
        <v>2181</v>
      </c>
      <c r="M631" s="50">
        <v>628</v>
      </c>
    </row>
    <row r="632" spans="1:13" ht="15.75" x14ac:dyDescent="0.25">
      <c r="A632" s="48">
        <v>629</v>
      </c>
      <c r="B632" s="44" t="s">
        <v>1957</v>
      </c>
      <c r="C632" s="44" t="s">
        <v>1467</v>
      </c>
      <c r="D632" s="49" t="s">
        <v>146</v>
      </c>
      <c r="E632" s="205">
        <v>41.99</v>
      </c>
      <c r="F632" s="44" t="s">
        <v>269</v>
      </c>
      <c r="G632" s="42" t="s">
        <v>1551</v>
      </c>
      <c r="H632" s="44" t="s">
        <v>2084</v>
      </c>
      <c r="I632" s="44" t="s">
        <v>1552</v>
      </c>
      <c r="J632" s="50" t="s">
        <v>2129</v>
      </c>
      <c r="K632" s="50" t="s">
        <v>118</v>
      </c>
      <c r="L632" s="50" t="s">
        <v>2181</v>
      </c>
      <c r="M632" s="50">
        <v>629</v>
      </c>
    </row>
    <row r="633" spans="1:13" ht="15.75" x14ac:dyDescent="0.25">
      <c r="A633" s="48">
        <v>630</v>
      </c>
      <c r="B633" s="44" t="s">
        <v>1957</v>
      </c>
      <c r="C633" s="44" t="s">
        <v>1548</v>
      </c>
      <c r="D633" s="49" t="s">
        <v>146</v>
      </c>
      <c r="E633" s="205">
        <v>4.95</v>
      </c>
      <c r="F633" s="44" t="s">
        <v>269</v>
      </c>
      <c r="G633" s="42" t="s">
        <v>1549</v>
      </c>
      <c r="H633" s="44" t="s">
        <v>2085</v>
      </c>
      <c r="I633" s="44" t="s">
        <v>1550</v>
      </c>
      <c r="J633" s="50" t="s">
        <v>2129</v>
      </c>
      <c r="K633" s="50" t="s">
        <v>118</v>
      </c>
      <c r="L633" s="50" t="s">
        <v>2181</v>
      </c>
      <c r="M633" s="50">
        <v>630</v>
      </c>
    </row>
    <row r="634" spans="1:13" ht="15.75" x14ac:dyDescent="0.25">
      <c r="A634" s="48">
        <v>631</v>
      </c>
      <c r="B634" s="44" t="s">
        <v>1957</v>
      </c>
      <c r="C634" s="44" t="s">
        <v>1545</v>
      </c>
      <c r="D634" s="49" t="s">
        <v>146</v>
      </c>
      <c r="E634" s="205">
        <v>100.82</v>
      </c>
      <c r="F634" s="44" t="s">
        <v>269</v>
      </c>
      <c r="G634" s="42" t="s">
        <v>1546</v>
      </c>
      <c r="H634" s="44" t="s">
        <v>2086</v>
      </c>
      <c r="I634" s="44" t="s">
        <v>1547</v>
      </c>
      <c r="J634" s="50" t="s">
        <v>2129</v>
      </c>
      <c r="K634" s="50" t="s">
        <v>118</v>
      </c>
      <c r="L634" s="50" t="s">
        <v>2181</v>
      </c>
      <c r="M634" s="50">
        <v>631</v>
      </c>
    </row>
    <row r="635" spans="1:13" ht="15.75" x14ac:dyDescent="0.25">
      <c r="A635" s="48">
        <v>632</v>
      </c>
      <c r="B635" s="44" t="s">
        <v>1957</v>
      </c>
      <c r="C635" s="44" t="s">
        <v>1467</v>
      </c>
      <c r="D635" s="49" t="s">
        <v>86</v>
      </c>
      <c r="E635" s="205">
        <v>45.99</v>
      </c>
      <c r="F635" s="44" t="s">
        <v>269</v>
      </c>
      <c r="G635" s="42" t="s">
        <v>1543</v>
      </c>
      <c r="H635" s="44" t="s">
        <v>2087</v>
      </c>
      <c r="I635" s="44" t="s">
        <v>1544</v>
      </c>
      <c r="J635" s="50" t="s">
        <v>2129</v>
      </c>
      <c r="K635" s="50" t="s">
        <v>118</v>
      </c>
      <c r="L635" s="50" t="s">
        <v>2181</v>
      </c>
      <c r="M635" s="50">
        <v>632</v>
      </c>
    </row>
    <row r="636" spans="1:13" ht="15.75" x14ac:dyDescent="0.25">
      <c r="A636" s="48">
        <v>633</v>
      </c>
      <c r="B636" s="44" t="s">
        <v>1957</v>
      </c>
      <c r="C636" s="44" t="s">
        <v>1540</v>
      </c>
      <c r="D636" s="49" t="s">
        <v>86</v>
      </c>
      <c r="E636" s="205">
        <v>6.65</v>
      </c>
      <c r="F636" s="44" t="s">
        <v>269</v>
      </c>
      <c r="G636" s="42" t="s">
        <v>1541</v>
      </c>
      <c r="H636" s="44" t="s">
        <v>2088</v>
      </c>
      <c r="I636" s="44" t="s">
        <v>1542</v>
      </c>
      <c r="J636" s="50" t="s">
        <v>2129</v>
      </c>
      <c r="K636" s="50" t="s">
        <v>118</v>
      </c>
      <c r="L636" s="50" t="s">
        <v>2181</v>
      </c>
      <c r="M636" s="50">
        <v>633</v>
      </c>
    </row>
    <row r="637" spans="1:13" ht="15.75" x14ac:dyDescent="0.25">
      <c r="A637" s="48">
        <v>634</v>
      </c>
      <c r="B637" s="44" t="s">
        <v>1957</v>
      </c>
      <c r="C637" s="44" t="s">
        <v>1537</v>
      </c>
      <c r="D637" s="49" t="s">
        <v>86</v>
      </c>
      <c r="E637" s="205">
        <v>18</v>
      </c>
      <c r="F637" s="44" t="s">
        <v>269</v>
      </c>
      <c r="G637" s="42" t="s">
        <v>1538</v>
      </c>
      <c r="H637" s="44" t="s">
        <v>2088</v>
      </c>
      <c r="I637" s="44" t="s">
        <v>1539</v>
      </c>
      <c r="J637" s="50" t="s">
        <v>2129</v>
      </c>
      <c r="K637" s="50" t="s">
        <v>118</v>
      </c>
      <c r="L637" s="50" t="s">
        <v>2181</v>
      </c>
      <c r="M637" s="50">
        <v>634</v>
      </c>
    </row>
    <row r="638" spans="1:13" ht="15.75" x14ac:dyDescent="0.25">
      <c r="A638" s="48">
        <v>635</v>
      </c>
      <c r="B638" s="44" t="s">
        <v>1957</v>
      </c>
      <c r="C638" s="44" t="s">
        <v>1467</v>
      </c>
      <c r="D638" s="49" t="s">
        <v>86</v>
      </c>
      <c r="E638" s="205">
        <v>37.89</v>
      </c>
      <c r="F638" s="44" t="s">
        <v>269</v>
      </c>
      <c r="G638" s="42" t="s">
        <v>1535</v>
      </c>
      <c r="H638" s="44" t="s">
        <v>2089</v>
      </c>
      <c r="I638" s="44" t="s">
        <v>1536</v>
      </c>
      <c r="J638" s="50" t="s">
        <v>2129</v>
      </c>
      <c r="K638" s="50" t="s">
        <v>118</v>
      </c>
      <c r="L638" s="50" t="s">
        <v>2181</v>
      </c>
      <c r="M638" s="50">
        <v>635</v>
      </c>
    </row>
    <row r="639" spans="1:13" ht="15.75" x14ac:dyDescent="0.25">
      <c r="A639" s="48">
        <v>636</v>
      </c>
      <c r="B639" s="44" t="s">
        <v>1957</v>
      </c>
      <c r="C639" s="44" t="s">
        <v>1532</v>
      </c>
      <c r="D639" s="49" t="s">
        <v>86</v>
      </c>
      <c r="E639" s="205">
        <v>73.08</v>
      </c>
      <c r="F639" s="44" t="s">
        <v>269</v>
      </c>
      <c r="G639" s="42" t="s">
        <v>1533</v>
      </c>
      <c r="H639" s="44" t="s">
        <v>2090</v>
      </c>
      <c r="I639" s="44" t="s">
        <v>1534</v>
      </c>
      <c r="J639" s="50" t="s">
        <v>2129</v>
      </c>
      <c r="K639" s="50" t="s">
        <v>118</v>
      </c>
      <c r="L639" s="50" t="s">
        <v>2181</v>
      </c>
      <c r="M639" s="50">
        <v>636</v>
      </c>
    </row>
    <row r="640" spans="1:13" ht="15.75" x14ac:dyDescent="0.25">
      <c r="A640" s="48">
        <v>637</v>
      </c>
      <c r="B640" s="44" t="s">
        <v>1957</v>
      </c>
      <c r="C640" s="44" t="s">
        <v>1529</v>
      </c>
      <c r="D640" s="49" t="s">
        <v>86</v>
      </c>
      <c r="E640" s="205">
        <v>43.96</v>
      </c>
      <c r="F640" s="44" t="s">
        <v>269</v>
      </c>
      <c r="G640" s="42" t="s">
        <v>1530</v>
      </c>
      <c r="H640" s="44" t="s">
        <v>2091</v>
      </c>
      <c r="I640" s="44" t="s">
        <v>1531</v>
      </c>
      <c r="J640" s="50" t="s">
        <v>2129</v>
      </c>
      <c r="K640" s="50" t="s">
        <v>118</v>
      </c>
      <c r="L640" s="50" t="s">
        <v>2181</v>
      </c>
      <c r="M640" s="50">
        <v>637</v>
      </c>
    </row>
    <row r="641" spans="1:13" ht="15.75" x14ac:dyDescent="0.25">
      <c r="A641" s="48">
        <v>638</v>
      </c>
      <c r="B641" s="44" t="s">
        <v>1957</v>
      </c>
      <c r="C641" s="44" t="s">
        <v>1526</v>
      </c>
      <c r="D641" s="49" t="s">
        <v>86</v>
      </c>
      <c r="E641" s="205">
        <v>34.97</v>
      </c>
      <c r="F641" s="44" t="s">
        <v>269</v>
      </c>
      <c r="G641" s="42" t="s">
        <v>1527</v>
      </c>
      <c r="H641" s="44" t="s">
        <v>2091</v>
      </c>
      <c r="I641" s="44" t="s">
        <v>1528</v>
      </c>
      <c r="J641" s="50" t="s">
        <v>2129</v>
      </c>
      <c r="K641" s="50" t="s">
        <v>118</v>
      </c>
      <c r="L641" s="50" t="s">
        <v>2181</v>
      </c>
      <c r="M641" s="50">
        <v>638</v>
      </c>
    </row>
    <row r="642" spans="1:13" ht="15.75" x14ac:dyDescent="0.25">
      <c r="A642" s="48">
        <v>639</v>
      </c>
      <c r="B642" s="44" t="s">
        <v>1957</v>
      </c>
      <c r="C642" s="44" t="s">
        <v>1472</v>
      </c>
      <c r="D642" s="49" t="s">
        <v>86</v>
      </c>
      <c r="E642" s="205">
        <v>321.63</v>
      </c>
      <c r="F642" s="44" t="s">
        <v>269</v>
      </c>
      <c r="G642" s="42" t="s">
        <v>1524</v>
      </c>
      <c r="H642" s="44" t="s">
        <v>2092</v>
      </c>
      <c r="I642" s="44" t="s">
        <v>1525</v>
      </c>
      <c r="J642" s="50" t="s">
        <v>2129</v>
      </c>
      <c r="K642" s="50" t="s">
        <v>118</v>
      </c>
      <c r="L642" s="50" t="s">
        <v>2181</v>
      </c>
      <c r="M642" s="50">
        <v>639</v>
      </c>
    </row>
    <row r="643" spans="1:13" ht="15.75" x14ac:dyDescent="0.25">
      <c r="A643" s="48">
        <v>640</v>
      </c>
      <c r="B643" s="44" t="s">
        <v>1957</v>
      </c>
      <c r="C643" s="44" t="s">
        <v>1467</v>
      </c>
      <c r="D643" s="49" t="s">
        <v>86</v>
      </c>
      <c r="E643" s="205">
        <v>54.88</v>
      </c>
      <c r="F643" s="44" t="s">
        <v>269</v>
      </c>
      <c r="G643" s="42" t="s">
        <v>1522</v>
      </c>
      <c r="H643" s="44" t="s">
        <v>2093</v>
      </c>
      <c r="I643" s="44" t="s">
        <v>1523</v>
      </c>
      <c r="J643" s="50" t="s">
        <v>2129</v>
      </c>
      <c r="K643" s="50" t="s">
        <v>118</v>
      </c>
      <c r="L643" s="50" t="s">
        <v>2181</v>
      </c>
      <c r="M643" s="50">
        <v>640</v>
      </c>
    </row>
    <row r="644" spans="1:13" ht="15.75" x14ac:dyDescent="0.25">
      <c r="A644" s="48">
        <v>641</v>
      </c>
      <c r="B644" s="44" t="s">
        <v>1957</v>
      </c>
      <c r="C644" s="44" t="s">
        <v>1467</v>
      </c>
      <c r="D644" s="49" t="s">
        <v>86</v>
      </c>
      <c r="E644" s="205">
        <v>72.58</v>
      </c>
      <c r="F644" s="44" t="s">
        <v>269</v>
      </c>
      <c r="G644" s="42" t="s">
        <v>1520</v>
      </c>
      <c r="H644" s="44" t="s">
        <v>2094</v>
      </c>
      <c r="I644" s="44" t="s">
        <v>1521</v>
      </c>
      <c r="J644" s="50" t="s">
        <v>2129</v>
      </c>
      <c r="K644" s="50" t="s">
        <v>118</v>
      </c>
      <c r="L644" s="50" t="s">
        <v>2181</v>
      </c>
      <c r="M644" s="50">
        <v>641</v>
      </c>
    </row>
    <row r="645" spans="1:13" ht="15.75" x14ac:dyDescent="0.25">
      <c r="A645" s="48">
        <v>642</v>
      </c>
      <c r="B645" s="44" t="s">
        <v>1957</v>
      </c>
      <c r="C645" s="44" t="s">
        <v>1517</v>
      </c>
      <c r="D645" s="49" t="s">
        <v>86</v>
      </c>
      <c r="E645" s="205">
        <v>1.55</v>
      </c>
      <c r="F645" s="44" t="s">
        <v>269</v>
      </c>
      <c r="G645" s="42" t="s">
        <v>1518</v>
      </c>
      <c r="H645" s="44" t="s">
        <v>2095</v>
      </c>
      <c r="I645" s="44" t="s">
        <v>1519</v>
      </c>
      <c r="J645" s="50" t="s">
        <v>2129</v>
      </c>
      <c r="K645" s="50" t="s">
        <v>118</v>
      </c>
      <c r="L645" s="50" t="s">
        <v>2181</v>
      </c>
      <c r="M645" s="50">
        <v>642</v>
      </c>
    </row>
    <row r="646" spans="1:13" ht="15.75" x14ac:dyDescent="0.25">
      <c r="A646" s="48">
        <v>643</v>
      </c>
      <c r="B646" s="44" t="s">
        <v>1957</v>
      </c>
      <c r="C646" s="44" t="s">
        <v>1514</v>
      </c>
      <c r="D646" s="49" t="s">
        <v>86</v>
      </c>
      <c r="E646" s="205">
        <v>14.6</v>
      </c>
      <c r="F646" s="44" t="s">
        <v>269</v>
      </c>
      <c r="G646" s="42" t="s">
        <v>1515</v>
      </c>
      <c r="H646" s="44" t="s">
        <v>2095</v>
      </c>
      <c r="I646" s="44" t="s">
        <v>1516</v>
      </c>
      <c r="J646" s="50" t="s">
        <v>2129</v>
      </c>
      <c r="K646" s="50" t="s">
        <v>118</v>
      </c>
      <c r="L646" s="50" t="s">
        <v>2181</v>
      </c>
      <c r="M646" s="50">
        <v>643</v>
      </c>
    </row>
    <row r="647" spans="1:13" ht="15.75" x14ac:dyDescent="0.25">
      <c r="A647" s="48">
        <v>644</v>
      </c>
      <c r="B647" s="44" t="s">
        <v>1957</v>
      </c>
      <c r="C647" s="44" t="s">
        <v>1511</v>
      </c>
      <c r="D647" s="49" t="s">
        <v>86</v>
      </c>
      <c r="E647" s="205">
        <v>27.82</v>
      </c>
      <c r="F647" s="44" t="s">
        <v>269</v>
      </c>
      <c r="G647" s="42" t="s">
        <v>1512</v>
      </c>
      <c r="H647" s="44" t="s">
        <v>2095</v>
      </c>
      <c r="I647" s="44" t="s">
        <v>1513</v>
      </c>
      <c r="J647" s="50" t="s">
        <v>2129</v>
      </c>
      <c r="K647" s="50" t="s">
        <v>118</v>
      </c>
      <c r="L647" s="50" t="s">
        <v>2181</v>
      </c>
      <c r="M647" s="50">
        <v>644</v>
      </c>
    </row>
    <row r="648" spans="1:13" ht="15.75" x14ac:dyDescent="0.25">
      <c r="A648" s="48">
        <v>645</v>
      </c>
      <c r="B648" s="44" t="s">
        <v>1957</v>
      </c>
      <c r="C648" s="44" t="s">
        <v>1508</v>
      </c>
      <c r="D648" s="49" t="s">
        <v>86</v>
      </c>
      <c r="E648" s="205">
        <v>3.49</v>
      </c>
      <c r="F648" s="44" t="s">
        <v>269</v>
      </c>
      <c r="G648" s="42" t="s">
        <v>1509</v>
      </c>
      <c r="H648" s="44" t="s">
        <v>2095</v>
      </c>
      <c r="I648" s="44" t="s">
        <v>1510</v>
      </c>
      <c r="J648" s="50" t="s">
        <v>2129</v>
      </c>
      <c r="K648" s="50" t="s">
        <v>118</v>
      </c>
      <c r="L648" s="50" t="s">
        <v>2181</v>
      </c>
      <c r="M648" s="50">
        <v>645</v>
      </c>
    </row>
    <row r="649" spans="1:13" ht="15.75" x14ac:dyDescent="0.25">
      <c r="A649" s="48">
        <v>646</v>
      </c>
      <c r="B649" s="44" t="s">
        <v>1957</v>
      </c>
      <c r="C649" s="44" t="s">
        <v>1505</v>
      </c>
      <c r="D649" s="49" t="s">
        <v>86</v>
      </c>
      <c r="E649" s="205">
        <v>5</v>
      </c>
      <c r="F649" s="44" t="s">
        <v>269</v>
      </c>
      <c r="G649" s="42" t="s">
        <v>1506</v>
      </c>
      <c r="H649" s="44" t="s">
        <v>2095</v>
      </c>
      <c r="I649" s="44" t="s">
        <v>1507</v>
      </c>
      <c r="J649" s="50" t="s">
        <v>2129</v>
      </c>
      <c r="K649" s="50" t="s">
        <v>118</v>
      </c>
      <c r="L649" s="50" t="s">
        <v>2181</v>
      </c>
      <c r="M649" s="50">
        <v>646</v>
      </c>
    </row>
    <row r="650" spans="1:13" ht="15.75" x14ac:dyDescent="0.25">
      <c r="A650" s="48">
        <v>647</v>
      </c>
      <c r="B650" s="44" t="s">
        <v>1957</v>
      </c>
      <c r="C650" s="44" t="s">
        <v>1502</v>
      </c>
      <c r="D650" s="49" t="s">
        <v>86</v>
      </c>
      <c r="E650" s="205">
        <v>10.98</v>
      </c>
      <c r="F650" s="44" t="s">
        <v>269</v>
      </c>
      <c r="G650" s="42" t="s">
        <v>1503</v>
      </c>
      <c r="H650" s="44" t="s">
        <v>2096</v>
      </c>
      <c r="I650" s="44" t="s">
        <v>1504</v>
      </c>
      <c r="J650" s="50" t="s">
        <v>2129</v>
      </c>
      <c r="K650" s="50" t="s">
        <v>118</v>
      </c>
      <c r="L650" s="50" t="s">
        <v>2181</v>
      </c>
      <c r="M650" s="50">
        <v>647</v>
      </c>
    </row>
    <row r="651" spans="1:13" ht="15.75" x14ac:dyDescent="0.25">
      <c r="A651" s="48">
        <v>648</v>
      </c>
      <c r="B651" s="44" t="s">
        <v>1957</v>
      </c>
      <c r="C651" s="44" t="s">
        <v>1232</v>
      </c>
      <c r="D651" s="49" t="s">
        <v>86</v>
      </c>
      <c r="E651" s="205">
        <v>35.01</v>
      </c>
      <c r="F651" s="44" t="s">
        <v>269</v>
      </c>
      <c r="G651" s="42" t="s">
        <v>1500</v>
      </c>
      <c r="H651" s="44" t="s">
        <v>2097</v>
      </c>
      <c r="I651" s="44" t="s">
        <v>1501</v>
      </c>
      <c r="J651" s="50" t="s">
        <v>2129</v>
      </c>
      <c r="K651" s="50" t="s">
        <v>118</v>
      </c>
      <c r="L651" s="50" t="s">
        <v>2181</v>
      </c>
      <c r="M651" s="50">
        <v>648</v>
      </c>
    </row>
    <row r="652" spans="1:13" ht="15.75" x14ac:dyDescent="0.25">
      <c r="A652" s="48">
        <v>649</v>
      </c>
      <c r="B652" s="44" t="s">
        <v>1957</v>
      </c>
      <c r="C652" s="44" t="s">
        <v>1495</v>
      </c>
      <c r="D652" s="49" t="s">
        <v>86</v>
      </c>
      <c r="E652" s="205">
        <v>34.5</v>
      </c>
      <c r="F652" s="44" t="s">
        <v>269</v>
      </c>
      <c r="G652" s="42" t="s">
        <v>1498</v>
      </c>
      <c r="H652" s="44" t="s">
        <v>319</v>
      </c>
      <c r="I652" s="44" t="s">
        <v>1499</v>
      </c>
      <c r="J652" s="50" t="s">
        <v>2129</v>
      </c>
      <c r="K652" s="50" t="s">
        <v>118</v>
      </c>
      <c r="L652" s="50" t="s">
        <v>2181</v>
      </c>
      <c r="M652" s="50">
        <v>649</v>
      </c>
    </row>
    <row r="653" spans="1:13" ht="15.75" x14ac:dyDescent="0.25">
      <c r="A653" s="48">
        <v>650</v>
      </c>
      <c r="B653" s="44" t="s">
        <v>1957</v>
      </c>
      <c r="C653" s="44" t="s">
        <v>1495</v>
      </c>
      <c r="D653" s="49" t="s">
        <v>86</v>
      </c>
      <c r="E653" s="205">
        <v>9.99</v>
      </c>
      <c r="F653" s="44" t="s">
        <v>269</v>
      </c>
      <c r="G653" s="42" t="s">
        <v>1496</v>
      </c>
      <c r="H653" s="44" t="s">
        <v>319</v>
      </c>
      <c r="I653" s="44" t="s">
        <v>1497</v>
      </c>
      <c r="J653" s="50" t="s">
        <v>2129</v>
      </c>
      <c r="K653" s="50" t="s">
        <v>118</v>
      </c>
      <c r="L653" s="50" t="s">
        <v>2181</v>
      </c>
      <c r="M653" s="50">
        <v>650</v>
      </c>
    </row>
    <row r="654" spans="1:13" ht="15.75" x14ac:dyDescent="0.25">
      <c r="A654" s="48">
        <v>651</v>
      </c>
      <c r="B654" s="44" t="s">
        <v>1957</v>
      </c>
      <c r="C654" s="44" t="s">
        <v>1467</v>
      </c>
      <c r="D654" s="49" t="s">
        <v>86</v>
      </c>
      <c r="E654" s="205">
        <v>21.97</v>
      </c>
      <c r="F654" s="44" t="s">
        <v>269</v>
      </c>
      <c r="G654" s="42" t="s">
        <v>1493</v>
      </c>
      <c r="H654" s="44" t="s">
        <v>2098</v>
      </c>
      <c r="I654" s="44" t="s">
        <v>1494</v>
      </c>
      <c r="J654" s="50" t="s">
        <v>2129</v>
      </c>
      <c r="K654" s="50" t="s">
        <v>118</v>
      </c>
      <c r="L654" s="50" t="s">
        <v>2181</v>
      </c>
      <c r="M654" s="50">
        <v>651</v>
      </c>
    </row>
    <row r="655" spans="1:13" ht="15.75" x14ac:dyDescent="0.25">
      <c r="A655" s="48">
        <v>652</v>
      </c>
      <c r="B655" s="44" t="s">
        <v>1957</v>
      </c>
      <c r="C655" s="44" t="s">
        <v>1490</v>
      </c>
      <c r="D655" s="49" t="s">
        <v>86</v>
      </c>
      <c r="E655" s="205">
        <v>18</v>
      </c>
      <c r="F655" s="44" t="s">
        <v>269</v>
      </c>
      <c r="G655" s="42" t="s">
        <v>1491</v>
      </c>
      <c r="H655" s="44" t="s">
        <v>2099</v>
      </c>
      <c r="I655" s="44" t="s">
        <v>1492</v>
      </c>
      <c r="J655" s="50" t="s">
        <v>2129</v>
      </c>
      <c r="K655" s="50" t="s">
        <v>118</v>
      </c>
      <c r="L655" s="50" t="s">
        <v>2181</v>
      </c>
      <c r="M655" s="50">
        <v>652</v>
      </c>
    </row>
    <row r="656" spans="1:13" ht="15.75" x14ac:dyDescent="0.25">
      <c r="A656" s="48">
        <v>653</v>
      </c>
      <c r="B656" s="44" t="s">
        <v>1957</v>
      </c>
      <c r="C656" s="44" t="s">
        <v>1467</v>
      </c>
      <c r="D656" s="49" t="s">
        <v>86</v>
      </c>
      <c r="E656" s="205">
        <v>66.790000000000006</v>
      </c>
      <c r="F656" s="44" t="s">
        <v>269</v>
      </c>
      <c r="G656" s="42" t="s">
        <v>1488</v>
      </c>
      <c r="H656" s="44" t="s">
        <v>2100</v>
      </c>
      <c r="I656" s="44" t="s">
        <v>1489</v>
      </c>
      <c r="J656" s="50" t="s">
        <v>2129</v>
      </c>
      <c r="K656" s="50" t="s">
        <v>118</v>
      </c>
      <c r="L656" s="50" t="s">
        <v>2181</v>
      </c>
      <c r="M656" s="50">
        <v>653</v>
      </c>
    </row>
    <row r="657" spans="1:13" ht="15.75" x14ac:dyDescent="0.25">
      <c r="A657" s="48">
        <v>654</v>
      </c>
      <c r="B657" s="44" t="s">
        <v>1957</v>
      </c>
      <c r="C657" s="44" t="s">
        <v>1485</v>
      </c>
      <c r="D657" s="49" t="s">
        <v>86</v>
      </c>
      <c r="E657" s="205">
        <v>65</v>
      </c>
      <c r="F657" s="44" t="s">
        <v>269</v>
      </c>
      <c r="G657" s="42" t="s">
        <v>1486</v>
      </c>
      <c r="H657" s="44" t="s">
        <v>2101</v>
      </c>
      <c r="I657" s="44" t="s">
        <v>1487</v>
      </c>
      <c r="J657" s="50" t="s">
        <v>2129</v>
      </c>
      <c r="K657" s="50" t="s">
        <v>118</v>
      </c>
      <c r="L657" s="50" t="s">
        <v>2181</v>
      </c>
      <c r="M657" s="50">
        <v>654</v>
      </c>
    </row>
    <row r="658" spans="1:13" ht="15.75" x14ac:dyDescent="0.25">
      <c r="A658" s="48">
        <v>655</v>
      </c>
      <c r="B658" s="44" t="s">
        <v>1957</v>
      </c>
      <c r="C658" s="44" t="s">
        <v>1480</v>
      </c>
      <c r="D658" s="49" t="s">
        <v>86</v>
      </c>
      <c r="E658" s="205">
        <v>56.55</v>
      </c>
      <c r="F658" s="44" t="s">
        <v>269</v>
      </c>
      <c r="G658" s="42" t="s">
        <v>1483</v>
      </c>
      <c r="H658" s="44" t="s">
        <v>1458</v>
      </c>
      <c r="I658" s="44" t="s">
        <v>1484</v>
      </c>
      <c r="J658" s="50" t="s">
        <v>2129</v>
      </c>
      <c r="K658" s="50" t="s">
        <v>118</v>
      </c>
      <c r="L658" s="50" t="s">
        <v>2181</v>
      </c>
      <c r="M658" s="50">
        <v>655</v>
      </c>
    </row>
    <row r="659" spans="1:13" ht="15.75" x14ac:dyDescent="0.25">
      <c r="A659" s="48">
        <v>656</v>
      </c>
      <c r="B659" s="44" t="s">
        <v>1957</v>
      </c>
      <c r="C659" s="44" t="s">
        <v>1480</v>
      </c>
      <c r="D659" s="49" t="s">
        <v>86</v>
      </c>
      <c r="E659" s="205">
        <v>6.99</v>
      </c>
      <c r="F659" s="44" t="s">
        <v>269</v>
      </c>
      <c r="G659" s="42" t="s">
        <v>1481</v>
      </c>
      <c r="H659" s="44" t="s">
        <v>1458</v>
      </c>
      <c r="I659" s="44" t="s">
        <v>1482</v>
      </c>
      <c r="J659" s="50" t="s">
        <v>2129</v>
      </c>
      <c r="K659" s="50" t="s">
        <v>118</v>
      </c>
      <c r="L659" s="50" t="s">
        <v>2181</v>
      </c>
      <c r="M659" s="50">
        <v>656</v>
      </c>
    </row>
    <row r="660" spans="1:13" ht="15.75" x14ac:dyDescent="0.25">
      <c r="A660" s="48">
        <v>657</v>
      </c>
      <c r="B660" s="44" t="s">
        <v>1957</v>
      </c>
      <c r="C660" s="44" t="s">
        <v>1477</v>
      </c>
      <c r="D660" s="49" t="s">
        <v>86</v>
      </c>
      <c r="E660" s="205">
        <v>21.58</v>
      </c>
      <c r="F660" s="44" t="s">
        <v>269</v>
      </c>
      <c r="G660" s="42" t="s">
        <v>1478</v>
      </c>
      <c r="H660" s="44" t="s">
        <v>2102</v>
      </c>
      <c r="I660" s="44" t="s">
        <v>1479</v>
      </c>
      <c r="J660" s="50" t="s">
        <v>2129</v>
      </c>
      <c r="K660" s="50" t="s">
        <v>118</v>
      </c>
      <c r="L660" s="50" t="s">
        <v>2181</v>
      </c>
      <c r="M660" s="50">
        <v>657</v>
      </c>
    </row>
    <row r="661" spans="1:13" ht="15.75" x14ac:dyDescent="0.25">
      <c r="A661" s="48">
        <v>658</v>
      </c>
      <c r="B661" s="44" t="s">
        <v>1957</v>
      </c>
      <c r="C661" s="44" t="s">
        <v>1467</v>
      </c>
      <c r="D661" s="49" t="s">
        <v>86</v>
      </c>
      <c r="E661" s="205">
        <v>53.99</v>
      </c>
      <c r="F661" s="44" t="s">
        <v>269</v>
      </c>
      <c r="G661" s="42" t="s">
        <v>1475</v>
      </c>
      <c r="H661" s="44" t="s">
        <v>2103</v>
      </c>
      <c r="I661" s="44" t="s">
        <v>1476</v>
      </c>
      <c r="J661" s="50" t="s">
        <v>2129</v>
      </c>
      <c r="K661" s="50" t="s">
        <v>118</v>
      </c>
      <c r="L661" s="50" t="s">
        <v>2181</v>
      </c>
      <c r="M661" s="50">
        <v>658</v>
      </c>
    </row>
    <row r="662" spans="1:13" ht="15.75" x14ac:dyDescent="0.25">
      <c r="A662" s="48">
        <v>659</v>
      </c>
      <c r="B662" s="44" t="s">
        <v>1957</v>
      </c>
      <c r="C662" s="44" t="s">
        <v>1472</v>
      </c>
      <c r="D662" s="49" t="s">
        <v>86</v>
      </c>
      <c r="E662" s="205">
        <v>376.52</v>
      </c>
      <c r="F662" s="44" t="s">
        <v>269</v>
      </c>
      <c r="G662" s="42" t="s">
        <v>1473</v>
      </c>
      <c r="H662" s="44" t="s">
        <v>2104</v>
      </c>
      <c r="I662" s="44" t="s">
        <v>1474</v>
      </c>
      <c r="J662" s="50" t="s">
        <v>2129</v>
      </c>
      <c r="K662" s="50" t="s">
        <v>118</v>
      </c>
      <c r="L662" s="50" t="s">
        <v>2181</v>
      </c>
      <c r="M662" s="50">
        <v>659</v>
      </c>
    </row>
    <row r="663" spans="1:13" ht="15.75" x14ac:dyDescent="0.25">
      <c r="A663" s="48">
        <v>660</v>
      </c>
      <c r="B663" s="44" t="s">
        <v>1957</v>
      </c>
      <c r="C663" s="44" t="s">
        <v>1467</v>
      </c>
      <c r="D663" s="49" t="s">
        <v>86</v>
      </c>
      <c r="E663" s="205">
        <v>52.99</v>
      </c>
      <c r="F663" s="44" t="s">
        <v>269</v>
      </c>
      <c r="G663" s="42" t="s">
        <v>1470</v>
      </c>
      <c r="H663" s="44" t="s">
        <v>2105</v>
      </c>
      <c r="I663" s="44" t="s">
        <v>1471</v>
      </c>
      <c r="J663" s="50" t="s">
        <v>2129</v>
      </c>
      <c r="K663" s="50" t="s">
        <v>118</v>
      </c>
      <c r="L663" s="50" t="s">
        <v>2181</v>
      </c>
      <c r="M663" s="50">
        <v>660</v>
      </c>
    </row>
    <row r="664" spans="1:13" ht="15.75" x14ac:dyDescent="0.25">
      <c r="A664" s="48">
        <v>661</v>
      </c>
      <c r="B664" s="44" t="s">
        <v>1957</v>
      </c>
      <c r="C664" s="44" t="s">
        <v>1467</v>
      </c>
      <c r="D664" s="49" t="s">
        <v>86</v>
      </c>
      <c r="E664" s="205">
        <v>51.43</v>
      </c>
      <c r="F664" s="44" t="s">
        <v>269</v>
      </c>
      <c r="G664" s="42" t="s">
        <v>1468</v>
      </c>
      <c r="H664" s="44" t="s">
        <v>2106</v>
      </c>
      <c r="I664" s="44" t="s">
        <v>1469</v>
      </c>
      <c r="J664" s="50" t="s">
        <v>2129</v>
      </c>
      <c r="K664" s="50" t="s">
        <v>118</v>
      </c>
      <c r="L664" s="50" t="s">
        <v>2181</v>
      </c>
      <c r="M664" s="50">
        <v>661</v>
      </c>
    </row>
    <row r="665" spans="1:13" ht="15.75" x14ac:dyDescent="0.25">
      <c r="A665" s="48">
        <v>662</v>
      </c>
      <c r="B665" s="44" t="s">
        <v>1957</v>
      </c>
      <c r="C665" s="44" t="s">
        <v>1464</v>
      </c>
      <c r="D665" s="49" t="s">
        <v>86</v>
      </c>
      <c r="E665" s="205">
        <v>55.79</v>
      </c>
      <c r="F665" s="44" t="s">
        <v>269</v>
      </c>
      <c r="G665" s="42" t="s">
        <v>1465</v>
      </c>
      <c r="H665" s="44" t="s">
        <v>2107</v>
      </c>
      <c r="I665" s="44" t="s">
        <v>1466</v>
      </c>
      <c r="J665" s="50" t="s">
        <v>2129</v>
      </c>
      <c r="K665" s="50" t="s">
        <v>118</v>
      </c>
      <c r="L665" s="50" t="s">
        <v>2181</v>
      </c>
      <c r="M665" s="50">
        <v>662</v>
      </c>
    </row>
    <row r="666" spans="1:13" ht="15.75" x14ac:dyDescent="0.25">
      <c r="A666" s="48">
        <v>663</v>
      </c>
      <c r="B666" s="44" t="s">
        <v>1957</v>
      </c>
      <c r="C666" s="44" t="s">
        <v>1461</v>
      </c>
      <c r="D666" s="49" t="s">
        <v>86</v>
      </c>
      <c r="E666" s="205">
        <v>25.91</v>
      </c>
      <c r="F666" s="44" t="s">
        <v>269</v>
      </c>
      <c r="G666" s="42" t="s">
        <v>1462</v>
      </c>
      <c r="H666" s="44" t="s">
        <v>2108</v>
      </c>
      <c r="I666" s="44" t="s">
        <v>1463</v>
      </c>
      <c r="J666" s="50" t="s">
        <v>2129</v>
      </c>
      <c r="K666" s="50" t="s">
        <v>118</v>
      </c>
      <c r="L666" s="50" t="s">
        <v>2181</v>
      </c>
      <c r="M666" s="50">
        <v>663</v>
      </c>
    </row>
    <row r="667" spans="1:13" ht="15.75" x14ac:dyDescent="0.25">
      <c r="A667" s="48">
        <v>665</v>
      </c>
      <c r="B667" s="44" t="s">
        <v>1957</v>
      </c>
      <c r="C667" s="44" t="s">
        <v>2109</v>
      </c>
      <c r="D667" s="49" t="s">
        <v>84</v>
      </c>
      <c r="E667" s="205">
        <v>35</v>
      </c>
      <c r="F667" s="44" t="s">
        <v>269</v>
      </c>
      <c r="G667" s="42" t="s">
        <v>1632</v>
      </c>
      <c r="H667" s="44" t="s">
        <v>2111</v>
      </c>
      <c r="I667" s="44" t="s">
        <v>2110</v>
      </c>
      <c r="J667" s="50" t="s">
        <v>2129</v>
      </c>
      <c r="K667" s="50" t="s">
        <v>118</v>
      </c>
      <c r="L667" s="50" t="s">
        <v>2181</v>
      </c>
      <c r="M667" s="50">
        <v>665</v>
      </c>
    </row>
    <row r="668" spans="1:13" ht="15.75" x14ac:dyDescent="0.25">
      <c r="A668" s="48">
        <v>666</v>
      </c>
      <c r="B668" s="44" t="s">
        <v>1167</v>
      </c>
      <c r="C668" s="44" t="s">
        <v>1113</v>
      </c>
      <c r="D668" s="49" t="s">
        <v>86</v>
      </c>
      <c r="E668" s="205">
        <v>773.64</v>
      </c>
      <c r="F668" s="44" t="s">
        <v>269</v>
      </c>
      <c r="G668" s="42" t="s">
        <v>2112</v>
      </c>
      <c r="H668" s="44" t="s">
        <v>2114</v>
      </c>
      <c r="I668" s="44" t="s">
        <v>2113</v>
      </c>
      <c r="J668" s="50" t="s">
        <v>2123</v>
      </c>
      <c r="K668" s="50" t="s">
        <v>118</v>
      </c>
      <c r="L668" s="50" t="s">
        <v>2181</v>
      </c>
      <c r="M668" s="50">
        <v>666</v>
      </c>
    </row>
    <row r="669" spans="1:13" ht="15.75" x14ac:dyDescent="0.25">
      <c r="A669" s="48">
        <v>667</v>
      </c>
      <c r="B669" s="44" t="s">
        <v>1167</v>
      </c>
      <c r="C669" s="44" t="s">
        <v>1113</v>
      </c>
      <c r="D669" s="49" t="s">
        <v>146</v>
      </c>
      <c r="E669" s="205">
        <v>792.23</v>
      </c>
      <c r="F669" s="44" t="s">
        <v>269</v>
      </c>
      <c r="G669" s="42" t="s">
        <v>2115</v>
      </c>
      <c r="H669" s="44" t="s">
        <v>2117</v>
      </c>
      <c r="I669" s="44" t="s">
        <v>2116</v>
      </c>
      <c r="J669" s="50" t="s">
        <v>2123</v>
      </c>
      <c r="K669" s="50" t="s">
        <v>118</v>
      </c>
      <c r="L669" s="50" t="s">
        <v>2182</v>
      </c>
      <c r="M669" s="50">
        <v>667</v>
      </c>
    </row>
    <row r="670" spans="1:13" ht="15.75" x14ac:dyDescent="0.25">
      <c r="A670" s="48">
        <v>671</v>
      </c>
      <c r="B670" s="44" t="s">
        <v>45</v>
      </c>
      <c r="C670" s="44" t="s">
        <v>2312</v>
      </c>
      <c r="D670" s="49" t="s">
        <v>85</v>
      </c>
      <c r="E670" s="205">
        <v>179.97</v>
      </c>
      <c r="F670" s="44" t="s">
        <v>269</v>
      </c>
      <c r="G670" s="42" t="s">
        <v>2313</v>
      </c>
      <c r="H670" s="44" t="s">
        <v>2315</v>
      </c>
      <c r="I670" s="44" t="s">
        <v>2314</v>
      </c>
      <c r="J670" s="50" t="s">
        <v>2156</v>
      </c>
      <c r="K670" s="50" t="s">
        <v>118</v>
      </c>
      <c r="L670" s="50" t="s">
        <v>2181</v>
      </c>
    </row>
    <row r="671" spans="1:13" ht="15.75" x14ac:dyDescent="0.25">
      <c r="A671" s="48">
        <v>668</v>
      </c>
      <c r="B671" s="44" t="s">
        <v>1167</v>
      </c>
      <c r="C671" s="44" t="s">
        <v>2120</v>
      </c>
      <c r="D671" s="49" t="s">
        <v>146</v>
      </c>
      <c r="E671" s="205">
        <v>136.49</v>
      </c>
      <c r="F671" s="44" t="s">
        <v>269</v>
      </c>
      <c r="G671" s="42" t="s">
        <v>2115</v>
      </c>
      <c r="H671" s="44" t="s">
        <v>2117</v>
      </c>
      <c r="I671" s="44" t="s">
        <v>2116</v>
      </c>
      <c r="J671" s="50" t="s">
        <v>2126</v>
      </c>
      <c r="K671" s="50" t="s">
        <v>118</v>
      </c>
      <c r="L671" s="50" t="s">
        <v>2182</v>
      </c>
      <c r="M671" s="50">
        <v>668</v>
      </c>
    </row>
    <row r="672" spans="1:13" ht="15.75" x14ac:dyDescent="0.25">
      <c r="A672" s="48">
        <v>672</v>
      </c>
      <c r="B672" s="44" t="s">
        <v>45</v>
      </c>
      <c r="C672" s="44" t="s">
        <v>2309</v>
      </c>
      <c r="D672" s="49" t="s">
        <v>85</v>
      </c>
      <c r="E672" s="205">
        <v>80</v>
      </c>
      <c r="F672" s="44" t="s">
        <v>269</v>
      </c>
      <c r="G672" s="42" t="s">
        <v>2310</v>
      </c>
      <c r="H672" s="44" t="s">
        <v>2316</v>
      </c>
      <c r="I672" s="44" t="s">
        <v>2311</v>
      </c>
      <c r="J672" s="50" t="s">
        <v>2156</v>
      </c>
      <c r="K672" s="50" t="s">
        <v>118</v>
      </c>
      <c r="L672" s="50" t="s">
        <v>2181</v>
      </c>
    </row>
    <row r="673" spans="1:12" ht="15.75" x14ac:dyDescent="0.25">
      <c r="A673" s="48">
        <v>673</v>
      </c>
      <c r="B673" s="44" t="s">
        <v>40</v>
      </c>
      <c r="C673" s="44" t="s">
        <v>378</v>
      </c>
      <c r="D673" s="49" t="s">
        <v>86</v>
      </c>
      <c r="E673" s="205">
        <v>8.93</v>
      </c>
      <c r="F673" s="44" t="s">
        <v>269</v>
      </c>
      <c r="G673" s="42" t="s">
        <v>2307</v>
      </c>
      <c r="H673" s="44" t="s">
        <v>932</v>
      </c>
      <c r="I673" s="44" t="s">
        <v>2308</v>
      </c>
      <c r="J673" s="50" t="s">
        <v>2155</v>
      </c>
      <c r="K673" s="50" t="s">
        <v>118</v>
      </c>
      <c r="L673" s="50" t="s">
        <v>2181</v>
      </c>
    </row>
    <row r="674" spans="1:12" ht="15.75" x14ac:dyDescent="0.25">
      <c r="A674" s="48">
        <v>674</v>
      </c>
      <c r="B674" s="44" t="s">
        <v>40</v>
      </c>
      <c r="C674" s="44" t="s">
        <v>378</v>
      </c>
      <c r="D674" s="49" t="s">
        <v>86</v>
      </c>
      <c r="E674" s="205">
        <v>22.97</v>
      </c>
      <c r="F674" s="138" t="s">
        <v>269</v>
      </c>
      <c r="G674" s="42" t="s">
        <v>2305</v>
      </c>
      <c r="H674" s="48" t="s">
        <v>932</v>
      </c>
      <c r="I674" s="44" t="s">
        <v>2306</v>
      </c>
      <c r="J674" s="50" t="s">
        <v>2155</v>
      </c>
      <c r="K674" s="50" t="s">
        <v>118</v>
      </c>
      <c r="L674" s="50" t="s">
        <v>2181</v>
      </c>
    </row>
    <row r="675" spans="1:12" ht="15.75" x14ac:dyDescent="0.25">
      <c r="A675" s="48">
        <v>675</v>
      </c>
      <c r="B675" s="44" t="s">
        <v>30</v>
      </c>
      <c r="D675" s="49" t="s">
        <v>81</v>
      </c>
      <c r="E675" s="205">
        <v>11.99</v>
      </c>
      <c r="F675" s="44" t="s">
        <v>269</v>
      </c>
      <c r="G675" s="42" t="s">
        <v>2303</v>
      </c>
      <c r="H675" s="44" t="s">
        <v>2319</v>
      </c>
      <c r="I675" s="44" t="s">
        <v>2304</v>
      </c>
      <c r="J675" s="50" t="s">
        <v>2144</v>
      </c>
      <c r="K675" s="50" t="s">
        <v>118</v>
      </c>
      <c r="L675" s="50" t="s">
        <v>2181</v>
      </c>
    </row>
    <row r="676" spans="1:12" ht="15.75" x14ac:dyDescent="0.25">
      <c r="A676" s="48">
        <v>676</v>
      </c>
      <c r="B676" s="44" t="s">
        <v>30</v>
      </c>
      <c r="C676" s="44" t="s">
        <v>134</v>
      </c>
      <c r="D676" s="49" t="s">
        <v>86</v>
      </c>
      <c r="E676" s="205">
        <v>11.98</v>
      </c>
      <c r="F676" s="44" t="s">
        <v>269</v>
      </c>
      <c r="G676" s="42" t="s">
        <v>2301</v>
      </c>
      <c r="H676" s="44" t="s">
        <v>2102</v>
      </c>
      <c r="I676" s="44" t="s">
        <v>2302</v>
      </c>
      <c r="J676" s="50" t="s">
        <v>2145</v>
      </c>
      <c r="K676" s="50" t="s">
        <v>118</v>
      </c>
      <c r="L676" s="50" t="s">
        <v>2181</v>
      </c>
    </row>
    <row r="677" spans="1:12" ht="15.75" x14ac:dyDescent="0.25">
      <c r="A677" s="48">
        <v>677</v>
      </c>
      <c r="B677" s="44" t="s">
        <v>66</v>
      </c>
      <c r="D677" s="49" t="s">
        <v>264</v>
      </c>
      <c r="E677" s="205">
        <v>300</v>
      </c>
      <c r="F677" s="44" t="s">
        <v>269</v>
      </c>
      <c r="G677" s="42" t="s">
        <v>2299</v>
      </c>
      <c r="H677" s="44" t="s">
        <v>2322</v>
      </c>
      <c r="I677" s="44" t="s">
        <v>2300</v>
      </c>
      <c r="J677" s="50" t="s">
        <v>2172</v>
      </c>
      <c r="K677" s="50" t="s">
        <v>118</v>
      </c>
      <c r="L677" s="50" t="s">
        <v>2181</v>
      </c>
    </row>
    <row r="678" spans="1:12" ht="15.75" x14ac:dyDescent="0.25">
      <c r="A678" s="48">
        <v>678</v>
      </c>
      <c r="B678" s="44" t="s">
        <v>66</v>
      </c>
      <c r="D678" s="49" t="s">
        <v>264</v>
      </c>
      <c r="E678" s="205">
        <v>40</v>
      </c>
      <c r="F678" s="44" t="s">
        <v>269</v>
      </c>
      <c r="G678" s="42" t="s">
        <v>2297</v>
      </c>
      <c r="H678" s="44" t="s">
        <v>2323</v>
      </c>
      <c r="I678" s="44" t="s">
        <v>2298</v>
      </c>
      <c r="J678" s="50" t="s">
        <v>2172</v>
      </c>
      <c r="K678" s="50" t="s">
        <v>118</v>
      </c>
      <c r="L678" s="50" t="s">
        <v>2181</v>
      </c>
    </row>
    <row r="679" spans="1:12" ht="15.75" x14ac:dyDescent="0.25">
      <c r="A679" s="48">
        <v>679</v>
      </c>
      <c r="B679" s="44" t="s">
        <v>66</v>
      </c>
      <c r="D679" s="49" t="s">
        <v>264</v>
      </c>
      <c r="E679" s="205">
        <v>250</v>
      </c>
      <c r="F679" s="44" t="s">
        <v>269</v>
      </c>
      <c r="G679" s="42" t="s">
        <v>2295</v>
      </c>
      <c r="H679" s="44" t="s">
        <v>2324</v>
      </c>
      <c r="I679" s="44" t="s">
        <v>2296</v>
      </c>
      <c r="J679" s="50" t="s">
        <v>2172</v>
      </c>
      <c r="K679" s="50" t="s">
        <v>118</v>
      </c>
      <c r="L679" s="50" t="s">
        <v>2181</v>
      </c>
    </row>
    <row r="680" spans="1:12" ht="15.75" x14ac:dyDescent="0.25">
      <c r="A680" s="48">
        <v>680</v>
      </c>
      <c r="B680" s="44" t="s">
        <v>66</v>
      </c>
      <c r="D680" s="49" t="s">
        <v>85</v>
      </c>
      <c r="E680" s="205">
        <v>80</v>
      </c>
      <c r="F680" s="44" t="s">
        <v>269</v>
      </c>
      <c r="G680" s="42" t="s">
        <v>2293</v>
      </c>
      <c r="H680" s="44" t="s">
        <v>2325</v>
      </c>
      <c r="I680" s="44" t="s">
        <v>2294</v>
      </c>
      <c r="J680" s="50" t="s">
        <v>2172</v>
      </c>
      <c r="K680" s="50" t="s">
        <v>118</v>
      </c>
      <c r="L680" s="50" t="s">
        <v>2181</v>
      </c>
    </row>
    <row r="681" spans="1:12" ht="15.75" x14ac:dyDescent="0.25">
      <c r="A681" s="48">
        <v>681</v>
      </c>
      <c r="B681" s="44" t="s">
        <v>66</v>
      </c>
      <c r="D681" s="49" t="s">
        <v>85</v>
      </c>
      <c r="E681" s="205">
        <v>60</v>
      </c>
      <c r="F681" s="44" t="s">
        <v>269</v>
      </c>
      <c r="G681" s="42" t="s">
        <v>2291</v>
      </c>
      <c r="H681" s="44" t="s">
        <v>2326</v>
      </c>
      <c r="I681" s="44" t="s">
        <v>2292</v>
      </c>
      <c r="J681" s="50" t="s">
        <v>2172</v>
      </c>
      <c r="K681" s="50" t="s">
        <v>118</v>
      </c>
      <c r="L681" s="50" t="s">
        <v>2181</v>
      </c>
    </row>
    <row r="682" spans="1:12" ht="15.75" x14ac:dyDescent="0.25">
      <c r="A682" s="48">
        <v>682</v>
      </c>
      <c r="B682" s="44" t="s">
        <v>66</v>
      </c>
      <c r="D682" s="49" t="s">
        <v>85</v>
      </c>
      <c r="E682" s="205">
        <v>100</v>
      </c>
      <c r="F682" s="44" t="s">
        <v>269</v>
      </c>
      <c r="G682" s="42" t="s">
        <v>2289</v>
      </c>
      <c r="H682" s="44" t="s">
        <v>2327</v>
      </c>
      <c r="I682" s="44" t="s">
        <v>2290</v>
      </c>
      <c r="J682" s="50" t="s">
        <v>2172</v>
      </c>
      <c r="K682" s="50" t="s">
        <v>118</v>
      </c>
      <c r="L682" s="50" t="s">
        <v>2181</v>
      </c>
    </row>
    <row r="683" spans="1:12" ht="15.75" x14ac:dyDescent="0.25">
      <c r="A683" s="48">
        <v>683</v>
      </c>
      <c r="B683" s="44" t="s">
        <v>66</v>
      </c>
      <c r="D683" s="49" t="s">
        <v>85</v>
      </c>
      <c r="E683" s="205">
        <v>100</v>
      </c>
      <c r="F683" s="44" t="s">
        <v>269</v>
      </c>
      <c r="G683" s="42" t="s">
        <v>2287</v>
      </c>
      <c r="H683" s="44" t="s">
        <v>2328</v>
      </c>
      <c r="I683" s="44" t="s">
        <v>2288</v>
      </c>
      <c r="J683" s="50" t="s">
        <v>2172</v>
      </c>
      <c r="K683" s="50" t="s">
        <v>118</v>
      </c>
      <c r="L683" s="50" t="s">
        <v>2181</v>
      </c>
    </row>
    <row r="684" spans="1:12" ht="15.75" x14ac:dyDescent="0.25">
      <c r="A684" s="48">
        <v>684</v>
      </c>
      <c r="B684" s="44" t="s">
        <v>66</v>
      </c>
      <c r="D684" s="49" t="s">
        <v>85</v>
      </c>
      <c r="E684" s="205">
        <v>300</v>
      </c>
      <c r="F684" s="44" t="s">
        <v>269</v>
      </c>
      <c r="G684" s="42" t="s">
        <v>2285</v>
      </c>
      <c r="H684" s="44" t="s">
        <v>2329</v>
      </c>
      <c r="I684" s="44" t="s">
        <v>2286</v>
      </c>
      <c r="J684" s="50" t="s">
        <v>2172</v>
      </c>
      <c r="K684" s="50" t="s">
        <v>118</v>
      </c>
      <c r="L684" s="50" t="s">
        <v>2181</v>
      </c>
    </row>
    <row r="685" spans="1:12" ht="15.75" x14ac:dyDescent="0.25">
      <c r="A685" s="48">
        <v>685</v>
      </c>
      <c r="B685" s="44" t="s">
        <v>66</v>
      </c>
      <c r="D685" s="49" t="s">
        <v>85</v>
      </c>
      <c r="E685" s="205">
        <v>500</v>
      </c>
      <c r="F685" s="44" t="s">
        <v>269</v>
      </c>
      <c r="G685" s="42" t="s">
        <v>2283</v>
      </c>
      <c r="H685" s="44" t="s">
        <v>2330</v>
      </c>
      <c r="I685" s="44" t="s">
        <v>2284</v>
      </c>
      <c r="J685" s="50" t="s">
        <v>2172</v>
      </c>
      <c r="K685" s="50" t="s">
        <v>118</v>
      </c>
      <c r="L685" s="50" t="s">
        <v>2181</v>
      </c>
    </row>
    <row r="686" spans="1:12" ht="15.75" x14ac:dyDescent="0.25">
      <c r="A686" s="48">
        <v>686</v>
      </c>
      <c r="B686" s="44" t="s">
        <v>66</v>
      </c>
      <c r="D686" s="49" t="s">
        <v>81</v>
      </c>
      <c r="E686" s="205">
        <v>100</v>
      </c>
      <c r="F686" s="44" t="s">
        <v>269</v>
      </c>
      <c r="G686" s="42" t="s">
        <v>2281</v>
      </c>
      <c r="H686" s="44" t="s">
        <v>2331</v>
      </c>
      <c r="I686" s="44" t="s">
        <v>2282</v>
      </c>
      <c r="J686" s="50" t="s">
        <v>2172</v>
      </c>
      <c r="K686" s="50" t="s">
        <v>118</v>
      </c>
      <c r="L686" s="50" t="s">
        <v>2181</v>
      </c>
    </row>
    <row r="687" spans="1:12" ht="15.75" x14ac:dyDescent="0.25">
      <c r="A687" s="48">
        <v>687</v>
      </c>
      <c r="B687" s="44" t="s">
        <v>66</v>
      </c>
      <c r="D687" s="49" t="s">
        <v>81</v>
      </c>
      <c r="E687" s="205">
        <v>150</v>
      </c>
      <c r="F687" s="44" t="s">
        <v>269</v>
      </c>
      <c r="G687" s="42" t="s">
        <v>2279</v>
      </c>
      <c r="H687" s="44" t="s">
        <v>2331</v>
      </c>
      <c r="I687" s="44" t="s">
        <v>2280</v>
      </c>
      <c r="J687" s="50" t="s">
        <v>2172</v>
      </c>
      <c r="K687" s="50" t="s">
        <v>118</v>
      </c>
      <c r="L687" s="50" t="s">
        <v>2181</v>
      </c>
    </row>
    <row r="688" spans="1:12" ht="15.75" x14ac:dyDescent="0.25">
      <c r="A688" s="48">
        <v>688</v>
      </c>
      <c r="B688" s="44" t="s">
        <v>66</v>
      </c>
      <c r="D688" s="49" t="s">
        <v>81</v>
      </c>
      <c r="E688" s="205">
        <v>500</v>
      </c>
      <c r="F688" s="44" t="s">
        <v>269</v>
      </c>
      <c r="G688" s="42" t="s">
        <v>2277</v>
      </c>
      <c r="H688" s="44" t="s">
        <v>2332</v>
      </c>
      <c r="I688" s="44" t="s">
        <v>2278</v>
      </c>
      <c r="J688" s="50" t="s">
        <v>2172</v>
      </c>
      <c r="K688" s="50" t="s">
        <v>118</v>
      </c>
      <c r="L688" s="50" t="s">
        <v>2181</v>
      </c>
    </row>
    <row r="689" spans="1:12" ht="15.75" x14ac:dyDescent="0.25">
      <c r="A689" s="48">
        <v>689</v>
      </c>
      <c r="B689" s="44" t="s">
        <v>66</v>
      </c>
      <c r="D689" s="49" t="s">
        <v>81</v>
      </c>
      <c r="E689" s="205">
        <v>500</v>
      </c>
      <c r="F689" s="44" t="s">
        <v>269</v>
      </c>
      <c r="G689" s="42" t="s">
        <v>2275</v>
      </c>
      <c r="H689" s="44" t="s">
        <v>2333</v>
      </c>
      <c r="I689" s="44" t="s">
        <v>2276</v>
      </c>
      <c r="J689" s="50" t="s">
        <v>2172</v>
      </c>
      <c r="K689" s="50" t="s">
        <v>118</v>
      </c>
      <c r="L689" s="50" t="s">
        <v>2181</v>
      </c>
    </row>
    <row r="690" spans="1:12" ht="15.75" x14ac:dyDescent="0.25">
      <c r="A690" s="48">
        <v>690</v>
      </c>
      <c r="B690" s="44" t="s">
        <v>66</v>
      </c>
      <c r="D690" s="49" t="s">
        <v>81</v>
      </c>
      <c r="E690" s="205">
        <v>60</v>
      </c>
      <c r="F690" s="44" t="s">
        <v>269</v>
      </c>
      <c r="G690" s="42" t="s">
        <v>2273</v>
      </c>
      <c r="H690" s="44" t="s">
        <v>2334</v>
      </c>
      <c r="I690" s="44" t="s">
        <v>2274</v>
      </c>
      <c r="J690" s="50" t="s">
        <v>2172</v>
      </c>
      <c r="K690" s="50" t="s">
        <v>118</v>
      </c>
      <c r="L690" s="50" t="s">
        <v>2181</v>
      </c>
    </row>
    <row r="691" spans="1:12" ht="15.75" x14ac:dyDescent="0.25">
      <c r="A691" s="48">
        <v>691</v>
      </c>
      <c r="B691" s="44" t="s">
        <v>66</v>
      </c>
      <c r="D691" s="49" t="s">
        <v>81</v>
      </c>
      <c r="E691" s="205">
        <v>50</v>
      </c>
      <c r="F691" s="44" t="s">
        <v>269</v>
      </c>
      <c r="G691" s="42" t="s">
        <v>2271</v>
      </c>
      <c r="H691" s="44" t="s">
        <v>2335</v>
      </c>
      <c r="I691" s="44" t="s">
        <v>2272</v>
      </c>
      <c r="J691" s="50" t="s">
        <v>2172</v>
      </c>
      <c r="K691" s="50" t="s">
        <v>118</v>
      </c>
      <c r="L691" s="50" t="s">
        <v>2181</v>
      </c>
    </row>
    <row r="692" spans="1:12" ht="15.75" x14ac:dyDescent="0.25">
      <c r="A692" s="48">
        <v>692</v>
      </c>
      <c r="B692" s="44" t="s">
        <v>66</v>
      </c>
      <c r="D692" s="49" t="s">
        <v>82</v>
      </c>
      <c r="E692" s="205">
        <v>20</v>
      </c>
      <c r="F692" s="44" t="s">
        <v>269</v>
      </c>
      <c r="G692" s="42" t="s">
        <v>2269</v>
      </c>
      <c r="H692" s="44" t="s">
        <v>2336</v>
      </c>
      <c r="I692" s="44" t="s">
        <v>2270</v>
      </c>
      <c r="J692" s="50" t="s">
        <v>2172</v>
      </c>
      <c r="K692" s="50" t="s">
        <v>118</v>
      </c>
      <c r="L692" s="50" t="s">
        <v>2181</v>
      </c>
    </row>
    <row r="693" spans="1:12" ht="15.75" x14ac:dyDescent="0.25">
      <c r="A693" s="48">
        <v>693</v>
      </c>
      <c r="B693" s="44" t="s">
        <v>66</v>
      </c>
      <c r="D693" s="49" t="s">
        <v>82</v>
      </c>
      <c r="E693" s="205">
        <v>500</v>
      </c>
      <c r="F693" s="44" t="s">
        <v>269</v>
      </c>
      <c r="G693" s="42" t="s">
        <v>2267</v>
      </c>
      <c r="H693" s="44" t="s">
        <v>2337</v>
      </c>
      <c r="I693" s="44" t="s">
        <v>2268</v>
      </c>
      <c r="J693" s="50" t="s">
        <v>2172</v>
      </c>
      <c r="K693" s="50" t="s">
        <v>118</v>
      </c>
      <c r="L693" s="50" t="s">
        <v>2181</v>
      </c>
    </row>
    <row r="694" spans="1:12" ht="15.75" x14ac:dyDescent="0.25">
      <c r="A694" s="48">
        <v>694</v>
      </c>
      <c r="B694" s="44" t="s">
        <v>66</v>
      </c>
      <c r="D694" s="49" t="s">
        <v>82</v>
      </c>
      <c r="E694" s="205">
        <v>300</v>
      </c>
      <c r="F694" s="44" t="s">
        <v>269</v>
      </c>
      <c r="G694" s="42" t="s">
        <v>2265</v>
      </c>
      <c r="H694" s="44" t="s">
        <v>2338</v>
      </c>
      <c r="I694" s="44" t="s">
        <v>2266</v>
      </c>
      <c r="J694" s="50" t="s">
        <v>2172</v>
      </c>
      <c r="K694" s="50" t="s">
        <v>118</v>
      </c>
      <c r="L694" s="50" t="s">
        <v>2181</v>
      </c>
    </row>
    <row r="695" spans="1:12" ht="15.75" x14ac:dyDescent="0.25">
      <c r="A695" s="48">
        <v>695</v>
      </c>
      <c r="B695" s="44" t="s">
        <v>66</v>
      </c>
      <c r="D695" s="49" t="s">
        <v>83</v>
      </c>
      <c r="E695" s="205">
        <v>500</v>
      </c>
      <c r="F695" s="44" t="s">
        <v>269</v>
      </c>
      <c r="G695" s="42" t="s">
        <v>2263</v>
      </c>
      <c r="H695" s="44" t="s">
        <v>2339</v>
      </c>
      <c r="I695" s="44" t="s">
        <v>2264</v>
      </c>
      <c r="J695" s="50" t="s">
        <v>2172</v>
      </c>
      <c r="K695" s="50" t="s">
        <v>118</v>
      </c>
      <c r="L695" s="50" t="s">
        <v>2181</v>
      </c>
    </row>
    <row r="696" spans="1:12" ht="15.75" x14ac:dyDescent="0.25">
      <c r="A696" s="48">
        <v>696</v>
      </c>
      <c r="B696" s="44" t="s">
        <v>66</v>
      </c>
      <c r="D696" s="49" t="s">
        <v>84</v>
      </c>
      <c r="E696" s="205">
        <v>100</v>
      </c>
      <c r="F696" s="44" t="s">
        <v>269</v>
      </c>
      <c r="G696" s="42" t="s">
        <v>2261</v>
      </c>
      <c r="H696" s="44" t="s">
        <v>2340</v>
      </c>
      <c r="I696" s="44" t="s">
        <v>2262</v>
      </c>
      <c r="J696" s="50" t="s">
        <v>2172</v>
      </c>
      <c r="K696" s="50" t="s">
        <v>118</v>
      </c>
      <c r="L696" s="50" t="s">
        <v>2181</v>
      </c>
    </row>
    <row r="697" spans="1:12" ht="15.75" x14ac:dyDescent="0.25">
      <c r="A697" s="48">
        <v>697</v>
      </c>
      <c r="B697" s="44" t="s">
        <v>66</v>
      </c>
      <c r="D697" s="49" t="s">
        <v>84</v>
      </c>
      <c r="E697" s="205">
        <v>60</v>
      </c>
      <c r="F697" s="44" t="s">
        <v>269</v>
      </c>
      <c r="G697" s="42" t="s">
        <v>2259</v>
      </c>
      <c r="H697" s="44" t="s">
        <v>2341</v>
      </c>
      <c r="I697" s="44" t="s">
        <v>2260</v>
      </c>
      <c r="J697" s="50" t="s">
        <v>2172</v>
      </c>
      <c r="K697" s="50" t="s">
        <v>118</v>
      </c>
      <c r="L697" s="50" t="s">
        <v>2181</v>
      </c>
    </row>
    <row r="698" spans="1:12" ht="15.75" x14ac:dyDescent="0.25">
      <c r="A698" s="48">
        <v>698</v>
      </c>
      <c r="B698" s="44" t="s">
        <v>66</v>
      </c>
      <c r="D698" s="49" t="s">
        <v>84</v>
      </c>
      <c r="E698" s="205">
        <v>500</v>
      </c>
      <c r="F698" s="44" t="s">
        <v>269</v>
      </c>
      <c r="G698" s="42" t="s">
        <v>2257</v>
      </c>
      <c r="H698" s="44" t="s">
        <v>2342</v>
      </c>
      <c r="I698" s="44" t="s">
        <v>2258</v>
      </c>
      <c r="J698" s="50" t="s">
        <v>2172</v>
      </c>
      <c r="K698" s="50" t="s">
        <v>118</v>
      </c>
      <c r="L698" s="50" t="s">
        <v>2181</v>
      </c>
    </row>
    <row r="699" spans="1:12" ht="15.75" x14ac:dyDescent="0.25">
      <c r="A699" s="48">
        <v>699</v>
      </c>
      <c r="B699" s="44" t="s">
        <v>66</v>
      </c>
      <c r="D699" s="49" t="s">
        <v>84</v>
      </c>
      <c r="E699" s="205">
        <v>100</v>
      </c>
      <c r="F699" s="44" t="s">
        <v>269</v>
      </c>
      <c r="G699" s="42" t="s">
        <v>2255</v>
      </c>
      <c r="H699" s="44" t="s">
        <v>2343</v>
      </c>
      <c r="I699" s="44" t="s">
        <v>2256</v>
      </c>
      <c r="J699" s="50" t="s">
        <v>2172</v>
      </c>
      <c r="K699" s="50" t="s">
        <v>118</v>
      </c>
      <c r="L699" s="50" t="s">
        <v>2181</v>
      </c>
    </row>
    <row r="700" spans="1:12" ht="15.75" x14ac:dyDescent="0.25">
      <c r="A700" s="48">
        <v>700</v>
      </c>
      <c r="B700" s="44" t="s">
        <v>66</v>
      </c>
      <c r="D700" s="49" t="s">
        <v>146</v>
      </c>
      <c r="E700" s="205">
        <v>12</v>
      </c>
      <c r="F700" s="44" t="s">
        <v>269</v>
      </c>
      <c r="G700" s="42" t="s">
        <v>2253</v>
      </c>
      <c r="H700" s="44" t="s">
        <v>2344</v>
      </c>
      <c r="I700" s="44" t="s">
        <v>2254</v>
      </c>
      <c r="J700" s="50" t="s">
        <v>2172</v>
      </c>
      <c r="K700" s="50" t="s">
        <v>118</v>
      </c>
      <c r="L700" s="50" t="s">
        <v>2181</v>
      </c>
    </row>
    <row r="701" spans="1:12" ht="15.75" x14ac:dyDescent="0.25">
      <c r="A701" s="48">
        <v>701</v>
      </c>
      <c r="B701" s="44" t="s">
        <v>66</v>
      </c>
      <c r="D701" s="49" t="s">
        <v>146</v>
      </c>
      <c r="E701" s="205">
        <v>16</v>
      </c>
      <c r="F701" s="44" t="s">
        <v>269</v>
      </c>
      <c r="G701" s="42" t="s">
        <v>2251</v>
      </c>
      <c r="H701" s="44" t="s">
        <v>2344</v>
      </c>
      <c r="I701" s="44" t="s">
        <v>2252</v>
      </c>
      <c r="J701" s="50" t="s">
        <v>2172</v>
      </c>
      <c r="K701" s="50" t="s">
        <v>118</v>
      </c>
      <c r="L701" s="50" t="s">
        <v>2181</v>
      </c>
    </row>
    <row r="702" spans="1:12" ht="15.75" x14ac:dyDescent="0.25">
      <c r="A702" s="48">
        <v>702</v>
      </c>
      <c r="B702" s="44" t="s">
        <v>66</v>
      </c>
      <c r="D702" s="49" t="s">
        <v>146</v>
      </c>
      <c r="E702" s="205">
        <v>50</v>
      </c>
      <c r="F702" s="44" t="s">
        <v>269</v>
      </c>
      <c r="G702" s="42" t="s">
        <v>2249</v>
      </c>
      <c r="H702" s="44" t="s">
        <v>2345</v>
      </c>
      <c r="I702" s="44" t="s">
        <v>2250</v>
      </c>
      <c r="J702" s="50" t="s">
        <v>2172</v>
      </c>
      <c r="K702" s="50" t="s">
        <v>118</v>
      </c>
      <c r="L702" s="50" t="s">
        <v>2181</v>
      </c>
    </row>
    <row r="703" spans="1:12" ht="15.75" x14ac:dyDescent="0.25">
      <c r="A703" s="48">
        <v>703</v>
      </c>
      <c r="B703" s="44" t="s">
        <v>66</v>
      </c>
      <c r="D703" s="49" t="s">
        <v>146</v>
      </c>
      <c r="E703" s="205">
        <v>500</v>
      </c>
      <c r="F703" s="44" t="s">
        <v>269</v>
      </c>
      <c r="G703" s="42" t="s">
        <v>2247</v>
      </c>
      <c r="H703" s="44" t="s">
        <v>2346</v>
      </c>
      <c r="I703" s="44" t="s">
        <v>2248</v>
      </c>
      <c r="J703" s="50" t="s">
        <v>2172</v>
      </c>
      <c r="K703" s="50" t="s">
        <v>118</v>
      </c>
      <c r="L703" s="50" t="s">
        <v>2181</v>
      </c>
    </row>
    <row r="704" spans="1:12" ht="15.75" x14ac:dyDescent="0.25">
      <c r="A704" s="48">
        <v>704</v>
      </c>
      <c r="B704" s="44" t="s">
        <v>66</v>
      </c>
      <c r="D704" s="49" t="s">
        <v>146</v>
      </c>
      <c r="E704" s="205">
        <v>150</v>
      </c>
      <c r="F704" s="44" t="s">
        <v>269</v>
      </c>
      <c r="G704" s="42" t="s">
        <v>2245</v>
      </c>
      <c r="H704" s="44" t="s">
        <v>2347</v>
      </c>
      <c r="I704" s="44" t="s">
        <v>2246</v>
      </c>
      <c r="J704" s="50" t="s">
        <v>2172</v>
      </c>
      <c r="K704" s="50" t="s">
        <v>118</v>
      </c>
      <c r="L704" s="50" t="s">
        <v>2181</v>
      </c>
    </row>
    <row r="705" spans="1:12" ht="15.75" x14ac:dyDescent="0.25">
      <c r="A705" s="48">
        <v>705</v>
      </c>
      <c r="B705" s="44" t="s">
        <v>66</v>
      </c>
      <c r="D705" s="49" t="s">
        <v>86</v>
      </c>
      <c r="E705" s="205">
        <v>80</v>
      </c>
      <c r="F705" s="44" t="s">
        <v>269</v>
      </c>
      <c r="G705" s="42" t="s">
        <v>2243</v>
      </c>
      <c r="H705" s="44" t="s">
        <v>2348</v>
      </c>
      <c r="I705" s="44" t="s">
        <v>2244</v>
      </c>
      <c r="J705" s="50" t="s">
        <v>2172</v>
      </c>
      <c r="K705" s="50" t="s">
        <v>118</v>
      </c>
      <c r="L705" s="50" t="s">
        <v>2181</v>
      </c>
    </row>
    <row r="706" spans="1:12" ht="15.75" x14ac:dyDescent="0.25">
      <c r="A706" s="48">
        <v>706</v>
      </c>
      <c r="B706" s="44" t="s">
        <v>66</v>
      </c>
      <c r="D706" s="49" t="s">
        <v>86</v>
      </c>
      <c r="E706" s="205">
        <v>50</v>
      </c>
      <c r="F706" s="44" t="s">
        <v>269</v>
      </c>
      <c r="G706" s="42" t="s">
        <v>2241</v>
      </c>
      <c r="H706" s="44" t="s">
        <v>2349</v>
      </c>
      <c r="I706" s="44" t="s">
        <v>2242</v>
      </c>
      <c r="J706" s="50" t="s">
        <v>2172</v>
      </c>
      <c r="K706" s="50" t="s">
        <v>118</v>
      </c>
      <c r="L706" s="50" t="s">
        <v>2181</v>
      </c>
    </row>
    <row r="707" spans="1:12" ht="15.75" x14ac:dyDescent="0.25">
      <c r="A707" s="48">
        <v>707</v>
      </c>
      <c r="B707" s="44" t="s">
        <v>66</v>
      </c>
      <c r="D707" s="49" t="s">
        <v>86</v>
      </c>
      <c r="E707" s="205">
        <v>100</v>
      </c>
      <c r="F707" s="44" t="s">
        <v>269</v>
      </c>
      <c r="G707" s="42" t="s">
        <v>2239</v>
      </c>
      <c r="H707" s="44" t="s">
        <v>2350</v>
      </c>
      <c r="I707" s="44" t="s">
        <v>2240</v>
      </c>
      <c r="J707" s="50" t="s">
        <v>2172</v>
      </c>
      <c r="K707" s="50" t="s">
        <v>118</v>
      </c>
      <c r="L707" s="50" t="s">
        <v>2181</v>
      </c>
    </row>
    <row r="708" spans="1:12" ht="15.75" x14ac:dyDescent="0.25">
      <c r="A708" s="48">
        <v>708</v>
      </c>
      <c r="B708" s="44" t="s">
        <v>66</v>
      </c>
      <c r="D708" s="49" t="s">
        <v>86</v>
      </c>
      <c r="E708" s="205">
        <v>350</v>
      </c>
      <c r="F708" s="44" t="s">
        <v>269</v>
      </c>
      <c r="G708" s="42" t="s">
        <v>2237</v>
      </c>
      <c r="H708" s="44" t="s">
        <v>2351</v>
      </c>
      <c r="I708" s="44" t="s">
        <v>2238</v>
      </c>
      <c r="J708" s="50" t="s">
        <v>2172</v>
      </c>
      <c r="K708" s="50" t="s">
        <v>118</v>
      </c>
      <c r="L708" s="50" t="s">
        <v>2181</v>
      </c>
    </row>
    <row r="709" spans="1:12" ht="15.75" x14ac:dyDescent="0.25">
      <c r="A709" s="48">
        <v>709</v>
      </c>
      <c r="B709" s="44" t="s">
        <v>66</v>
      </c>
      <c r="D709" s="49" t="s">
        <v>86</v>
      </c>
      <c r="E709" s="205">
        <v>150</v>
      </c>
      <c r="F709" s="44" t="s">
        <v>269</v>
      </c>
      <c r="G709" s="42" t="s">
        <v>2235</v>
      </c>
      <c r="H709" s="44" t="s">
        <v>2352</v>
      </c>
      <c r="I709" s="44" t="s">
        <v>2236</v>
      </c>
      <c r="J709" s="50" t="s">
        <v>2172</v>
      </c>
      <c r="K709" s="50" t="s">
        <v>118</v>
      </c>
      <c r="L709" s="50" t="s">
        <v>2181</v>
      </c>
    </row>
    <row r="710" spans="1:12" ht="15.75" x14ac:dyDescent="0.25">
      <c r="A710" s="48">
        <v>710</v>
      </c>
      <c r="B710" s="44" t="s">
        <v>66</v>
      </c>
      <c r="D710" s="49" t="s">
        <v>86</v>
      </c>
      <c r="E710" s="205">
        <v>300</v>
      </c>
      <c r="F710" s="44" t="s">
        <v>269</v>
      </c>
      <c r="G710" s="42" t="s">
        <v>2233</v>
      </c>
      <c r="H710" s="44" t="s">
        <v>2353</v>
      </c>
      <c r="I710" s="44" t="s">
        <v>2234</v>
      </c>
      <c r="J710" s="50" t="s">
        <v>2172</v>
      </c>
      <c r="K710" s="50" t="s">
        <v>118</v>
      </c>
      <c r="L710" s="50" t="s">
        <v>2181</v>
      </c>
    </row>
    <row r="711" spans="1:12" ht="15.75" x14ac:dyDescent="0.25">
      <c r="A711" s="48">
        <v>711</v>
      </c>
      <c r="B711" s="44" t="s">
        <v>66</v>
      </c>
      <c r="D711" s="49" t="s">
        <v>86</v>
      </c>
      <c r="E711" s="205">
        <v>200</v>
      </c>
      <c r="F711" s="44" t="s">
        <v>269</v>
      </c>
      <c r="G711" s="42" t="s">
        <v>2231</v>
      </c>
      <c r="H711" s="44" t="s">
        <v>2354</v>
      </c>
      <c r="I711" s="44" t="s">
        <v>2232</v>
      </c>
      <c r="J711" s="50" t="s">
        <v>2172</v>
      </c>
      <c r="K711" s="50" t="s">
        <v>118</v>
      </c>
      <c r="L711" s="50" t="s">
        <v>2181</v>
      </c>
    </row>
    <row r="712" spans="1:12" x14ac:dyDescent="0.25">
      <c r="A712" s="140" t="s">
        <v>942</v>
      </c>
      <c r="B712" s="109"/>
      <c r="C712" s="109"/>
      <c r="D712" s="141" t="s">
        <v>943</v>
      </c>
      <c r="E712" s="236">
        <f>SUBTOTAL(109,E4:E711)</f>
        <v>66511.320000000036</v>
      </c>
      <c r="F712" s="109">
        <f>SUBTOTAL(103,A4:A711)</f>
        <v>708</v>
      </c>
      <c r="G712" s="109"/>
      <c r="H712" s="109"/>
      <c r="I712" s="109"/>
    </row>
  </sheetData>
  <sheetProtection sort="0" autoFilter="0" pivotTables="0"/>
  <hyperlinks>
    <hyperlink ref="G4" r:id="rId1"/>
    <hyperlink ref="G5" r:id="rId2"/>
    <hyperlink ref="G6" r:id="rId3"/>
    <hyperlink ref="G7" r:id="rId4"/>
    <hyperlink ref="G8" r:id="rId5"/>
    <hyperlink ref="G9" r:id="rId6"/>
    <hyperlink ref="G10" r:id="rId7"/>
    <hyperlink ref="G11" r:id="rId8"/>
    <hyperlink ref="G12" r:id="rId9"/>
    <hyperlink ref="G13" r:id="rId10"/>
    <hyperlink ref="G14" r:id="rId11"/>
    <hyperlink ref="G15" r:id="rId12"/>
    <hyperlink ref="G16" r:id="rId13"/>
    <hyperlink ref="G17" r:id="rId14"/>
    <hyperlink ref="G18" r:id="rId15"/>
    <hyperlink ref="G19" r:id="rId16"/>
    <hyperlink ref="G20" r:id="rId17"/>
    <hyperlink ref="G21" r:id="rId18"/>
    <hyperlink ref="G22" r:id="rId19"/>
    <hyperlink ref="G23" r:id="rId20"/>
    <hyperlink ref="G24" r:id="rId21"/>
    <hyperlink ref="G25" r:id="rId22"/>
    <hyperlink ref="G26" r:id="rId23"/>
    <hyperlink ref="G27" r:id="rId24"/>
    <hyperlink ref="G28" r:id="rId25"/>
    <hyperlink ref="G29" r:id="rId26"/>
    <hyperlink ref="G30" r:id="rId27"/>
    <hyperlink ref="G31" r:id="rId28"/>
    <hyperlink ref="G32" r:id="rId29"/>
    <hyperlink ref="G33" r:id="rId30"/>
    <hyperlink ref="G34" r:id="rId31"/>
    <hyperlink ref="G35" r:id="rId32"/>
    <hyperlink ref="G36" r:id="rId33"/>
    <hyperlink ref="G37" r:id="rId34"/>
    <hyperlink ref="G38" r:id="rId35"/>
    <hyperlink ref="G39" r:id="rId36"/>
    <hyperlink ref="G40" r:id="rId37"/>
    <hyperlink ref="G41" r:id="rId38"/>
    <hyperlink ref="G42" r:id="rId39"/>
    <hyperlink ref="G43" r:id="rId40"/>
    <hyperlink ref="G44" r:id="rId41"/>
    <hyperlink ref="G45" r:id="rId42"/>
    <hyperlink ref="G46" r:id="rId43"/>
    <hyperlink ref="G47" r:id="rId44"/>
    <hyperlink ref="G48" r:id="rId45"/>
    <hyperlink ref="G49" r:id="rId46"/>
    <hyperlink ref="G50" r:id="rId47"/>
    <hyperlink ref="G51" r:id="rId48"/>
    <hyperlink ref="G52" r:id="rId49"/>
    <hyperlink ref="G53" r:id="rId50"/>
    <hyperlink ref="G54" r:id="rId51"/>
    <hyperlink ref="G55" r:id="rId52"/>
    <hyperlink ref="G56" r:id="rId53"/>
    <hyperlink ref="G57" r:id="rId54"/>
    <hyperlink ref="G62" r:id="rId55"/>
    <hyperlink ref="G63" r:id="rId56"/>
    <hyperlink ref="G64" r:id="rId57"/>
    <hyperlink ref="G65" r:id="rId58"/>
    <hyperlink ref="G66" r:id="rId59"/>
    <hyperlink ref="G67" r:id="rId60"/>
    <hyperlink ref="G68" r:id="rId61"/>
    <hyperlink ref="G69" r:id="rId62"/>
    <hyperlink ref="G70" r:id="rId63"/>
    <hyperlink ref="G71" r:id="rId64"/>
    <hyperlink ref="G72" r:id="rId65"/>
    <hyperlink ref="G73" r:id="rId66"/>
    <hyperlink ref="G74" r:id="rId67"/>
    <hyperlink ref="G75" r:id="rId68"/>
    <hyperlink ref="G76" r:id="rId69"/>
    <hyperlink ref="G77" r:id="rId70"/>
    <hyperlink ref="G78" r:id="rId71"/>
    <hyperlink ref="G79" r:id="rId72"/>
    <hyperlink ref="G80" r:id="rId73"/>
    <hyperlink ref="G81" r:id="rId74"/>
    <hyperlink ref="G82" r:id="rId75"/>
    <hyperlink ref="G83" r:id="rId76"/>
    <hyperlink ref="G84" r:id="rId77"/>
    <hyperlink ref="G85" r:id="rId78"/>
    <hyperlink ref="G86" r:id="rId79"/>
    <hyperlink ref="G87" r:id="rId80"/>
    <hyperlink ref="G88" r:id="rId81"/>
    <hyperlink ref="G89" r:id="rId82"/>
    <hyperlink ref="G90" r:id="rId83"/>
    <hyperlink ref="G91" r:id="rId84"/>
    <hyperlink ref="G92" r:id="rId85"/>
    <hyperlink ref="G93" r:id="rId86"/>
    <hyperlink ref="G94" r:id="rId87"/>
    <hyperlink ref="G95" r:id="rId88"/>
    <hyperlink ref="G96" r:id="rId89"/>
    <hyperlink ref="G97" r:id="rId90"/>
    <hyperlink ref="G98" r:id="rId91"/>
    <hyperlink ref="G99" r:id="rId92"/>
    <hyperlink ref="G100" r:id="rId93"/>
    <hyperlink ref="G101" r:id="rId94"/>
    <hyperlink ref="G102" r:id="rId95"/>
    <hyperlink ref="G103" r:id="rId96"/>
    <hyperlink ref="G104" r:id="rId97"/>
    <hyperlink ref="G105" r:id="rId98"/>
    <hyperlink ref="G106" r:id="rId99"/>
    <hyperlink ref="G107" r:id="rId100"/>
    <hyperlink ref="G108" r:id="rId101"/>
    <hyperlink ref="G109" r:id="rId102"/>
    <hyperlink ref="G110" r:id="rId103"/>
    <hyperlink ref="G111" r:id="rId104"/>
    <hyperlink ref="G112" r:id="rId105"/>
    <hyperlink ref="G113" r:id="rId106"/>
    <hyperlink ref="G114" r:id="rId107"/>
    <hyperlink ref="G115" r:id="rId108"/>
    <hyperlink ref="G116" r:id="rId109"/>
    <hyperlink ref="G117" r:id="rId110"/>
    <hyperlink ref="G118" r:id="rId111"/>
    <hyperlink ref="G119" r:id="rId112"/>
    <hyperlink ref="G120" r:id="rId113"/>
    <hyperlink ref="G121" r:id="rId114"/>
    <hyperlink ref="G122" r:id="rId115"/>
    <hyperlink ref="G123" r:id="rId116"/>
    <hyperlink ref="G124" r:id="rId117"/>
    <hyperlink ref="G125" r:id="rId118"/>
    <hyperlink ref="G126" r:id="rId119"/>
    <hyperlink ref="G127" r:id="rId120"/>
    <hyperlink ref="G128" r:id="rId121"/>
    <hyperlink ref="G129" r:id="rId122"/>
    <hyperlink ref="G130" r:id="rId123"/>
    <hyperlink ref="G131" r:id="rId124"/>
    <hyperlink ref="G132" r:id="rId125"/>
    <hyperlink ref="G133" r:id="rId126"/>
    <hyperlink ref="G134" r:id="rId127"/>
    <hyperlink ref="G135" r:id="rId128"/>
    <hyperlink ref="G136" r:id="rId129"/>
    <hyperlink ref="G137" r:id="rId130"/>
    <hyperlink ref="G138" r:id="rId131"/>
    <hyperlink ref="G139" r:id="rId132"/>
    <hyperlink ref="G140" r:id="rId133"/>
    <hyperlink ref="G141" r:id="rId134"/>
    <hyperlink ref="G142" r:id="rId135"/>
    <hyperlink ref="G143" r:id="rId136"/>
    <hyperlink ref="G144" r:id="rId137"/>
    <hyperlink ref="G145" r:id="rId138"/>
    <hyperlink ref="G146" r:id="rId139"/>
    <hyperlink ref="G147" r:id="rId140"/>
    <hyperlink ref="G148" r:id="rId141"/>
    <hyperlink ref="G149" r:id="rId142"/>
    <hyperlink ref="G150" r:id="rId143"/>
    <hyperlink ref="G151" r:id="rId144"/>
    <hyperlink ref="G152" r:id="rId145"/>
    <hyperlink ref="G153" r:id="rId146"/>
    <hyperlink ref="G154" r:id="rId147"/>
    <hyperlink ref="G155" r:id="rId148"/>
    <hyperlink ref="G156" r:id="rId149"/>
    <hyperlink ref="G157" r:id="rId150"/>
    <hyperlink ref="G158" r:id="rId151"/>
    <hyperlink ref="G159" r:id="rId152"/>
    <hyperlink ref="G160" r:id="rId153"/>
    <hyperlink ref="G161" r:id="rId154"/>
    <hyperlink ref="G162" r:id="rId155"/>
    <hyperlink ref="G163" r:id="rId156"/>
    <hyperlink ref="G164" r:id="rId157"/>
    <hyperlink ref="G165" r:id="rId158"/>
    <hyperlink ref="G166" r:id="rId159"/>
    <hyperlink ref="G167" r:id="rId160"/>
    <hyperlink ref="G168" r:id="rId161"/>
    <hyperlink ref="G169" r:id="rId162"/>
    <hyperlink ref="G170" r:id="rId163"/>
    <hyperlink ref="G171" r:id="rId164"/>
    <hyperlink ref="G172" r:id="rId165"/>
    <hyperlink ref="G173" r:id="rId166"/>
    <hyperlink ref="G174" r:id="rId167"/>
    <hyperlink ref="G175" r:id="rId168"/>
    <hyperlink ref="G176" r:id="rId169"/>
    <hyperlink ref="G177" r:id="rId170"/>
    <hyperlink ref="G178" r:id="rId171"/>
    <hyperlink ref="G179" r:id="rId172"/>
    <hyperlink ref="G180" r:id="rId173"/>
    <hyperlink ref="G181" r:id="rId174"/>
    <hyperlink ref="G182" r:id="rId175"/>
    <hyperlink ref="G183" r:id="rId176"/>
    <hyperlink ref="G184" r:id="rId177"/>
    <hyperlink ref="G185" r:id="rId178"/>
    <hyperlink ref="G186" r:id="rId179"/>
    <hyperlink ref="G187" r:id="rId180"/>
    <hyperlink ref="G188" r:id="rId181"/>
    <hyperlink ref="G189" r:id="rId182"/>
    <hyperlink ref="G190" r:id="rId183"/>
    <hyperlink ref="G191" r:id="rId184"/>
    <hyperlink ref="G192" r:id="rId185"/>
    <hyperlink ref="G193" r:id="rId186"/>
    <hyperlink ref="G194" r:id="rId187"/>
    <hyperlink ref="G195" r:id="rId188"/>
    <hyperlink ref="G196" r:id="rId189"/>
    <hyperlink ref="G197" r:id="rId190"/>
    <hyperlink ref="G198" r:id="rId191"/>
    <hyperlink ref="G199" r:id="rId192"/>
    <hyperlink ref="G200" r:id="rId193"/>
    <hyperlink ref="G201" r:id="rId194"/>
    <hyperlink ref="G202" r:id="rId195"/>
    <hyperlink ref="G203" r:id="rId196"/>
    <hyperlink ref="G204" r:id="rId197"/>
    <hyperlink ref="G205" r:id="rId198"/>
    <hyperlink ref="G206" r:id="rId199"/>
    <hyperlink ref="G207" r:id="rId200"/>
    <hyperlink ref="G208" r:id="rId201"/>
    <hyperlink ref="G209" r:id="rId202"/>
    <hyperlink ref="G210" r:id="rId203"/>
    <hyperlink ref="G211" r:id="rId204"/>
    <hyperlink ref="G212" r:id="rId205"/>
    <hyperlink ref="G213" r:id="rId206"/>
    <hyperlink ref="G214" r:id="rId207"/>
    <hyperlink ref="G215" r:id="rId208"/>
    <hyperlink ref="G216" r:id="rId209"/>
    <hyperlink ref="G217" r:id="rId210"/>
    <hyperlink ref="G218" r:id="rId211"/>
    <hyperlink ref="G219" r:id="rId212"/>
    <hyperlink ref="G220" r:id="rId213"/>
    <hyperlink ref="G221" r:id="rId214"/>
    <hyperlink ref="G222" r:id="rId215"/>
    <hyperlink ref="G223" r:id="rId216"/>
    <hyperlink ref="G224" r:id="rId217"/>
    <hyperlink ref="G225" r:id="rId218"/>
    <hyperlink ref="G226" r:id="rId219"/>
    <hyperlink ref="G227" r:id="rId220"/>
    <hyperlink ref="G228" r:id="rId221"/>
    <hyperlink ref="G229" r:id="rId222"/>
    <hyperlink ref="G230" r:id="rId223"/>
    <hyperlink ref="G231" r:id="rId224"/>
    <hyperlink ref="G232" r:id="rId225"/>
    <hyperlink ref="G233" r:id="rId226"/>
    <hyperlink ref="G234" r:id="rId227"/>
    <hyperlink ref="G235" r:id="rId228"/>
    <hyperlink ref="G236" r:id="rId229"/>
    <hyperlink ref="G237" r:id="rId230"/>
    <hyperlink ref="G238" r:id="rId231"/>
    <hyperlink ref="G239" r:id="rId232"/>
    <hyperlink ref="G240" r:id="rId233"/>
    <hyperlink ref="G241" r:id="rId234"/>
    <hyperlink ref="G242" r:id="rId235"/>
    <hyperlink ref="G243" r:id="rId236"/>
    <hyperlink ref="G244" r:id="rId237"/>
    <hyperlink ref="G245" r:id="rId238"/>
    <hyperlink ref="G246" r:id="rId239"/>
    <hyperlink ref="G247" r:id="rId240"/>
    <hyperlink ref="G248" r:id="rId241"/>
    <hyperlink ref="G249" r:id="rId242"/>
    <hyperlink ref="G250" r:id="rId243"/>
    <hyperlink ref="G251" r:id="rId244"/>
    <hyperlink ref="G252" r:id="rId245"/>
    <hyperlink ref="G253" r:id="rId246"/>
    <hyperlink ref="G254" r:id="rId247"/>
    <hyperlink ref="G255" r:id="rId248"/>
    <hyperlink ref="G256" r:id="rId249"/>
    <hyperlink ref="G257" r:id="rId250"/>
    <hyperlink ref="G258" r:id="rId251"/>
    <hyperlink ref="G259" r:id="rId252"/>
    <hyperlink ref="G260" r:id="rId253"/>
    <hyperlink ref="G261" r:id="rId254"/>
    <hyperlink ref="G262" r:id="rId255"/>
    <hyperlink ref="G263" r:id="rId256"/>
    <hyperlink ref="G264" r:id="rId257"/>
    <hyperlink ref="G265" r:id="rId258"/>
    <hyperlink ref="G266" r:id="rId259"/>
    <hyperlink ref="G267" r:id="rId260"/>
    <hyperlink ref="G268" r:id="rId261"/>
    <hyperlink ref="G269" r:id="rId262"/>
    <hyperlink ref="G270" r:id="rId263"/>
    <hyperlink ref="G271" r:id="rId264"/>
    <hyperlink ref="G272" r:id="rId265"/>
    <hyperlink ref="G273" r:id="rId266"/>
    <hyperlink ref="G274" r:id="rId267"/>
    <hyperlink ref="G275" r:id="rId268"/>
    <hyperlink ref="G276" r:id="rId269"/>
    <hyperlink ref="G277" r:id="rId270"/>
    <hyperlink ref="G278" r:id="rId271"/>
    <hyperlink ref="G279" r:id="rId272"/>
    <hyperlink ref="G280" r:id="rId273"/>
    <hyperlink ref="G281" r:id="rId274"/>
    <hyperlink ref="G282" r:id="rId275"/>
    <hyperlink ref="G283" r:id="rId276"/>
    <hyperlink ref="G284" r:id="rId277"/>
    <hyperlink ref="G285" r:id="rId278"/>
    <hyperlink ref="G286" r:id="rId279"/>
    <hyperlink ref="G287" r:id="rId280"/>
    <hyperlink ref="G288" r:id="rId281"/>
    <hyperlink ref="G289" r:id="rId282"/>
    <hyperlink ref="G290" r:id="rId283"/>
    <hyperlink ref="G291" r:id="rId284"/>
    <hyperlink ref="G292" r:id="rId285"/>
    <hyperlink ref="G293" r:id="rId286"/>
    <hyperlink ref="G294" r:id="rId287"/>
    <hyperlink ref="G295" r:id="rId288"/>
    <hyperlink ref="G296" r:id="rId289"/>
    <hyperlink ref="G297" r:id="rId290"/>
    <hyperlink ref="G298" r:id="rId291"/>
    <hyperlink ref="G299" r:id="rId292"/>
    <hyperlink ref="G300" r:id="rId293"/>
    <hyperlink ref="G301" r:id="rId294"/>
    <hyperlink ref="G302" r:id="rId295"/>
    <hyperlink ref="G303" r:id="rId296"/>
    <hyperlink ref="G304" r:id="rId297"/>
    <hyperlink ref="G305" r:id="rId298"/>
    <hyperlink ref="G306" r:id="rId299"/>
    <hyperlink ref="G58" r:id="rId300"/>
    <hyperlink ref="G307" r:id="rId301"/>
    <hyperlink ref="G308" r:id="rId302"/>
    <hyperlink ref="G59" r:id="rId303"/>
    <hyperlink ref="G60" r:id="rId304"/>
    <hyperlink ref="G61" r:id="rId305"/>
    <hyperlink ref="G309" r:id="rId306"/>
    <hyperlink ref="G310" r:id="rId307"/>
    <hyperlink ref="G311" r:id="rId308"/>
    <hyperlink ref="G312" r:id="rId309"/>
    <hyperlink ref="G313" r:id="rId310"/>
    <hyperlink ref="G314" r:id="rId311"/>
    <hyperlink ref="G315" r:id="rId312"/>
    <hyperlink ref="G316" r:id="rId313"/>
    <hyperlink ref="G317" r:id="rId314"/>
    <hyperlink ref="G318" r:id="rId315"/>
    <hyperlink ref="G320" r:id="rId316"/>
    <hyperlink ref="G321" r:id="rId317"/>
    <hyperlink ref="G323" r:id="rId318"/>
    <hyperlink ref="G324" r:id="rId319"/>
    <hyperlink ref="G325" r:id="rId320"/>
    <hyperlink ref="G326" r:id="rId321"/>
    <hyperlink ref="G327" r:id="rId322"/>
    <hyperlink ref="G328" r:id="rId323"/>
    <hyperlink ref="G329" r:id="rId324"/>
    <hyperlink ref="G330" r:id="rId325"/>
    <hyperlink ref="G331" r:id="rId326"/>
    <hyperlink ref="G332" r:id="rId327"/>
    <hyperlink ref="G333" r:id="rId328"/>
    <hyperlink ref="G334" r:id="rId329"/>
    <hyperlink ref="G335" r:id="rId330"/>
    <hyperlink ref="G336" r:id="rId331"/>
    <hyperlink ref="G337" r:id="rId332"/>
    <hyperlink ref="G338" r:id="rId333"/>
    <hyperlink ref="G339" r:id="rId334"/>
    <hyperlink ref="G340" r:id="rId335"/>
    <hyperlink ref="G341" r:id="rId336"/>
    <hyperlink ref="G342" r:id="rId337"/>
    <hyperlink ref="G343" r:id="rId338"/>
    <hyperlink ref="G344" r:id="rId339"/>
    <hyperlink ref="G345" r:id="rId340"/>
    <hyperlink ref="G346" r:id="rId341"/>
    <hyperlink ref="G347" r:id="rId342"/>
    <hyperlink ref="G348" r:id="rId343"/>
    <hyperlink ref="G349" r:id="rId344"/>
    <hyperlink ref="G350" r:id="rId345"/>
    <hyperlink ref="G351" r:id="rId346"/>
    <hyperlink ref="G352" r:id="rId347"/>
    <hyperlink ref="G353" r:id="rId348"/>
    <hyperlink ref="G354" r:id="rId349"/>
    <hyperlink ref="G355" r:id="rId350"/>
    <hyperlink ref="G356" r:id="rId351"/>
    <hyperlink ref="G357" r:id="rId352"/>
    <hyperlink ref="G358" r:id="rId353"/>
    <hyperlink ref="G359" r:id="rId354"/>
    <hyperlink ref="G360" r:id="rId355"/>
    <hyperlink ref="G361" r:id="rId356"/>
    <hyperlink ref="G362" r:id="rId357"/>
    <hyperlink ref="G363" r:id="rId358"/>
    <hyperlink ref="G364" r:id="rId359"/>
    <hyperlink ref="G365" r:id="rId360"/>
    <hyperlink ref="G366" r:id="rId361"/>
    <hyperlink ref="G367" r:id="rId362"/>
    <hyperlink ref="G368" r:id="rId363"/>
    <hyperlink ref="G369" r:id="rId364"/>
    <hyperlink ref="G370" r:id="rId365"/>
    <hyperlink ref="G371" r:id="rId366"/>
    <hyperlink ref="G372" r:id="rId367"/>
    <hyperlink ref="G373" r:id="rId368"/>
    <hyperlink ref="G374" r:id="rId369"/>
    <hyperlink ref="G375" r:id="rId370"/>
    <hyperlink ref="G376" r:id="rId371"/>
    <hyperlink ref="G377" r:id="rId372"/>
    <hyperlink ref="G378" r:id="rId373"/>
    <hyperlink ref="G379" r:id="rId374"/>
    <hyperlink ref="G380" r:id="rId375"/>
    <hyperlink ref="G381" r:id="rId376"/>
    <hyperlink ref="G382" r:id="rId377"/>
    <hyperlink ref="G383" r:id="rId378"/>
    <hyperlink ref="G384" r:id="rId379"/>
    <hyperlink ref="G385" r:id="rId380"/>
    <hyperlink ref="G386" r:id="rId381"/>
    <hyperlink ref="G387" r:id="rId382"/>
    <hyperlink ref="G388" r:id="rId383"/>
    <hyperlink ref="G389" r:id="rId384"/>
    <hyperlink ref="G390" r:id="rId385"/>
    <hyperlink ref="G391" r:id="rId386"/>
    <hyperlink ref="G392" r:id="rId387"/>
    <hyperlink ref="G393" r:id="rId388"/>
    <hyperlink ref="G394" r:id="rId389"/>
    <hyperlink ref="G395" r:id="rId390"/>
    <hyperlink ref="G396" r:id="rId391"/>
    <hyperlink ref="G397" r:id="rId392"/>
    <hyperlink ref="G398" r:id="rId393"/>
    <hyperlink ref="G399" r:id="rId394"/>
    <hyperlink ref="G400" r:id="rId395"/>
    <hyperlink ref="G401" r:id="rId396"/>
    <hyperlink ref="G402" r:id="rId397"/>
    <hyperlink ref="G403" r:id="rId398"/>
    <hyperlink ref="G404" r:id="rId399"/>
    <hyperlink ref="G405" r:id="rId400"/>
    <hyperlink ref="G406" r:id="rId401"/>
    <hyperlink ref="G407" r:id="rId402"/>
    <hyperlink ref="G408" r:id="rId403"/>
    <hyperlink ref="G409" r:id="rId404"/>
    <hyperlink ref="G410" r:id="rId405"/>
    <hyperlink ref="G411" r:id="rId406"/>
    <hyperlink ref="G412" r:id="rId407"/>
    <hyperlink ref="G413" r:id="rId408"/>
    <hyperlink ref="G414" r:id="rId409"/>
    <hyperlink ref="G415" r:id="rId410"/>
    <hyperlink ref="G416" r:id="rId411"/>
    <hyperlink ref="G417" r:id="rId412"/>
    <hyperlink ref="G418" r:id="rId413"/>
    <hyperlink ref="G419" r:id="rId414"/>
    <hyperlink ref="G420" r:id="rId415"/>
    <hyperlink ref="G421" r:id="rId416"/>
    <hyperlink ref="G422" r:id="rId417"/>
    <hyperlink ref="G423" r:id="rId418"/>
    <hyperlink ref="G424" r:id="rId419"/>
    <hyperlink ref="G425" r:id="rId420"/>
    <hyperlink ref="G426" r:id="rId421"/>
    <hyperlink ref="G427" r:id="rId422"/>
    <hyperlink ref="G428" r:id="rId423"/>
    <hyperlink ref="G429" r:id="rId424"/>
    <hyperlink ref="G430" r:id="rId425"/>
    <hyperlink ref="G431" r:id="rId426"/>
    <hyperlink ref="G432" r:id="rId427"/>
    <hyperlink ref="G433" r:id="rId428"/>
    <hyperlink ref="G434" r:id="rId429"/>
    <hyperlink ref="G435" r:id="rId430"/>
    <hyperlink ref="G436" r:id="rId431"/>
    <hyperlink ref="G437" r:id="rId432"/>
    <hyperlink ref="G438" r:id="rId433"/>
    <hyperlink ref="G439" r:id="rId434"/>
    <hyperlink ref="G440" r:id="rId435"/>
    <hyperlink ref="G441" r:id="rId436"/>
    <hyperlink ref="G442" r:id="rId437"/>
    <hyperlink ref="G443" r:id="rId438"/>
    <hyperlink ref="G444" r:id="rId439"/>
    <hyperlink ref="G445" r:id="rId440"/>
    <hyperlink ref="G446" r:id="rId441"/>
    <hyperlink ref="G447" r:id="rId442"/>
    <hyperlink ref="G448" r:id="rId443"/>
    <hyperlink ref="G449" r:id="rId444"/>
    <hyperlink ref="G450" r:id="rId445"/>
    <hyperlink ref="G451" r:id="rId446"/>
    <hyperlink ref="G452" r:id="rId447"/>
    <hyperlink ref="G453" r:id="rId448"/>
    <hyperlink ref="G454" r:id="rId449"/>
    <hyperlink ref="G455" r:id="rId450"/>
    <hyperlink ref="G456" r:id="rId451"/>
    <hyperlink ref="G457" r:id="rId452"/>
    <hyperlink ref="G458" r:id="rId453"/>
    <hyperlink ref="G459" r:id="rId454"/>
    <hyperlink ref="G460" r:id="rId455"/>
    <hyperlink ref="G461" r:id="rId456"/>
    <hyperlink ref="G462" r:id="rId457"/>
    <hyperlink ref="G463" r:id="rId458"/>
    <hyperlink ref="G464" r:id="rId459"/>
    <hyperlink ref="G465" r:id="rId460"/>
    <hyperlink ref="G466" r:id="rId461"/>
    <hyperlink ref="G467" r:id="rId462"/>
    <hyperlink ref="G468" r:id="rId463"/>
    <hyperlink ref="G469" r:id="rId464"/>
    <hyperlink ref="G470" r:id="rId465"/>
    <hyperlink ref="G471" r:id="rId466"/>
    <hyperlink ref="G472" r:id="rId467"/>
    <hyperlink ref="G473" r:id="rId468"/>
    <hyperlink ref="G474" r:id="rId469"/>
    <hyperlink ref="G475" r:id="rId470"/>
    <hyperlink ref="G476" r:id="rId471"/>
    <hyperlink ref="G477" r:id="rId472"/>
    <hyperlink ref="G478" r:id="rId473"/>
    <hyperlink ref="G479" r:id="rId474"/>
    <hyperlink ref="G480" r:id="rId475"/>
    <hyperlink ref="G481" r:id="rId476"/>
    <hyperlink ref="G482" r:id="rId477"/>
    <hyperlink ref="G483" r:id="rId478"/>
    <hyperlink ref="G484" r:id="rId479"/>
    <hyperlink ref="G485" r:id="rId480"/>
    <hyperlink ref="G486" r:id="rId481"/>
    <hyperlink ref="G487" r:id="rId482"/>
    <hyperlink ref="G488" r:id="rId483"/>
    <hyperlink ref="G489" r:id="rId484"/>
    <hyperlink ref="G490" r:id="rId485"/>
    <hyperlink ref="G491" r:id="rId486"/>
    <hyperlink ref="G492" r:id="rId487"/>
    <hyperlink ref="G493" r:id="rId488"/>
    <hyperlink ref="G494" r:id="rId489"/>
    <hyperlink ref="G495" r:id="rId490"/>
    <hyperlink ref="G496" r:id="rId491"/>
    <hyperlink ref="G497" r:id="rId492"/>
    <hyperlink ref="G498" r:id="rId493"/>
    <hyperlink ref="G499" r:id="rId494"/>
    <hyperlink ref="G500" r:id="rId495"/>
    <hyperlink ref="G501" r:id="rId496"/>
    <hyperlink ref="G502" r:id="rId497"/>
    <hyperlink ref="G503" r:id="rId498"/>
    <hyperlink ref="G504" r:id="rId499"/>
    <hyperlink ref="G505" r:id="rId500"/>
    <hyperlink ref="G506" r:id="rId501"/>
    <hyperlink ref="G507" r:id="rId502"/>
    <hyperlink ref="G508" r:id="rId503"/>
    <hyperlink ref="G509" r:id="rId504"/>
    <hyperlink ref="G510" r:id="rId505"/>
    <hyperlink ref="G511" r:id="rId506"/>
    <hyperlink ref="G512" r:id="rId507"/>
    <hyperlink ref="G513" r:id="rId508"/>
    <hyperlink ref="G514" r:id="rId509"/>
    <hyperlink ref="G515" r:id="rId510"/>
    <hyperlink ref="G516" r:id="rId511"/>
    <hyperlink ref="G517" r:id="rId512"/>
    <hyperlink ref="G518" r:id="rId513"/>
    <hyperlink ref="G519" r:id="rId514"/>
    <hyperlink ref="G520" r:id="rId515"/>
    <hyperlink ref="G521" r:id="rId516"/>
    <hyperlink ref="G522" r:id="rId517"/>
    <hyperlink ref="G523" r:id="rId518"/>
    <hyperlink ref="G524" r:id="rId519"/>
    <hyperlink ref="G525" r:id="rId520"/>
    <hyperlink ref="G526" r:id="rId521"/>
    <hyperlink ref="G527" r:id="rId522"/>
    <hyperlink ref="G528" r:id="rId523"/>
    <hyperlink ref="G529" r:id="rId524"/>
    <hyperlink ref="G530" r:id="rId525"/>
    <hyperlink ref="G531" r:id="rId526"/>
    <hyperlink ref="G532" r:id="rId527"/>
    <hyperlink ref="G533" r:id="rId528"/>
    <hyperlink ref="G534" r:id="rId529"/>
    <hyperlink ref="G535" r:id="rId530"/>
    <hyperlink ref="G536" r:id="rId531"/>
    <hyperlink ref="G537" r:id="rId532"/>
    <hyperlink ref="G538" r:id="rId533"/>
    <hyperlink ref="G539" r:id="rId534"/>
    <hyperlink ref="G540" r:id="rId535"/>
    <hyperlink ref="G541" r:id="rId536"/>
    <hyperlink ref="G542" r:id="rId537"/>
    <hyperlink ref="G543" r:id="rId538"/>
    <hyperlink ref="G544" r:id="rId539"/>
    <hyperlink ref="G545" r:id="rId540"/>
    <hyperlink ref="G546" r:id="rId541"/>
    <hyperlink ref="G547" r:id="rId542"/>
    <hyperlink ref="G548" r:id="rId543"/>
    <hyperlink ref="G549" r:id="rId544"/>
    <hyperlink ref="G550" r:id="rId545"/>
    <hyperlink ref="G551" r:id="rId546"/>
    <hyperlink ref="G552" r:id="rId547"/>
    <hyperlink ref="G553" r:id="rId548"/>
    <hyperlink ref="G554" r:id="rId549"/>
    <hyperlink ref="G555" r:id="rId550"/>
    <hyperlink ref="G556" r:id="rId551"/>
    <hyperlink ref="G557" r:id="rId552"/>
    <hyperlink ref="G558" r:id="rId553"/>
    <hyperlink ref="G559" r:id="rId554"/>
    <hyperlink ref="G560" r:id="rId555"/>
    <hyperlink ref="G561" r:id="rId556"/>
    <hyperlink ref="G562" r:id="rId557"/>
    <hyperlink ref="G563" r:id="rId558"/>
    <hyperlink ref="G564" r:id="rId559"/>
    <hyperlink ref="G565" r:id="rId560"/>
    <hyperlink ref="G566" r:id="rId561"/>
    <hyperlink ref="G567" r:id="rId562"/>
    <hyperlink ref="G568" r:id="rId563"/>
    <hyperlink ref="G569" r:id="rId564"/>
    <hyperlink ref="G570" r:id="rId565"/>
    <hyperlink ref="G571" r:id="rId566"/>
    <hyperlink ref="G572" r:id="rId567"/>
    <hyperlink ref="G573" r:id="rId568"/>
    <hyperlink ref="G574" r:id="rId569"/>
    <hyperlink ref="G575" r:id="rId570"/>
    <hyperlink ref="G576" r:id="rId571"/>
    <hyperlink ref="G577" r:id="rId572"/>
    <hyperlink ref="G578" r:id="rId573"/>
    <hyperlink ref="G579" r:id="rId574"/>
    <hyperlink ref="G580" r:id="rId575"/>
    <hyperlink ref="G581" r:id="rId576"/>
    <hyperlink ref="G582" r:id="rId577"/>
    <hyperlink ref="G583" r:id="rId578"/>
    <hyperlink ref="G584" r:id="rId579"/>
    <hyperlink ref="G585" r:id="rId580"/>
    <hyperlink ref="G586" r:id="rId581"/>
    <hyperlink ref="G587" r:id="rId582"/>
    <hyperlink ref="G588" r:id="rId583"/>
    <hyperlink ref="G589" r:id="rId584"/>
    <hyperlink ref="G590" r:id="rId585"/>
    <hyperlink ref="G591" r:id="rId586"/>
    <hyperlink ref="G592" r:id="rId587"/>
    <hyperlink ref="G593" r:id="rId588"/>
    <hyperlink ref="G594" r:id="rId589"/>
    <hyperlink ref="G595" r:id="rId590"/>
    <hyperlink ref="G596" r:id="rId591"/>
    <hyperlink ref="G597" r:id="rId592"/>
    <hyperlink ref="G598" r:id="rId593"/>
    <hyperlink ref="G599" r:id="rId594"/>
    <hyperlink ref="G600" r:id="rId595"/>
    <hyperlink ref="G601" r:id="rId596"/>
    <hyperlink ref="G602" r:id="rId597"/>
    <hyperlink ref="G603" r:id="rId598"/>
    <hyperlink ref="G604" r:id="rId599"/>
    <hyperlink ref="G605" r:id="rId600"/>
    <hyperlink ref="G606" r:id="rId601"/>
    <hyperlink ref="G607" r:id="rId602"/>
    <hyperlink ref="G608" r:id="rId603"/>
    <hyperlink ref="G609" r:id="rId604"/>
    <hyperlink ref="G610" r:id="rId605"/>
    <hyperlink ref="G611" r:id="rId606"/>
    <hyperlink ref="G612" r:id="rId607"/>
    <hyperlink ref="G613" r:id="rId608"/>
    <hyperlink ref="G614" r:id="rId609"/>
    <hyperlink ref="G615" r:id="rId610"/>
    <hyperlink ref="G616" r:id="rId611"/>
    <hyperlink ref="G617" r:id="rId612"/>
    <hyperlink ref="G618" r:id="rId613"/>
    <hyperlink ref="G619" r:id="rId614"/>
    <hyperlink ref="G620" r:id="rId615"/>
    <hyperlink ref="G621" r:id="rId616"/>
    <hyperlink ref="G622" r:id="rId617"/>
    <hyperlink ref="G623" r:id="rId618"/>
    <hyperlink ref="G624" r:id="rId619"/>
    <hyperlink ref="G625" r:id="rId620"/>
    <hyperlink ref="G626" r:id="rId621"/>
    <hyperlink ref="G627" r:id="rId622"/>
    <hyperlink ref="G628" r:id="rId623"/>
    <hyperlink ref="G629" r:id="rId624"/>
    <hyperlink ref="G630" r:id="rId625"/>
    <hyperlink ref="G631" r:id="rId626"/>
    <hyperlink ref="G632" r:id="rId627"/>
    <hyperlink ref="G633" r:id="rId628"/>
    <hyperlink ref="G634" r:id="rId629"/>
    <hyperlink ref="G635" r:id="rId630"/>
    <hyperlink ref="G636" r:id="rId631"/>
    <hyperlink ref="G637" r:id="rId632"/>
    <hyperlink ref="G638" r:id="rId633"/>
    <hyperlink ref="G639" r:id="rId634"/>
    <hyperlink ref="G640" r:id="rId635"/>
    <hyperlink ref="G641" r:id="rId636"/>
    <hyperlink ref="G642" r:id="rId637"/>
    <hyperlink ref="G643" r:id="rId638"/>
    <hyperlink ref="G644" r:id="rId639"/>
    <hyperlink ref="G645" r:id="rId640"/>
    <hyperlink ref="G646" r:id="rId641"/>
    <hyperlink ref="G647" r:id="rId642"/>
    <hyperlink ref="G648" r:id="rId643"/>
    <hyperlink ref="G649" r:id="rId644"/>
    <hyperlink ref="G650" r:id="rId645"/>
    <hyperlink ref="G651" r:id="rId646"/>
    <hyperlink ref="G652" r:id="rId647"/>
    <hyperlink ref="G653" r:id="rId648"/>
    <hyperlink ref="G654" r:id="rId649"/>
    <hyperlink ref="G655" r:id="rId650"/>
    <hyperlink ref="G656" r:id="rId651"/>
    <hyperlink ref="G657" r:id="rId652"/>
    <hyperlink ref="G658" r:id="rId653"/>
    <hyperlink ref="G659" r:id="rId654"/>
    <hyperlink ref="G660" r:id="rId655"/>
    <hyperlink ref="G661" r:id="rId656"/>
    <hyperlink ref="G662" r:id="rId657"/>
    <hyperlink ref="G663" r:id="rId658"/>
    <hyperlink ref="G664" r:id="rId659"/>
    <hyperlink ref="G665" r:id="rId660"/>
    <hyperlink ref="G666" r:id="rId661"/>
    <hyperlink ref="G667" r:id="rId662"/>
    <hyperlink ref="G668" r:id="rId663"/>
    <hyperlink ref="G669" r:id="rId664"/>
    <hyperlink ref="G671" r:id="rId665"/>
    <hyperlink ref="G319" r:id="rId666" display="comprovantes/Educação/teoria-musical-agosto.jpg"/>
    <hyperlink ref="G322" r:id="rId667" display="comprovantes/Educação/teoria-musical-junho.jpg"/>
    <hyperlink ref="G670" r:id="rId668"/>
    <hyperlink ref="G672" r:id="rId669"/>
    <hyperlink ref="G673" r:id="rId670"/>
    <hyperlink ref="G674" r:id="rId671"/>
    <hyperlink ref="G675" r:id="rId672"/>
    <hyperlink ref="G676" r:id="rId673"/>
    <hyperlink ref="G677" r:id="rId674"/>
    <hyperlink ref="G678" r:id="rId675"/>
    <hyperlink ref="G679" r:id="rId676"/>
    <hyperlink ref="G680" r:id="rId677"/>
    <hyperlink ref="G681" r:id="rId678"/>
    <hyperlink ref="G682" r:id="rId679"/>
    <hyperlink ref="G683" r:id="rId680"/>
    <hyperlink ref="G684" r:id="rId681"/>
    <hyperlink ref="G685" r:id="rId682"/>
    <hyperlink ref="G686" r:id="rId683"/>
    <hyperlink ref="G687" r:id="rId684"/>
    <hyperlink ref="G688" r:id="rId685"/>
    <hyperlink ref="G689" r:id="rId686"/>
    <hyperlink ref="G690" r:id="rId687"/>
    <hyperlink ref="G691" r:id="rId688"/>
    <hyperlink ref="G692" r:id="rId689"/>
    <hyperlink ref="G693" r:id="rId690"/>
    <hyperlink ref="G694" r:id="rId691"/>
    <hyperlink ref="G695" r:id="rId692"/>
    <hyperlink ref="G696" r:id="rId693"/>
    <hyperlink ref="G697" r:id="rId694"/>
    <hyperlink ref="G698" r:id="rId695"/>
    <hyperlink ref="G699" r:id="rId696"/>
    <hyperlink ref="G700" r:id="rId697"/>
    <hyperlink ref="G701" r:id="rId698"/>
    <hyperlink ref="G702" r:id="rId699"/>
    <hyperlink ref="G703" r:id="rId700"/>
    <hyperlink ref="G704" r:id="rId701"/>
    <hyperlink ref="G705" r:id="rId702"/>
    <hyperlink ref="G706" r:id="rId703"/>
    <hyperlink ref="G707" r:id="rId704"/>
    <hyperlink ref="G708" r:id="rId705"/>
    <hyperlink ref="G709" r:id="rId706"/>
    <hyperlink ref="G710" r:id="rId707"/>
    <hyperlink ref="G711" r:id="rId708"/>
  </hyperlinks>
  <pageMargins left="0.75" right="0.75" top="1" bottom="1" header="0.5" footer="0.5"/>
  <pageSetup paperSize="9" orientation="portrait" r:id="rId709"/>
  <drawing r:id="rId7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tabColor rgb="FFA78BFA"/>
  </sheetPr>
  <dimension ref="A1:AZ220"/>
  <sheetViews>
    <sheetView showGridLines="0" tabSelected="1" zoomScaleNormal="100" workbookViewId="0">
      <selection sqref="A1:G1"/>
    </sheetView>
  </sheetViews>
  <sheetFormatPr defaultColWidth="0" defaultRowHeight="14.25" zeroHeight="1" x14ac:dyDescent="0.25"/>
  <cols>
    <col min="1" max="1" width="26.7109375" style="54" customWidth="1"/>
    <col min="2" max="3" width="24.7109375" style="54" customWidth="1"/>
    <col min="4" max="4" width="3.7109375" style="54" customWidth="1"/>
    <col min="5" max="5" width="34.7109375" style="54" customWidth="1"/>
    <col min="6" max="7" width="14.7109375" style="54" customWidth="1"/>
    <col min="8" max="11" width="9.7109375" style="54" customWidth="1"/>
    <col min="12" max="16384" width="9.140625" style="54" hidden="1"/>
  </cols>
  <sheetData>
    <row r="1" spans="1:52" ht="25.5" customHeight="1" x14ac:dyDescent="0.25">
      <c r="A1" s="212" t="s">
        <v>87</v>
      </c>
      <c r="B1" s="213"/>
      <c r="C1" s="213"/>
      <c r="D1" s="213"/>
      <c r="E1" s="213"/>
      <c r="F1" s="213"/>
      <c r="G1" s="213"/>
      <c r="H1" s="57"/>
      <c r="I1" s="59"/>
      <c r="J1" s="59"/>
      <c r="K1" s="59"/>
      <c r="L1" s="59"/>
      <c r="M1" s="59"/>
      <c r="N1" s="59"/>
      <c r="O1" s="59"/>
      <c r="P1" s="59"/>
      <c r="Q1" s="59"/>
      <c r="R1" s="59"/>
      <c r="S1" s="59"/>
      <c r="T1" s="59"/>
      <c r="U1" s="59"/>
      <c r="V1" s="59"/>
      <c r="W1" s="59"/>
      <c r="X1" s="59"/>
      <c r="Y1" s="59"/>
      <c r="Z1" s="59"/>
      <c r="AA1" s="58"/>
      <c r="AB1" s="58"/>
      <c r="AC1" s="58"/>
      <c r="AD1" s="58"/>
      <c r="AE1" s="58"/>
      <c r="AF1" s="58"/>
      <c r="AG1" s="58"/>
      <c r="AH1" s="58"/>
      <c r="AI1" s="58"/>
      <c r="AJ1" s="58"/>
      <c r="AK1" s="58"/>
      <c r="AL1" s="58"/>
      <c r="AM1" s="58"/>
      <c r="AN1" s="58"/>
      <c r="AO1" s="58"/>
      <c r="AP1" s="58"/>
      <c r="AQ1" s="58"/>
      <c r="AR1" s="58"/>
      <c r="AS1" s="58"/>
      <c r="AT1" s="58"/>
      <c r="AU1" s="58"/>
      <c r="AV1" s="58"/>
      <c r="AW1" s="58"/>
      <c r="AX1" s="58"/>
      <c r="AY1" s="58"/>
      <c r="AZ1" s="58"/>
    </row>
    <row r="2" spans="1:52" ht="24" customHeight="1" x14ac:dyDescent="0.25">
      <c r="A2" s="213" t="s">
        <v>2226</v>
      </c>
      <c r="B2" s="213"/>
      <c r="C2" s="213"/>
      <c r="D2" s="57"/>
      <c r="E2" s="57"/>
      <c r="F2" s="57"/>
      <c r="G2" s="57"/>
      <c r="H2" s="57"/>
      <c r="I2" s="59"/>
      <c r="J2" s="59"/>
      <c r="K2" s="59"/>
      <c r="L2" s="59"/>
      <c r="M2" s="59"/>
      <c r="N2" s="59"/>
      <c r="O2" s="59"/>
      <c r="P2" s="59"/>
      <c r="Q2" s="59"/>
      <c r="R2" s="59"/>
      <c r="S2" s="59"/>
      <c r="T2" s="59"/>
      <c r="U2" s="59"/>
      <c r="V2" s="59"/>
      <c r="W2" s="59"/>
      <c r="X2" s="59"/>
      <c r="Y2" s="59"/>
      <c r="Z2" s="59"/>
      <c r="AA2" s="58"/>
      <c r="AB2" s="58"/>
      <c r="AC2" s="58"/>
      <c r="AD2" s="58"/>
      <c r="AE2" s="58"/>
      <c r="AF2" s="58"/>
      <c r="AG2" s="58"/>
      <c r="AH2" s="58"/>
      <c r="AI2" s="58"/>
      <c r="AJ2" s="58"/>
      <c r="AK2" s="58"/>
      <c r="AL2" s="58"/>
      <c r="AM2" s="58"/>
      <c r="AN2" s="58"/>
      <c r="AO2" s="58"/>
      <c r="AP2" s="58"/>
      <c r="AQ2" s="58"/>
      <c r="AR2" s="58"/>
      <c r="AS2" s="58"/>
      <c r="AT2" s="58"/>
      <c r="AU2" s="58"/>
      <c r="AV2" s="58"/>
      <c r="AW2" s="58"/>
      <c r="AX2" s="58"/>
      <c r="AY2" s="58"/>
      <c r="AZ2" s="58"/>
    </row>
    <row r="3" spans="1:52" ht="38.1" customHeight="1" x14ac:dyDescent="0.25">
      <c r="A3" s="99" t="s">
        <v>1</v>
      </c>
      <c r="B3" s="61" t="s">
        <v>2227</v>
      </c>
      <c r="C3" s="61" t="s">
        <v>2221</v>
      </c>
      <c r="D3" s="57"/>
      <c r="E3" s="214" t="s">
        <v>88</v>
      </c>
      <c r="F3" s="214"/>
      <c r="G3" s="214"/>
      <c r="H3" s="57"/>
      <c r="I3" s="59"/>
      <c r="J3" s="59"/>
      <c r="K3" s="59"/>
      <c r="L3" s="59"/>
      <c r="M3" s="59"/>
      <c r="N3" s="59"/>
      <c r="O3" s="59"/>
      <c r="P3" s="59"/>
      <c r="Q3" s="59"/>
      <c r="R3" s="59"/>
      <c r="S3" s="59"/>
      <c r="T3" s="59"/>
      <c r="U3" s="59"/>
      <c r="V3" s="59"/>
      <c r="W3" s="59"/>
      <c r="X3" s="59"/>
      <c r="Y3" s="59"/>
      <c r="Z3" s="59"/>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row>
    <row r="4" spans="1:52" x14ac:dyDescent="0.25">
      <c r="A4" s="88" t="s">
        <v>6</v>
      </c>
      <c r="B4" s="222">
        <f>SUMIF(Despesas!A5:A120,A4,Despesas!T5:T120)</f>
        <v>409.78999999999996</v>
      </c>
      <c r="C4" s="222">
        <f>SUMIF(Despesas!A5:A120,A4,Despesas!S5:S120)</f>
        <v>4917.4799999999996</v>
      </c>
      <c r="D4" s="55"/>
      <c r="E4" s="99" t="s">
        <v>89</v>
      </c>
      <c r="F4" s="99" t="s">
        <v>90</v>
      </c>
      <c r="G4" s="99" t="s">
        <v>91</v>
      </c>
      <c r="H4" s="57"/>
      <c r="I4" s="59"/>
      <c r="J4" s="59"/>
      <c r="K4" s="59"/>
      <c r="L4" s="59"/>
      <c r="M4" s="59"/>
      <c r="N4" s="59"/>
      <c r="O4" s="59"/>
      <c r="P4" s="59"/>
      <c r="Q4" s="59"/>
      <c r="R4" s="59"/>
      <c r="S4" s="59"/>
      <c r="T4" s="59"/>
      <c r="U4" s="59"/>
      <c r="V4" s="59"/>
      <c r="W4" s="59"/>
      <c r="X4" s="59"/>
      <c r="Y4" s="59"/>
      <c r="Z4" s="59"/>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row>
    <row r="5" spans="1:52" x14ac:dyDescent="0.25">
      <c r="A5" s="89" t="s">
        <v>15</v>
      </c>
      <c r="B5" s="223">
        <f>SUMIF(Despesas!A5:A120,A5,Despesas!T5:T120)</f>
        <v>473.255</v>
      </c>
      <c r="C5" s="223">
        <f>SUMIF(Despesas!A5:A120,A5,Despesas!S5:S120)</f>
        <v>5679.06</v>
      </c>
      <c r="D5" s="56"/>
      <c r="E5" s="101" t="s">
        <v>92</v>
      </c>
      <c r="F5" s="110">
        <f>Config!B3</f>
        <v>0</v>
      </c>
      <c r="G5" s="110">
        <f>Config!C3</f>
        <v>0</v>
      </c>
      <c r="H5" s="56"/>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row>
    <row r="6" spans="1:52" x14ac:dyDescent="0.25">
      <c r="A6" s="90" t="s">
        <v>20</v>
      </c>
      <c r="B6" s="224">
        <f>SUMIF(Despesas!A5:A120,A6,Despesas!T5:T120)</f>
        <v>1890.6741666666665</v>
      </c>
      <c r="C6" s="224">
        <f>SUMIF(Despesas!A5:A120,A6,Despesas!S5:S120)</f>
        <v>22688.090000000004</v>
      </c>
      <c r="D6" s="56"/>
      <c r="E6" s="101" t="s">
        <v>93</v>
      </c>
      <c r="F6" s="110">
        <f>Config!B4</f>
        <v>0</v>
      </c>
      <c r="G6" s="110">
        <f>Config!C4</f>
        <v>0</v>
      </c>
      <c r="H6" s="56"/>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row>
    <row r="7" spans="1:52" x14ac:dyDescent="0.25">
      <c r="A7" s="91" t="s">
        <v>30</v>
      </c>
      <c r="B7" s="225">
        <f>SUMIF(Despesas!A5:A120,A7,Despesas!T5:T120)</f>
        <v>298.57916666666671</v>
      </c>
      <c r="C7" s="225">
        <f>SUMIF(Despesas!A5:A120,A7,Despesas!S5:S120)</f>
        <v>3582.95</v>
      </c>
      <c r="D7" s="56"/>
      <c r="E7" s="101" t="s">
        <v>94</v>
      </c>
      <c r="F7" s="110">
        <f>F5-F6</f>
        <v>0</v>
      </c>
      <c r="G7" s="110">
        <f>G5-G6</f>
        <v>0</v>
      </c>
      <c r="H7" s="56"/>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c r="AK7" s="58"/>
      <c r="AL7" s="58"/>
      <c r="AM7" s="58"/>
      <c r="AN7" s="58"/>
      <c r="AO7" s="58"/>
      <c r="AP7" s="58"/>
      <c r="AQ7" s="58"/>
      <c r="AR7" s="58"/>
      <c r="AS7" s="58"/>
      <c r="AT7" s="58"/>
      <c r="AU7" s="58"/>
      <c r="AV7" s="58"/>
      <c r="AW7" s="58"/>
      <c r="AX7" s="58"/>
      <c r="AY7" s="58"/>
      <c r="AZ7" s="58"/>
    </row>
    <row r="8" spans="1:52" x14ac:dyDescent="0.25">
      <c r="A8" s="92" t="s">
        <v>40</v>
      </c>
      <c r="B8" s="226">
        <f>SUMIF(Despesas!A5:A120,A8,Despesas!T5:T120)</f>
        <v>221.95166666666671</v>
      </c>
      <c r="C8" s="226">
        <f>SUMIF(Despesas!A5:A120,A8,Despesas!S5:S120)</f>
        <v>2663.4200000000005</v>
      </c>
      <c r="D8" s="56"/>
      <c r="E8" s="101" t="s">
        <v>95</v>
      </c>
      <c r="F8" s="100">
        <f>IF(F7+G7=0,0,F7/(F7+G7))</f>
        <v>0</v>
      </c>
      <c r="G8" s="100">
        <f>IF(F7+G7=0,0,G7/(F7+G7))</f>
        <v>0</v>
      </c>
      <c r="H8" s="56"/>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S8" s="58"/>
      <c r="AT8" s="58"/>
      <c r="AU8" s="58"/>
      <c r="AV8" s="58"/>
      <c r="AW8" s="58"/>
      <c r="AX8" s="58"/>
      <c r="AY8" s="58"/>
      <c r="AZ8" s="58"/>
    </row>
    <row r="9" spans="1:52" x14ac:dyDescent="0.25">
      <c r="A9" s="93" t="s">
        <v>55</v>
      </c>
      <c r="B9" s="227">
        <f>SUMIF(Despesas!A5:A120,A9,Despesas!T5:T120)</f>
        <v>42.077499999999993</v>
      </c>
      <c r="C9" s="227">
        <f>SUMIF(Despesas!A5:A120,A9,Despesas!S5:S120)</f>
        <v>504.92999999999995</v>
      </c>
      <c r="D9" s="56"/>
      <c r="E9" s="101" t="s">
        <v>96</v>
      </c>
      <c r="F9" s="110">
        <f>$B$15*F8</f>
        <v>0</v>
      </c>
      <c r="G9" s="110">
        <f>$B$15*G8</f>
        <v>0</v>
      </c>
      <c r="H9" s="56"/>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R9" s="58"/>
      <c r="AS9" s="58"/>
      <c r="AT9" s="58"/>
      <c r="AU9" s="58"/>
      <c r="AV9" s="58"/>
      <c r="AW9" s="58"/>
      <c r="AX9" s="58"/>
      <c r="AY9" s="58"/>
      <c r="AZ9" s="58"/>
    </row>
    <row r="10" spans="1:52" x14ac:dyDescent="0.25">
      <c r="A10" s="94" t="s">
        <v>45</v>
      </c>
      <c r="B10" s="228">
        <f>SUMIF(Despesas!A5:A120,A10,Despesas!T5:T120)</f>
        <v>166.04416666666665</v>
      </c>
      <c r="C10" s="228">
        <f>SUMIF(Despesas!A5:A120,A10,Despesas!S5:S120)</f>
        <v>1992.53</v>
      </c>
      <c r="D10" s="56"/>
      <c r="E10" s="56"/>
      <c r="F10" s="56"/>
      <c r="G10" s="56"/>
      <c r="H10" s="56"/>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x14ac:dyDescent="0.25">
      <c r="A11" s="95" t="s">
        <v>51</v>
      </c>
      <c r="B11" s="229">
        <f>SUMIF(Despesas!A5:A120,A11,Despesas!T5:T120)</f>
        <v>84.340833333333322</v>
      </c>
      <c r="C11" s="229">
        <f>SUMIF(Despesas!A5:A120,A11,Despesas!S5:S120)</f>
        <v>1012.0899999999999</v>
      </c>
      <c r="D11" s="56"/>
      <c r="E11" s="56"/>
      <c r="F11" s="56"/>
      <c r="G11" s="56"/>
      <c r="H11" s="56"/>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c r="AX11" s="58"/>
      <c r="AY11" s="58"/>
      <c r="AZ11" s="58"/>
    </row>
    <row r="12" spans="1:52" x14ac:dyDescent="0.25">
      <c r="A12" s="96" t="s">
        <v>60</v>
      </c>
      <c r="B12" s="230">
        <f>SUMIF(Despesas!A5:A120,A12,Despesas!T5:T120)</f>
        <v>147.12708333333333</v>
      </c>
      <c r="C12" s="230">
        <f>SUMIF(Despesas!A5:A120,A12,Despesas!S5:S120)</f>
        <v>1765.5250000000003</v>
      </c>
      <c r="D12" s="56"/>
      <c r="E12" s="152" t="s">
        <v>99</v>
      </c>
      <c r="F12" s="152" t="s">
        <v>943</v>
      </c>
      <c r="G12" s="152" t="s">
        <v>75</v>
      </c>
      <c r="H12" s="56"/>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c r="AK12" s="58"/>
      <c r="AL12" s="58"/>
      <c r="AM12" s="58"/>
      <c r="AN12" s="58"/>
      <c r="AO12" s="58"/>
      <c r="AP12" s="58"/>
      <c r="AQ12" s="58"/>
      <c r="AR12" s="58"/>
      <c r="AS12" s="58"/>
      <c r="AT12" s="58"/>
      <c r="AU12" s="58"/>
      <c r="AV12" s="58"/>
      <c r="AW12" s="58"/>
      <c r="AX12" s="58"/>
      <c r="AY12" s="58"/>
      <c r="AZ12" s="58"/>
    </row>
    <row r="13" spans="1:52" x14ac:dyDescent="0.25">
      <c r="A13" s="97" t="s">
        <v>66</v>
      </c>
      <c r="B13" s="231">
        <f>SUMIF(Despesas!A5:A120,A13,Despesas!T5:T120)</f>
        <v>594</v>
      </c>
      <c r="C13" s="231">
        <f>SUMIF(Despesas!A5:A120,A13,Despesas!S5:S120)</f>
        <v>7128</v>
      </c>
      <c r="D13" s="56"/>
      <c r="E13" s="56" t="s">
        <v>2228</v>
      </c>
      <c r="F13" s="154">
        <f>COUNTIFS(Controle!D4:D711,"&gt;="&amp;YEAR(Config!B9)&amp;"-"&amp;RIGHT("0"&amp;MONTH(Config!B9),2),Controle!D4:D711,"&lt;="&amp;YEAR(Config!B10)&amp;"-"&amp;RIGHT("0"&amp;MONTH(Config!B10),2),Controle!A4:A711,"&gt;0")</f>
        <v>708</v>
      </c>
      <c r="G13" s="234">
        <f>SUMIFS(Controle!E4:E711,Controle!D4:D711,"&gt;="&amp;YEAR(Config!B9)&amp;"-"&amp;RIGHT("0"&amp;MONTH(Config!B9),2),Controle!D4:D711,"&lt;="&amp;YEAR(Config!B10)&amp;"-"&amp;RIGHT("0"&amp;MONTH(Config!B10),2),Controle!A4:A711,"&gt;0")</f>
        <v>66511.320000000036</v>
      </c>
      <c r="H13" s="56"/>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58"/>
      <c r="AZ13" s="58"/>
    </row>
    <row r="14" spans="1:52" x14ac:dyDescent="0.25">
      <c r="A14" s="98" t="s">
        <v>65</v>
      </c>
      <c r="B14" s="232">
        <f>SUMIF(Despesas!A5:A120,A14,Despesas!T5:T120)</f>
        <v>0</v>
      </c>
      <c r="C14" s="233">
        <f>SUMIF(Despesas!A5:A120,A14,Despesas!S5:S120)</f>
        <v>0</v>
      </c>
      <c r="D14" s="56"/>
      <c r="E14" s="56" t="s">
        <v>2229</v>
      </c>
      <c r="F14" s="154">
        <f>COUNTIF(Controle!A4:A711,"&gt;0")-F13</f>
        <v>0</v>
      </c>
      <c r="G14" s="234">
        <f>SUMIF(Controle!A4:A711,"&gt;0",Controle!E4:E711)-G13</f>
        <v>0</v>
      </c>
      <c r="H14" s="56"/>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c r="AX14" s="58"/>
      <c r="AY14" s="58"/>
      <c r="AZ14" s="58"/>
    </row>
    <row r="15" spans="1:52" ht="33.950000000000003" customHeight="1" x14ac:dyDescent="0.25">
      <c r="A15" s="56" t="s">
        <v>97</v>
      </c>
      <c r="B15" s="234">
        <f>SUM(B4:B14)</f>
        <v>4327.8395833333325</v>
      </c>
      <c r="C15" s="234">
        <f>SUM(C4:C14)</f>
        <v>51934.074999999997</v>
      </c>
      <c r="D15" s="56"/>
      <c r="E15" s="153" t="s">
        <v>2230</v>
      </c>
      <c r="F15" s="153"/>
      <c r="G15" s="235">
        <f>SUM(Despesas!Q5:Q120)-G13</f>
        <v>200.96999999997206</v>
      </c>
      <c r="H15" s="56"/>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c r="AX15" s="58"/>
      <c r="AY15" s="58"/>
      <c r="AZ15" s="58"/>
    </row>
    <row r="16" spans="1:52" x14ac:dyDescent="0.25">
      <c r="A16" s="56"/>
      <c r="B16" s="56"/>
      <c r="C16" s="56"/>
      <c r="D16" s="56"/>
      <c r="E16" s="56"/>
      <c r="F16" s="56"/>
      <c r="G16" s="56"/>
      <c r="H16" s="56"/>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c r="AX16" s="58"/>
      <c r="AY16" s="58"/>
      <c r="AZ16" s="58"/>
    </row>
    <row r="17" spans="1:52" x14ac:dyDescent="0.25">
      <c r="A17" s="56"/>
      <c r="B17" s="56"/>
      <c r="C17" s="56"/>
      <c r="D17" s="56"/>
      <c r="E17" s="56"/>
      <c r="F17" s="56"/>
      <c r="G17" s="56"/>
      <c r="H17" s="56"/>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c r="AK17" s="58"/>
      <c r="AL17" s="58"/>
      <c r="AM17" s="58"/>
      <c r="AN17" s="58"/>
      <c r="AO17" s="58"/>
      <c r="AP17" s="58"/>
      <c r="AQ17" s="58"/>
      <c r="AR17" s="58"/>
      <c r="AS17" s="58"/>
      <c r="AT17" s="58"/>
      <c r="AU17" s="58"/>
      <c r="AV17" s="58"/>
      <c r="AW17" s="58"/>
      <c r="AX17" s="58"/>
      <c r="AY17" s="58"/>
      <c r="AZ17" s="58"/>
    </row>
    <row r="18" spans="1:52" x14ac:dyDescent="0.25">
      <c r="A18" s="56"/>
      <c r="B18" s="56"/>
      <c r="C18" s="56"/>
      <c r="D18" s="56"/>
      <c r="E18" s="56"/>
      <c r="F18" s="56"/>
      <c r="G18" s="56"/>
      <c r="H18" s="56"/>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c r="AY18" s="58"/>
      <c r="AZ18" s="58"/>
    </row>
    <row r="19" spans="1:52" hidden="1" x14ac:dyDescent="0.25">
      <c r="A19" s="58"/>
      <c r="B19" s="58"/>
      <c r="C19" s="58"/>
      <c r="D19" s="58"/>
      <c r="E19" s="58"/>
      <c r="F19" s="58"/>
      <c r="G19" s="58"/>
      <c r="H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c r="AK19" s="58"/>
      <c r="AL19" s="58"/>
      <c r="AM19" s="58"/>
      <c r="AN19" s="58"/>
      <c r="AO19" s="58"/>
      <c r="AP19" s="58"/>
      <c r="AQ19" s="58"/>
      <c r="AR19" s="58"/>
      <c r="AS19" s="58"/>
      <c r="AT19" s="58"/>
      <c r="AU19" s="58"/>
      <c r="AV19" s="58"/>
      <c r="AW19" s="58"/>
      <c r="AX19" s="58"/>
      <c r="AY19" s="58"/>
      <c r="AZ19" s="58"/>
    </row>
    <row r="20" spans="1:52" hidden="1" x14ac:dyDescent="0.25">
      <c r="A20" s="58"/>
      <c r="B20" s="58"/>
      <c r="C20" s="58"/>
      <c r="D20" s="58"/>
      <c r="E20" s="58"/>
      <c r="F20" s="58"/>
      <c r="G20" s="58"/>
      <c r="H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8"/>
      <c r="AQ20" s="58"/>
      <c r="AR20" s="58"/>
      <c r="AS20" s="58"/>
      <c r="AT20" s="58"/>
      <c r="AU20" s="58"/>
      <c r="AV20" s="58"/>
      <c r="AW20" s="58"/>
      <c r="AX20" s="58"/>
      <c r="AY20" s="58"/>
      <c r="AZ20" s="58"/>
    </row>
    <row r="21" spans="1:52" hidden="1" x14ac:dyDescent="0.25">
      <c r="A21" s="58"/>
      <c r="B21" s="58"/>
      <c r="C21" s="58"/>
      <c r="D21" s="58"/>
      <c r="E21" s="58"/>
      <c r="F21" s="58"/>
      <c r="G21" s="58"/>
      <c r="H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c r="AK21" s="58"/>
      <c r="AL21" s="58"/>
      <c r="AM21" s="58"/>
      <c r="AN21" s="58"/>
      <c r="AO21" s="58"/>
      <c r="AP21" s="58"/>
      <c r="AQ21" s="58"/>
      <c r="AR21" s="58"/>
      <c r="AS21" s="58"/>
      <c r="AT21" s="58"/>
      <c r="AU21" s="58"/>
      <c r="AV21" s="58"/>
      <c r="AW21" s="58"/>
      <c r="AX21" s="58"/>
      <c r="AY21" s="58"/>
      <c r="AZ21" s="58"/>
    </row>
    <row r="22" spans="1:52" hidden="1" x14ac:dyDescent="0.25">
      <c r="A22" s="58"/>
      <c r="B22" s="58"/>
      <c r="C22" s="58"/>
      <c r="D22" s="58"/>
      <c r="E22" s="58"/>
      <c r="F22" s="58"/>
      <c r="G22" s="58"/>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row>
    <row r="23" spans="1:52" hidden="1" x14ac:dyDescent="0.25">
      <c r="A23" s="58"/>
      <c r="B23" s="58"/>
      <c r="C23" s="58"/>
      <c r="D23" s="58"/>
      <c r="E23" s="58"/>
      <c r="F23" s="58"/>
      <c r="G23" s="58"/>
      <c r="H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c r="AK23" s="58"/>
      <c r="AL23" s="58"/>
      <c r="AM23" s="58"/>
      <c r="AN23" s="58"/>
      <c r="AO23" s="58"/>
      <c r="AP23" s="58"/>
      <c r="AQ23" s="58"/>
      <c r="AR23" s="58"/>
      <c r="AS23" s="58"/>
      <c r="AT23" s="58"/>
      <c r="AU23" s="58"/>
      <c r="AV23" s="58"/>
      <c r="AW23" s="58"/>
      <c r="AX23" s="58"/>
      <c r="AY23" s="58"/>
      <c r="AZ23" s="58"/>
    </row>
    <row r="24" spans="1:52" hidden="1" x14ac:dyDescent="0.25">
      <c r="A24" s="58"/>
      <c r="B24" s="58"/>
      <c r="C24" s="58"/>
      <c r="D24" s="58"/>
      <c r="E24" s="58"/>
      <c r="F24" s="58"/>
      <c r="G24" s="58"/>
      <c r="H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c r="AK24" s="58"/>
      <c r="AL24" s="58"/>
      <c r="AM24" s="58"/>
      <c r="AN24" s="58"/>
      <c r="AO24" s="58"/>
      <c r="AP24" s="58"/>
      <c r="AQ24" s="58"/>
      <c r="AR24" s="58"/>
      <c r="AS24" s="58"/>
      <c r="AT24" s="58"/>
      <c r="AU24" s="58"/>
      <c r="AV24" s="58"/>
      <c r="AW24" s="58"/>
      <c r="AX24" s="58"/>
      <c r="AY24" s="58"/>
      <c r="AZ24" s="58"/>
    </row>
    <row r="25" spans="1:52" hidden="1" x14ac:dyDescent="0.25">
      <c r="A25" s="58"/>
      <c r="B25" s="58"/>
      <c r="C25" s="58"/>
      <c r="D25" s="58"/>
      <c r="E25" s="58"/>
      <c r="F25" s="58"/>
      <c r="G25" s="58"/>
      <c r="H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c r="AK25" s="58"/>
      <c r="AL25" s="58"/>
      <c r="AM25" s="58"/>
      <c r="AN25" s="58"/>
      <c r="AO25" s="58"/>
      <c r="AP25" s="58"/>
      <c r="AQ25" s="58"/>
      <c r="AR25" s="58"/>
      <c r="AS25" s="58"/>
      <c r="AT25" s="58"/>
      <c r="AU25" s="58"/>
      <c r="AV25" s="58"/>
      <c r="AW25" s="58"/>
      <c r="AX25" s="58"/>
      <c r="AY25" s="58"/>
      <c r="AZ25" s="58"/>
    </row>
    <row r="26" spans="1:52" hidden="1" x14ac:dyDescent="0.25">
      <c r="A26" s="58"/>
      <c r="B26" s="58"/>
      <c r="C26" s="58"/>
      <c r="D26" s="58"/>
      <c r="E26" s="58"/>
      <c r="F26" s="58"/>
      <c r="G26" s="58"/>
      <c r="H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8"/>
      <c r="AQ26" s="58"/>
      <c r="AR26" s="58"/>
      <c r="AS26" s="58"/>
      <c r="AT26" s="58"/>
      <c r="AU26" s="58"/>
      <c r="AV26" s="58"/>
      <c r="AW26" s="58"/>
      <c r="AX26" s="58"/>
      <c r="AY26" s="58"/>
      <c r="AZ26" s="58"/>
    </row>
    <row r="27" spans="1:52" hidden="1" x14ac:dyDescent="0.25">
      <c r="A27" s="58"/>
      <c r="B27" s="58"/>
      <c r="C27" s="58"/>
      <c r="D27" s="58"/>
      <c r="E27" s="58"/>
      <c r="F27" s="58"/>
      <c r="G27" s="58"/>
      <c r="H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c r="AK27" s="58"/>
      <c r="AL27" s="58"/>
      <c r="AM27" s="58"/>
      <c r="AN27" s="58"/>
      <c r="AO27" s="58"/>
      <c r="AP27" s="58"/>
      <c r="AQ27" s="58"/>
      <c r="AR27" s="58"/>
      <c r="AS27" s="58"/>
      <c r="AT27" s="58"/>
      <c r="AU27" s="58"/>
      <c r="AV27" s="58"/>
      <c r="AW27" s="58"/>
      <c r="AX27" s="58"/>
      <c r="AY27" s="58"/>
      <c r="AZ27" s="58"/>
    </row>
    <row r="28" spans="1:52" hidden="1" x14ac:dyDescent="0.25">
      <c r="A28" s="58"/>
      <c r="B28" s="58"/>
      <c r="C28" s="58"/>
      <c r="D28" s="58"/>
      <c r="E28" s="58"/>
      <c r="F28" s="58"/>
      <c r="G28" s="58"/>
      <c r="H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row>
    <row r="29" spans="1:52" hidden="1" x14ac:dyDescent="0.25">
      <c r="A29" s="58"/>
      <c r="B29" s="58"/>
      <c r="C29" s="58"/>
      <c r="D29" s="58"/>
      <c r="E29" s="58"/>
      <c r="F29" s="58"/>
      <c r="G29" s="58"/>
      <c r="H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c r="AK29" s="58"/>
      <c r="AL29" s="58"/>
      <c r="AM29" s="58"/>
      <c r="AN29" s="58"/>
      <c r="AO29" s="58"/>
      <c r="AP29" s="58"/>
      <c r="AQ29" s="58"/>
      <c r="AR29" s="58"/>
      <c r="AS29" s="58"/>
      <c r="AT29" s="58"/>
      <c r="AU29" s="58"/>
      <c r="AV29" s="58"/>
      <c r="AW29" s="58"/>
      <c r="AX29" s="58"/>
      <c r="AY29" s="58"/>
      <c r="AZ29" s="58"/>
    </row>
    <row r="30" spans="1:52" hidden="1" x14ac:dyDescent="0.25">
      <c r="A30" s="58"/>
      <c r="B30" s="58"/>
      <c r="C30" s="58"/>
      <c r="D30" s="58"/>
      <c r="E30" s="58"/>
      <c r="F30" s="58"/>
      <c r="G30" s="58"/>
      <c r="H30" s="58"/>
      <c r="I30" s="58"/>
      <c r="J30" s="58"/>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row>
    <row r="31" spans="1:52" hidden="1" x14ac:dyDescent="0.25">
      <c r="A31" s="58"/>
      <c r="B31" s="58"/>
      <c r="C31" s="58"/>
      <c r="D31" s="58"/>
      <c r="E31" s="58"/>
      <c r="F31" s="58"/>
      <c r="G31" s="58"/>
      <c r="H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row>
    <row r="32" spans="1:52" hidden="1" x14ac:dyDescent="0.25">
      <c r="A32" s="58"/>
      <c r="B32" s="58"/>
      <c r="C32" s="58"/>
      <c r="D32" s="58"/>
      <c r="E32" s="58"/>
      <c r="F32" s="58"/>
      <c r="G32" s="58"/>
      <c r="H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row>
    <row r="33" spans="1:52" hidden="1" x14ac:dyDescent="0.25">
      <c r="A33" s="58"/>
      <c r="B33" s="58"/>
      <c r="C33" s="58"/>
      <c r="D33" s="58"/>
      <c r="E33" s="58"/>
      <c r="F33" s="58"/>
      <c r="G33" s="58"/>
      <c r="H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8"/>
      <c r="AP33" s="58"/>
      <c r="AQ33" s="58"/>
      <c r="AR33" s="58"/>
      <c r="AS33" s="58"/>
      <c r="AT33" s="58"/>
      <c r="AU33" s="58"/>
      <c r="AV33" s="58"/>
      <c r="AW33" s="58"/>
      <c r="AX33" s="58"/>
      <c r="AY33" s="58"/>
      <c r="AZ33" s="58"/>
    </row>
    <row r="34" spans="1:52" hidden="1" x14ac:dyDescent="0.25">
      <c r="A34" s="58"/>
      <c r="B34" s="58"/>
      <c r="C34" s="58"/>
      <c r="D34" s="58"/>
      <c r="E34" s="58"/>
      <c r="F34" s="58"/>
      <c r="G34" s="58"/>
      <c r="H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row>
    <row r="35" spans="1:52" hidden="1" x14ac:dyDescent="0.25">
      <c r="A35" s="58"/>
      <c r="B35" s="58"/>
      <c r="C35" s="58"/>
      <c r="D35" s="58"/>
      <c r="E35" s="58"/>
      <c r="F35" s="58"/>
      <c r="G35" s="58"/>
      <c r="H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row>
    <row r="36" spans="1:52" hidden="1" x14ac:dyDescent="0.25">
      <c r="A36" s="58"/>
      <c r="B36" s="58"/>
      <c r="C36" s="58"/>
      <c r="D36" s="58"/>
      <c r="E36" s="58"/>
      <c r="F36" s="58"/>
      <c r="G36" s="58"/>
      <c r="H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c r="AX36" s="58"/>
      <c r="AY36" s="58"/>
      <c r="AZ36" s="58"/>
    </row>
    <row r="37" spans="1:52" hidden="1" x14ac:dyDescent="0.25">
      <c r="A37" s="58"/>
      <c r="B37" s="58"/>
      <c r="C37" s="58"/>
      <c r="D37" s="58"/>
      <c r="E37" s="58"/>
      <c r="F37" s="58"/>
      <c r="G37" s="58"/>
      <c r="H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c r="AK37" s="58"/>
      <c r="AL37" s="58"/>
      <c r="AM37" s="58"/>
      <c r="AN37" s="58"/>
      <c r="AO37" s="58"/>
      <c r="AP37" s="58"/>
      <c r="AQ37" s="58"/>
      <c r="AR37" s="58"/>
      <c r="AS37" s="58"/>
      <c r="AT37" s="58"/>
      <c r="AU37" s="58"/>
      <c r="AV37" s="58"/>
      <c r="AW37" s="58"/>
      <c r="AX37" s="58"/>
      <c r="AY37" s="58"/>
      <c r="AZ37" s="58"/>
    </row>
    <row r="38" spans="1:52" hidden="1" x14ac:dyDescent="0.25">
      <c r="A38" s="58"/>
      <c r="B38" s="58"/>
      <c r="C38" s="58"/>
      <c r="D38" s="58"/>
      <c r="E38" s="58"/>
      <c r="F38" s="58"/>
      <c r="G38" s="58"/>
      <c r="H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c r="AX38" s="58"/>
      <c r="AY38" s="58"/>
      <c r="AZ38" s="58"/>
    </row>
    <row r="39" spans="1:52" hidden="1" x14ac:dyDescent="0.25">
      <c r="A39" s="58"/>
      <c r="B39" s="58"/>
      <c r="C39" s="58"/>
      <c r="D39" s="58"/>
      <c r="E39" s="58"/>
      <c r="F39" s="58"/>
      <c r="G39" s="58"/>
      <c r="H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row>
    <row r="40" spans="1:52" hidden="1" x14ac:dyDescent="0.25">
      <c r="A40" s="58"/>
      <c r="B40" s="58"/>
      <c r="C40" s="58"/>
      <c r="D40" s="58"/>
      <c r="E40" s="58"/>
      <c r="F40" s="58"/>
      <c r="G40" s="58"/>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row>
    <row r="41" spans="1:52" hidden="1" x14ac:dyDescent="0.25">
      <c r="A41" s="58"/>
      <c r="B41" s="58"/>
      <c r="C41" s="58"/>
      <c r="D41" s="58"/>
      <c r="E41" s="58"/>
      <c r="F41" s="58"/>
      <c r="G41" s="58"/>
      <c r="H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c r="AX41" s="58"/>
      <c r="AY41" s="58"/>
      <c r="AZ41" s="58"/>
    </row>
    <row r="42" spans="1:52" hidden="1" x14ac:dyDescent="0.25">
      <c r="A42" s="58"/>
      <c r="B42" s="58"/>
      <c r="C42" s="58"/>
      <c r="D42" s="58"/>
      <c r="E42" s="58"/>
      <c r="F42" s="58"/>
      <c r="G42" s="58"/>
      <c r="H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8"/>
      <c r="AQ42" s="58"/>
      <c r="AR42" s="58"/>
      <c r="AS42" s="58"/>
      <c r="AT42" s="58"/>
      <c r="AU42" s="58"/>
      <c r="AV42" s="58"/>
      <c r="AW42" s="58"/>
      <c r="AX42" s="58"/>
      <c r="AY42" s="58"/>
      <c r="AZ42" s="58"/>
    </row>
    <row r="43" spans="1:52" hidden="1" x14ac:dyDescent="0.25">
      <c r="A43" s="58"/>
      <c r="B43" s="58"/>
      <c r="C43" s="58"/>
      <c r="D43" s="58"/>
      <c r="E43" s="58"/>
      <c r="F43" s="58"/>
      <c r="G43" s="58"/>
      <c r="H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c r="AK43" s="58"/>
      <c r="AL43" s="58"/>
      <c r="AM43" s="58"/>
      <c r="AN43" s="58"/>
      <c r="AO43" s="58"/>
      <c r="AP43" s="58"/>
      <c r="AQ43" s="58"/>
      <c r="AR43" s="58"/>
      <c r="AS43" s="58"/>
      <c r="AT43" s="58"/>
      <c r="AU43" s="58"/>
      <c r="AV43" s="58"/>
      <c r="AW43" s="58"/>
      <c r="AX43" s="58"/>
      <c r="AY43" s="58"/>
      <c r="AZ43" s="58"/>
    </row>
    <row r="44" spans="1:52" hidden="1" x14ac:dyDescent="0.25">
      <c r="A44" s="58"/>
      <c r="B44" s="58"/>
      <c r="C44" s="58"/>
      <c r="D44" s="58"/>
      <c r="E44" s="58"/>
      <c r="F44" s="58"/>
      <c r="G44" s="58"/>
      <c r="H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8"/>
      <c r="AQ44" s="58"/>
      <c r="AR44" s="58"/>
      <c r="AS44" s="58"/>
      <c r="AT44" s="58"/>
      <c r="AU44" s="58"/>
      <c r="AV44" s="58"/>
      <c r="AW44" s="58"/>
      <c r="AX44" s="58"/>
      <c r="AY44" s="58"/>
      <c r="AZ44" s="58"/>
    </row>
    <row r="45" spans="1:52" hidden="1" x14ac:dyDescent="0.25">
      <c r="A45" s="58"/>
      <c r="B45" s="58"/>
      <c r="C45" s="58"/>
      <c r="D45" s="58"/>
      <c r="E45" s="58"/>
      <c r="F45" s="58"/>
      <c r="G45" s="58"/>
      <c r="H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c r="AW45" s="58"/>
      <c r="AX45" s="58"/>
      <c r="AY45" s="58"/>
      <c r="AZ45" s="58"/>
    </row>
    <row r="46" spans="1:52" hidden="1" x14ac:dyDescent="0.25">
      <c r="A46" s="58"/>
      <c r="B46" s="58"/>
      <c r="C46" s="58"/>
      <c r="D46" s="58"/>
      <c r="E46" s="58"/>
      <c r="F46" s="58"/>
      <c r="G46" s="58"/>
      <c r="H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8"/>
      <c r="AQ46" s="58"/>
      <c r="AR46" s="58"/>
      <c r="AS46" s="58"/>
      <c r="AT46" s="58"/>
      <c r="AU46" s="58"/>
      <c r="AV46" s="58"/>
      <c r="AW46" s="58"/>
      <c r="AX46" s="58"/>
      <c r="AY46" s="58"/>
      <c r="AZ46" s="58"/>
    </row>
    <row r="47" spans="1:52" hidden="1" x14ac:dyDescent="0.25">
      <c r="A47" s="58"/>
      <c r="B47" s="58"/>
      <c r="C47" s="58"/>
      <c r="D47" s="58"/>
      <c r="E47" s="58"/>
      <c r="F47" s="58"/>
      <c r="G47" s="58"/>
      <c r="H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c r="AK47" s="58"/>
      <c r="AL47" s="58"/>
      <c r="AM47" s="58"/>
      <c r="AN47" s="58"/>
      <c r="AO47" s="58"/>
      <c r="AP47" s="58"/>
      <c r="AQ47" s="58"/>
      <c r="AR47" s="58"/>
      <c r="AS47" s="58"/>
      <c r="AT47" s="58"/>
      <c r="AU47" s="58"/>
      <c r="AV47" s="58"/>
      <c r="AW47" s="58"/>
      <c r="AX47" s="58"/>
      <c r="AY47" s="58"/>
      <c r="AZ47" s="58"/>
    </row>
    <row r="48" spans="1:52" hidden="1" x14ac:dyDescent="0.25">
      <c r="A48" s="58"/>
      <c r="B48" s="58"/>
      <c r="C48" s="58"/>
      <c r="D48" s="58"/>
      <c r="E48" s="58"/>
      <c r="F48" s="58"/>
      <c r="G48" s="58"/>
      <c r="H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8"/>
      <c r="AQ48" s="58"/>
      <c r="AR48" s="58"/>
      <c r="AS48" s="58"/>
      <c r="AT48" s="58"/>
      <c r="AU48" s="58"/>
      <c r="AV48" s="58"/>
      <c r="AW48" s="58"/>
      <c r="AX48" s="58"/>
      <c r="AY48" s="58"/>
      <c r="AZ48" s="58"/>
    </row>
    <row r="49" spans="1:52" hidden="1" x14ac:dyDescent="0.25">
      <c r="A49" s="58"/>
      <c r="B49" s="58"/>
      <c r="C49" s="58"/>
      <c r="D49" s="58"/>
      <c r="E49" s="58"/>
      <c r="F49" s="58"/>
      <c r="G49" s="58"/>
      <c r="H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c r="AK49" s="58"/>
      <c r="AL49" s="58"/>
      <c r="AM49" s="58"/>
      <c r="AN49" s="58"/>
      <c r="AO49" s="58"/>
      <c r="AP49" s="58"/>
      <c r="AQ49" s="58"/>
      <c r="AR49" s="58"/>
      <c r="AS49" s="58"/>
      <c r="AT49" s="58"/>
      <c r="AU49" s="58"/>
      <c r="AV49" s="58"/>
      <c r="AW49" s="58"/>
      <c r="AX49" s="58"/>
      <c r="AY49" s="58"/>
      <c r="AZ49" s="58"/>
    </row>
    <row r="50" spans="1:52" hidden="1" x14ac:dyDescent="0.25">
      <c r="A50" s="58"/>
      <c r="B50" s="58"/>
      <c r="C50" s="58"/>
      <c r="D50" s="58"/>
      <c r="E50" s="58"/>
      <c r="F50" s="58"/>
      <c r="G50" s="58"/>
      <c r="H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c r="AV50" s="58"/>
      <c r="AW50" s="58"/>
      <c r="AX50" s="58"/>
      <c r="AY50" s="58"/>
      <c r="AZ50" s="58"/>
    </row>
    <row r="51" spans="1:52" hidden="1" x14ac:dyDescent="0.25">
      <c r="A51" s="58"/>
      <c r="B51" s="58"/>
      <c r="C51" s="58"/>
      <c r="D51" s="58"/>
      <c r="E51" s="58"/>
      <c r="F51" s="58"/>
      <c r="G51" s="58"/>
      <c r="H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c r="AK51" s="58"/>
      <c r="AL51" s="58"/>
      <c r="AM51" s="58"/>
      <c r="AN51" s="58"/>
      <c r="AO51" s="58"/>
      <c r="AP51" s="58"/>
      <c r="AQ51" s="58"/>
      <c r="AR51" s="58"/>
      <c r="AS51" s="58"/>
      <c r="AT51" s="58"/>
      <c r="AU51" s="58"/>
      <c r="AV51" s="58"/>
      <c r="AW51" s="58"/>
      <c r="AX51" s="58"/>
      <c r="AY51" s="58"/>
      <c r="AZ51" s="58"/>
    </row>
    <row r="52" spans="1:52" hidden="1" x14ac:dyDescent="0.25">
      <c r="A52" s="58"/>
      <c r="B52" s="58"/>
      <c r="C52" s="58"/>
      <c r="D52" s="58"/>
      <c r="E52" s="58"/>
      <c r="F52" s="58"/>
      <c r="G52" s="58"/>
      <c r="H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8"/>
      <c r="AQ52" s="58"/>
      <c r="AR52" s="58"/>
      <c r="AS52" s="58"/>
      <c r="AT52" s="58"/>
      <c r="AU52" s="58"/>
      <c r="AV52" s="58"/>
      <c r="AW52" s="58"/>
      <c r="AX52" s="58"/>
      <c r="AY52" s="58"/>
      <c r="AZ52" s="58"/>
    </row>
    <row r="53" spans="1:52" hidden="1" x14ac:dyDescent="0.25">
      <c r="A53" s="58"/>
      <c r="B53" s="58"/>
      <c r="C53" s="58"/>
      <c r="D53" s="58"/>
      <c r="E53" s="58"/>
      <c r="F53" s="58"/>
      <c r="G53" s="58"/>
      <c r="H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c r="AK53" s="58"/>
      <c r="AL53" s="58"/>
      <c r="AM53" s="58"/>
      <c r="AN53" s="58"/>
      <c r="AO53" s="58"/>
      <c r="AP53" s="58"/>
      <c r="AQ53" s="58"/>
      <c r="AR53" s="58"/>
      <c r="AS53" s="58"/>
      <c r="AT53" s="58"/>
      <c r="AU53" s="58"/>
      <c r="AV53" s="58"/>
      <c r="AW53" s="58"/>
      <c r="AX53" s="58"/>
      <c r="AY53" s="58"/>
      <c r="AZ53" s="58"/>
    </row>
    <row r="54" spans="1:52" hidden="1" x14ac:dyDescent="0.25">
      <c r="A54" s="58"/>
      <c r="B54" s="58"/>
      <c r="C54" s="58"/>
      <c r="D54" s="58"/>
      <c r="E54" s="58"/>
      <c r="F54" s="58"/>
      <c r="G54" s="58"/>
      <c r="H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8"/>
      <c r="AQ54" s="58"/>
      <c r="AR54" s="58"/>
      <c r="AS54" s="58"/>
      <c r="AT54" s="58"/>
      <c r="AU54" s="58"/>
      <c r="AV54" s="58"/>
      <c r="AW54" s="58"/>
      <c r="AX54" s="58"/>
      <c r="AY54" s="58"/>
      <c r="AZ54" s="58"/>
    </row>
    <row r="55" spans="1:52" hidden="1" x14ac:dyDescent="0.25">
      <c r="A55" s="58"/>
      <c r="B55" s="58"/>
      <c r="C55" s="58"/>
      <c r="D55" s="58"/>
      <c r="E55" s="58"/>
      <c r="F55" s="58"/>
      <c r="G55" s="58"/>
      <c r="H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c r="AK55" s="58"/>
      <c r="AL55" s="58"/>
      <c r="AM55" s="58"/>
      <c r="AN55" s="58"/>
      <c r="AO55" s="58"/>
      <c r="AP55" s="58"/>
      <c r="AQ55" s="58"/>
      <c r="AR55" s="58"/>
      <c r="AS55" s="58"/>
      <c r="AT55" s="58"/>
      <c r="AU55" s="58"/>
      <c r="AV55" s="58"/>
      <c r="AW55" s="58"/>
      <c r="AX55" s="58"/>
      <c r="AY55" s="58"/>
      <c r="AZ55" s="58"/>
    </row>
    <row r="56" spans="1:52" hidden="1" x14ac:dyDescent="0.25">
      <c r="A56" s="58"/>
      <c r="B56" s="58"/>
      <c r="C56" s="58"/>
      <c r="D56" s="58"/>
      <c r="E56" s="58"/>
      <c r="F56" s="58"/>
      <c r="G56" s="58"/>
      <c r="H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8"/>
      <c r="AQ56" s="58"/>
      <c r="AR56" s="58"/>
      <c r="AS56" s="58"/>
      <c r="AT56" s="58"/>
      <c r="AU56" s="58"/>
      <c r="AV56" s="58"/>
      <c r="AW56" s="58"/>
      <c r="AX56" s="58"/>
      <c r="AY56" s="58"/>
      <c r="AZ56" s="58"/>
    </row>
    <row r="57" spans="1:52" hidden="1" x14ac:dyDescent="0.25">
      <c r="A57" s="58"/>
      <c r="B57" s="58"/>
      <c r="C57" s="58"/>
      <c r="D57" s="58"/>
      <c r="E57" s="58"/>
      <c r="F57" s="58"/>
      <c r="G57" s="58"/>
      <c r="H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c r="AV57" s="58"/>
      <c r="AW57" s="58"/>
      <c r="AX57" s="58"/>
      <c r="AY57" s="58"/>
      <c r="AZ57" s="58"/>
    </row>
    <row r="58" spans="1:52" hidden="1" x14ac:dyDescent="0.25">
      <c r="A58" s="58"/>
      <c r="B58" s="58"/>
      <c r="C58" s="58"/>
      <c r="D58" s="58"/>
      <c r="E58" s="58"/>
      <c r="F58" s="58"/>
      <c r="G58" s="58"/>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row>
    <row r="59" spans="1:52" hidden="1" x14ac:dyDescent="0.25">
      <c r="A59" s="58"/>
      <c r="B59" s="58"/>
      <c r="C59" s="58"/>
      <c r="D59" s="58"/>
      <c r="E59" s="58"/>
      <c r="F59" s="58"/>
      <c r="G59" s="58"/>
      <c r="H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c r="AO59" s="58"/>
      <c r="AP59" s="58"/>
      <c r="AQ59" s="58"/>
      <c r="AR59" s="58"/>
      <c r="AS59" s="58"/>
      <c r="AT59" s="58"/>
      <c r="AU59" s="58"/>
      <c r="AV59" s="58"/>
      <c r="AW59" s="58"/>
      <c r="AX59" s="58"/>
      <c r="AY59" s="58"/>
      <c r="AZ59" s="58"/>
    </row>
    <row r="60" spans="1:52" hidden="1" x14ac:dyDescent="0.25">
      <c r="A60" s="58"/>
      <c r="B60" s="58"/>
      <c r="C60" s="58"/>
      <c r="D60" s="58"/>
      <c r="E60" s="58"/>
      <c r="F60" s="58"/>
      <c r="G60" s="58"/>
      <c r="H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8"/>
      <c r="AQ60" s="58"/>
      <c r="AR60" s="58"/>
      <c r="AS60" s="58"/>
      <c r="AT60" s="58"/>
      <c r="AU60" s="58"/>
      <c r="AV60" s="58"/>
      <c r="AW60" s="58"/>
      <c r="AX60" s="58"/>
      <c r="AY60" s="58"/>
      <c r="AZ60" s="58"/>
    </row>
    <row r="61" spans="1:52" hidden="1" x14ac:dyDescent="0.25">
      <c r="A61" s="58"/>
      <c r="B61" s="58"/>
      <c r="C61" s="58"/>
      <c r="D61" s="58"/>
      <c r="E61" s="58"/>
      <c r="F61" s="58"/>
      <c r="G61" s="58"/>
      <c r="H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c r="AQ61" s="58"/>
      <c r="AR61" s="58"/>
      <c r="AS61" s="58"/>
      <c r="AT61" s="58"/>
      <c r="AU61" s="58"/>
      <c r="AV61" s="58"/>
      <c r="AW61" s="58"/>
      <c r="AX61" s="58"/>
      <c r="AY61" s="58"/>
      <c r="AZ61" s="58"/>
    </row>
    <row r="62" spans="1:52" hidden="1" x14ac:dyDescent="0.25">
      <c r="A62" s="58"/>
      <c r="B62" s="58"/>
      <c r="C62" s="58"/>
      <c r="D62" s="58"/>
      <c r="E62" s="58"/>
      <c r="F62" s="58"/>
      <c r="G62" s="58"/>
      <c r="H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8"/>
      <c r="AQ62" s="58"/>
      <c r="AR62" s="58"/>
      <c r="AS62" s="58"/>
      <c r="AT62" s="58"/>
      <c r="AU62" s="58"/>
      <c r="AV62" s="58"/>
      <c r="AW62" s="58"/>
      <c r="AX62" s="58"/>
      <c r="AY62" s="58"/>
      <c r="AZ62" s="58"/>
    </row>
    <row r="63" spans="1:52" hidden="1" x14ac:dyDescent="0.25">
      <c r="A63" s="58"/>
      <c r="B63" s="58"/>
      <c r="C63" s="58"/>
      <c r="D63" s="58"/>
      <c r="E63" s="58"/>
      <c r="F63" s="58"/>
      <c r="G63" s="58"/>
      <c r="H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c r="AK63" s="58"/>
      <c r="AL63" s="58"/>
      <c r="AM63" s="58"/>
      <c r="AN63" s="58"/>
      <c r="AO63" s="58"/>
      <c r="AP63" s="58"/>
      <c r="AQ63" s="58"/>
      <c r="AR63" s="58"/>
      <c r="AS63" s="58"/>
      <c r="AT63" s="58"/>
      <c r="AU63" s="58"/>
      <c r="AV63" s="58"/>
      <c r="AW63" s="58"/>
      <c r="AX63" s="58"/>
      <c r="AY63" s="58"/>
      <c r="AZ63" s="58"/>
    </row>
    <row r="64" spans="1:52" hidden="1" x14ac:dyDescent="0.25">
      <c r="A64" s="58"/>
      <c r="B64" s="58"/>
      <c r="C64" s="58"/>
      <c r="D64" s="58"/>
      <c r="E64" s="58"/>
      <c r="F64" s="58"/>
      <c r="G64" s="58"/>
      <c r="H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8"/>
      <c r="AQ64" s="58"/>
      <c r="AR64" s="58"/>
      <c r="AS64" s="58"/>
      <c r="AT64" s="58"/>
      <c r="AU64" s="58"/>
      <c r="AV64" s="58"/>
      <c r="AW64" s="58"/>
      <c r="AX64" s="58"/>
      <c r="AY64" s="58"/>
      <c r="AZ64" s="58"/>
    </row>
    <row r="65" spans="1:52" hidden="1" x14ac:dyDescent="0.25">
      <c r="A65" s="58"/>
      <c r="B65" s="58"/>
      <c r="C65" s="58"/>
      <c r="D65" s="58"/>
      <c r="E65" s="58"/>
      <c r="F65" s="58"/>
      <c r="G65" s="58"/>
      <c r="H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c r="AT65" s="58"/>
      <c r="AU65" s="58"/>
      <c r="AV65" s="58"/>
      <c r="AW65" s="58"/>
      <c r="AX65" s="58"/>
      <c r="AY65" s="58"/>
      <c r="AZ65" s="58"/>
    </row>
    <row r="66" spans="1:52" hidden="1" x14ac:dyDescent="0.25">
      <c r="A66" s="58"/>
      <c r="B66" s="58"/>
      <c r="C66" s="58"/>
      <c r="D66" s="58"/>
      <c r="E66" s="58"/>
      <c r="F66" s="58"/>
      <c r="G66" s="58"/>
      <c r="H66" s="58"/>
      <c r="I66" s="5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c r="AQ66" s="58"/>
      <c r="AR66" s="58"/>
      <c r="AS66" s="58"/>
      <c r="AT66" s="58"/>
      <c r="AU66" s="58"/>
      <c r="AV66" s="58"/>
      <c r="AW66" s="58"/>
      <c r="AX66" s="58"/>
      <c r="AY66" s="58"/>
      <c r="AZ66" s="58"/>
    </row>
    <row r="67" spans="1:52" hidden="1" x14ac:dyDescent="0.25">
      <c r="A67" s="58"/>
      <c r="B67" s="58"/>
      <c r="C67" s="58"/>
      <c r="D67" s="58"/>
      <c r="E67" s="58"/>
      <c r="F67" s="58"/>
      <c r="G67" s="58"/>
      <c r="H67" s="58"/>
      <c r="I67" s="5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c r="AQ67" s="58"/>
      <c r="AR67" s="58"/>
      <c r="AS67" s="58"/>
      <c r="AT67" s="58"/>
      <c r="AU67" s="58"/>
      <c r="AV67" s="58"/>
      <c r="AW67" s="58"/>
      <c r="AX67" s="58"/>
      <c r="AY67" s="58"/>
      <c r="AZ67" s="58"/>
    </row>
    <row r="68" spans="1:52" hidden="1" x14ac:dyDescent="0.25">
      <c r="A68" s="58"/>
      <c r="B68" s="58"/>
      <c r="C68" s="58"/>
      <c r="D68" s="58"/>
      <c r="E68" s="58"/>
      <c r="F68" s="58"/>
      <c r="G68" s="58"/>
      <c r="H68" s="58"/>
      <c r="I68" s="58"/>
      <c r="J68" s="58"/>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8"/>
      <c r="AQ68" s="58"/>
      <c r="AR68" s="58"/>
      <c r="AS68" s="58"/>
      <c r="AT68" s="58"/>
      <c r="AU68" s="58"/>
      <c r="AV68" s="58"/>
      <c r="AW68" s="58"/>
      <c r="AX68" s="58"/>
      <c r="AY68" s="58"/>
      <c r="AZ68" s="58"/>
    </row>
    <row r="69" spans="1:52" hidden="1" x14ac:dyDescent="0.25">
      <c r="A69" s="58"/>
      <c r="B69" s="58"/>
      <c r="C69" s="58"/>
      <c r="D69" s="58"/>
      <c r="E69" s="58"/>
      <c r="F69" s="58"/>
      <c r="G69" s="58"/>
      <c r="H69" s="58"/>
      <c r="I69" s="58"/>
      <c r="J69" s="58"/>
      <c r="K69" s="58"/>
      <c r="L69" s="58"/>
      <c r="M69" s="58"/>
      <c r="N69" s="58"/>
      <c r="O69" s="58"/>
      <c r="P69" s="58"/>
      <c r="Q69" s="58"/>
      <c r="R69" s="58"/>
      <c r="S69" s="58"/>
      <c r="T69" s="58"/>
      <c r="U69" s="58"/>
      <c r="V69" s="58"/>
      <c r="W69" s="58"/>
      <c r="X69" s="58"/>
      <c r="Y69" s="58"/>
      <c r="Z69" s="58"/>
      <c r="AA69" s="58"/>
      <c r="AB69" s="58"/>
      <c r="AC69" s="58"/>
      <c r="AD69" s="58"/>
      <c r="AE69" s="58"/>
      <c r="AF69" s="58"/>
      <c r="AG69" s="58"/>
      <c r="AH69" s="58"/>
      <c r="AI69" s="58"/>
      <c r="AJ69" s="58"/>
      <c r="AK69" s="58"/>
      <c r="AL69" s="58"/>
      <c r="AM69" s="58"/>
      <c r="AN69" s="58"/>
      <c r="AO69" s="58"/>
      <c r="AP69" s="58"/>
      <c r="AQ69" s="58"/>
      <c r="AR69" s="58"/>
      <c r="AS69" s="58"/>
      <c r="AT69" s="58"/>
      <c r="AU69" s="58"/>
      <c r="AV69" s="58"/>
      <c r="AW69" s="58"/>
      <c r="AX69" s="58"/>
      <c r="AY69" s="58"/>
      <c r="AZ69" s="58"/>
    </row>
    <row r="70" spans="1:52" hidden="1" x14ac:dyDescent="0.25">
      <c r="A70" s="58"/>
      <c r="B70" s="58"/>
      <c r="C70" s="58"/>
      <c r="D70" s="58"/>
      <c r="E70" s="58"/>
      <c r="F70" s="58"/>
      <c r="G70" s="58"/>
      <c r="H70" s="58"/>
      <c r="I70" s="58"/>
      <c r="J70" s="58"/>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row>
    <row r="71" spans="1:52" hidden="1" x14ac:dyDescent="0.25">
      <c r="A71" s="58"/>
      <c r="B71" s="58"/>
      <c r="C71" s="58"/>
      <c r="D71" s="58"/>
      <c r="E71" s="58"/>
      <c r="F71" s="58"/>
      <c r="G71" s="58"/>
      <c r="H71" s="58"/>
      <c r="I71" s="58"/>
      <c r="J71" s="58"/>
      <c r="K71" s="58"/>
      <c r="L71" s="58"/>
      <c r="M71" s="58"/>
      <c r="N71" s="58"/>
      <c r="O71" s="58"/>
      <c r="P71" s="58"/>
      <c r="Q71" s="58"/>
      <c r="R71" s="58"/>
      <c r="S71" s="58"/>
      <c r="T71" s="58"/>
      <c r="U71" s="58"/>
      <c r="V71" s="58"/>
      <c r="W71" s="58"/>
      <c r="X71" s="58"/>
      <c r="Y71" s="58"/>
      <c r="Z71" s="58"/>
      <c r="AA71" s="58"/>
      <c r="AB71" s="58"/>
      <c r="AC71" s="58"/>
      <c r="AD71" s="58"/>
      <c r="AE71" s="58"/>
      <c r="AF71" s="58"/>
      <c r="AG71" s="58"/>
      <c r="AH71" s="58"/>
      <c r="AI71" s="58"/>
      <c r="AJ71" s="58"/>
      <c r="AK71" s="58"/>
      <c r="AL71" s="58"/>
      <c r="AM71" s="58"/>
      <c r="AN71" s="58"/>
      <c r="AO71" s="58"/>
      <c r="AP71" s="58"/>
      <c r="AQ71" s="58"/>
      <c r="AR71" s="58"/>
      <c r="AS71" s="58"/>
      <c r="AT71" s="58"/>
      <c r="AU71" s="58"/>
      <c r="AV71" s="58"/>
      <c r="AW71" s="58"/>
      <c r="AX71" s="58"/>
      <c r="AY71" s="58"/>
      <c r="AZ71" s="58"/>
    </row>
    <row r="72" spans="1:52" hidden="1" x14ac:dyDescent="0.25">
      <c r="A72" s="58"/>
      <c r="B72" s="58"/>
      <c r="C72" s="58"/>
      <c r="D72" s="58"/>
      <c r="E72" s="58"/>
      <c r="F72" s="58"/>
      <c r="G72" s="58"/>
      <c r="H72" s="58"/>
      <c r="I72" s="58"/>
      <c r="J72" s="58"/>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8"/>
      <c r="AQ72" s="58"/>
      <c r="AR72" s="58"/>
      <c r="AS72" s="58"/>
      <c r="AT72" s="58"/>
      <c r="AU72" s="58"/>
      <c r="AV72" s="58"/>
      <c r="AW72" s="58"/>
      <c r="AX72" s="58"/>
      <c r="AY72" s="58"/>
      <c r="AZ72" s="58"/>
    </row>
    <row r="73" spans="1:52" hidden="1" x14ac:dyDescent="0.25">
      <c r="A73" s="58"/>
      <c r="B73" s="58"/>
      <c r="C73" s="58"/>
      <c r="D73" s="58"/>
      <c r="E73" s="58"/>
      <c r="F73" s="58"/>
      <c r="G73" s="58"/>
      <c r="H73" s="58"/>
      <c r="I73" s="58"/>
      <c r="J73" s="58"/>
      <c r="K73" s="58"/>
      <c r="L73" s="58"/>
      <c r="M73" s="58"/>
      <c r="N73" s="58"/>
      <c r="O73" s="58"/>
      <c r="P73" s="58"/>
      <c r="Q73" s="58"/>
      <c r="R73" s="58"/>
      <c r="S73" s="58"/>
      <c r="T73" s="58"/>
      <c r="U73" s="58"/>
      <c r="V73" s="58"/>
      <c r="W73" s="58"/>
      <c r="X73" s="58"/>
      <c r="Y73" s="58"/>
      <c r="Z73" s="58"/>
      <c r="AA73" s="58"/>
      <c r="AB73" s="58"/>
      <c r="AC73" s="58"/>
      <c r="AD73" s="58"/>
      <c r="AE73" s="58"/>
      <c r="AF73" s="58"/>
      <c r="AG73" s="58"/>
      <c r="AH73" s="58"/>
      <c r="AI73" s="58"/>
      <c r="AJ73" s="58"/>
      <c r="AK73" s="58"/>
      <c r="AL73" s="58"/>
      <c r="AM73" s="58"/>
      <c r="AN73" s="58"/>
      <c r="AO73" s="58"/>
      <c r="AP73" s="58"/>
      <c r="AQ73" s="58"/>
      <c r="AR73" s="58"/>
      <c r="AS73" s="58"/>
      <c r="AT73" s="58"/>
      <c r="AU73" s="58"/>
      <c r="AV73" s="58"/>
      <c r="AW73" s="58"/>
      <c r="AX73" s="58"/>
      <c r="AY73" s="58"/>
      <c r="AZ73" s="58"/>
    </row>
    <row r="74" spans="1:52" hidden="1" x14ac:dyDescent="0.25">
      <c r="A74" s="58"/>
      <c r="B74" s="58"/>
      <c r="C74" s="58"/>
      <c r="D74" s="58"/>
      <c r="E74" s="58"/>
      <c r="F74" s="58"/>
      <c r="G74" s="58"/>
      <c r="H74" s="58"/>
      <c r="I74" s="58"/>
      <c r="J74" s="58"/>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8"/>
      <c r="AQ74" s="58"/>
      <c r="AR74" s="58"/>
      <c r="AS74" s="58"/>
      <c r="AT74" s="58"/>
      <c r="AU74" s="58"/>
      <c r="AV74" s="58"/>
      <c r="AW74" s="58"/>
      <c r="AX74" s="58"/>
      <c r="AY74" s="58"/>
      <c r="AZ74" s="58"/>
    </row>
    <row r="75" spans="1:52" hidden="1" x14ac:dyDescent="0.25">
      <c r="A75" s="58"/>
      <c r="B75" s="58"/>
      <c r="C75" s="58"/>
      <c r="D75" s="58"/>
      <c r="E75" s="58"/>
      <c r="F75" s="58"/>
      <c r="G75" s="58"/>
      <c r="H75" s="58"/>
      <c r="I75" s="58"/>
      <c r="J75" s="58"/>
      <c r="K75" s="58"/>
      <c r="L75" s="58"/>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58"/>
      <c r="AS75" s="58"/>
      <c r="AT75" s="58"/>
      <c r="AU75" s="58"/>
      <c r="AV75" s="58"/>
      <c r="AW75" s="58"/>
      <c r="AX75" s="58"/>
      <c r="AY75" s="58"/>
      <c r="AZ75" s="58"/>
    </row>
    <row r="76" spans="1:52" hidden="1" x14ac:dyDescent="0.25">
      <c r="A76" s="58"/>
      <c r="B76" s="58"/>
      <c r="C76" s="58"/>
      <c r="D76" s="58"/>
      <c r="E76" s="58"/>
      <c r="F76" s="58"/>
      <c r="G76" s="58"/>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row>
    <row r="77" spans="1:52" hidden="1" x14ac:dyDescent="0.25">
      <c r="A77" s="58"/>
      <c r="B77" s="58"/>
      <c r="C77" s="58"/>
      <c r="D77" s="58"/>
      <c r="E77" s="58"/>
      <c r="F77" s="58"/>
      <c r="G77" s="58"/>
      <c r="H77" s="58"/>
      <c r="I77" s="58"/>
      <c r="J77" s="58"/>
      <c r="K77" s="58"/>
      <c r="L77" s="58"/>
      <c r="M77" s="58"/>
      <c r="N77" s="58"/>
      <c r="O77" s="58"/>
      <c r="P77" s="58"/>
      <c r="Q77" s="58"/>
      <c r="R77" s="58"/>
      <c r="S77" s="58"/>
      <c r="T77" s="58"/>
      <c r="U77" s="58"/>
      <c r="V77" s="58"/>
      <c r="W77" s="58"/>
      <c r="X77" s="58"/>
      <c r="Y77" s="58"/>
      <c r="Z77" s="58"/>
      <c r="AA77" s="58"/>
      <c r="AB77" s="58"/>
      <c r="AC77" s="58"/>
      <c r="AD77" s="58"/>
      <c r="AE77" s="58"/>
      <c r="AF77" s="58"/>
      <c r="AG77" s="58"/>
      <c r="AH77" s="58"/>
      <c r="AI77" s="58"/>
      <c r="AJ77" s="58"/>
      <c r="AK77" s="58"/>
      <c r="AL77" s="58"/>
      <c r="AM77" s="58"/>
      <c r="AN77" s="58"/>
      <c r="AO77" s="58"/>
      <c r="AP77" s="58"/>
      <c r="AQ77" s="58"/>
      <c r="AR77" s="58"/>
      <c r="AS77" s="58"/>
      <c r="AT77" s="58"/>
      <c r="AU77" s="58"/>
      <c r="AV77" s="58"/>
      <c r="AW77" s="58"/>
      <c r="AX77" s="58"/>
      <c r="AY77" s="58"/>
      <c r="AZ77" s="58"/>
    </row>
    <row r="78" spans="1:52" hidden="1" x14ac:dyDescent="0.25">
      <c r="A78" s="58"/>
      <c r="B78" s="58"/>
      <c r="C78" s="58"/>
      <c r="D78" s="58"/>
      <c r="E78" s="58"/>
      <c r="F78" s="58"/>
      <c r="G78" s="58"/>
      <c r="H78" s="58"/>
      <c r="I78" s="58"/>
      <c r="J78" s="58"/>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8"/>
      <c r="AQ78" s="58"/>
      <c r="AR78" s="58"/>
      <c r="AS78" s="58"/>
      <c r="AT78" s="58"/>
      <c r="AU78" s="58"/>
      <c r="AV78" s="58"/>
      <c r="AW78" s="58"/>
      <c r="AX78" s="58"/>
      <c r="AY78" s="58"/>
      <c r="AZ78" s="58"/>
    </row>
    <row r="79" spans="1:52" hidden="1" x14ac:dyDescent="0.25">
      <c r="A79" s="58"/>
      <c r="B79" s="58"/>
      <c r="C79" s="58"/>
      <c r="D79" s="58"/>
      <c r="E79" s="58"/>
      <c r="F79" s="58"/>
      <c r="G79" s="58"/>
      <c r="H79" s="58"/>
      <c r="I79" s="58"/>
      <c r="J79" s="58"/>
      <c r="K79" s="58"/>
      <c r="L79" s="58"/>
      <c r="M79" s="58"/>
      <c r="N79" s="58"/>
      <c r="O79" s="58"/>
      <c r="P79" s="58"/>
      <c r="Q79" s="58"/>
      <c r="R79" s="58"/>
      <c r="S79" s="58"/>
      <c r="T79" s="58"/>
      <c r="U79" s="58"/>
      <c r="V79" s="58"/>
      <c r="W79" s="58"/>
      <c r="X79" s="58"/>
      <c r="Y79" s="58"/>
      <c r="Z79" s="58"/>
      <c r="AA79" s="58"/>
      <c r="AB79" s="58"/>
      <c r="AC79" s="58"/>
      <c r="AD79" s="58"/>
      <c r="AE79" s="58"/>
      <c r="AF79" s="58"/>
      <c r="AG79" s="58"/>
      <c r="AH79" s="58"/>
      <c r="AI79" s="58"/>
      <c r="AJ79" s="58"/>
      <c r="AK79" s="58"/>
      <c r="AL79" s="58"/>
      <c r="AM79" s="58"/>
      <c r="AN79" s="58"/>
      <c r="AO79" s="58"/>
      <c r="AP79" s="58"/>
      <c r="AQ79" s="58"/>
      <c r="AR79" s="58"/>
      <c r="AS79" s="58"/>
      <c r="AT79" s="58"/>
      <c r="AU79" s="58"/>
      <c r="AV79" s="58"/>
      <c r="AW79" s="58"/>
      <c r="AX79" s="58"/>
      <c r="AY79" s="58"/>
      <c r="AZ79" s="58"/>
    </row>
    <row r="80" spans="1:52" hidden="1" x14ac:dyDescent="0.25">
      <c r="A80" s="58"/>
      <c r="B80" s="58"/>
      <c r="C80" s="58"/>
      <c r="D80" s="58"/>
      <c r="E80" s="58"/>
      <c r="F80" s="58"/>
      <c r="G80" s="58"/>
      <c r="H80" s="58"/>
      <c r="I80" s="58"/>
      <c r="J80" s="58"/>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8"/>
      <c r="AQ80" s="58"/>
      <c r="AR80" s="58"/>
      <c r="AS80" s="58"/>
      <c r="AT80" s="58"/>
      <c r="AU80" s="58"/>
      <c r="AV80" s="58"/>
      <c r="AW80" s="58"/>
      <c r="AX80" s="58"/>
      <c r="AY80" s="58"/>
      <c r="AZ80" s="58"/>
    </row>
    <row r="81" spans="1:52" hidden="1" x14ac:dyDescent="0.25">
      <c r="A81" s="58"/>
      <c r="B81" s="58"/>
      <c r="C81" s="58"/>
      <c r="D81" s="58"/>
      <c r="E81" s="58"/>
      <c r="F81" s="58"/>
      <c r="G81" s="58"/>
      <c r="H81" s="58"/>
      <c r="I81" s="58"/>
      <c r="J81" s="58"/>
      <c r="K81" s="58"/>
      <c r="L81" s="58"/>
      <c r="M81" s="58"/>
      <c r="N81" s="58"/>
      <c r="O81" s="58"/>
      <c r="P81" s="58"/>
      <c r="Q81" s="58"/>
      <c r="R81" s="58"/>
      <c r="S81" s="58"/>
      <c r="T81" s="58"/>
      <c r="U81" s="58"/>
      <c r="V81" s="58"/>
      <c r="W81" s="58"/>
      <c r="X81" s="58"/>
      <c r="Y81" s="58"/>
      <c r="Z81" s="58"/>
      <c r="AA81" s="58"/>
      <c r="AB81" s="58"/>
      <c r="AC81" s="58"/>
      <c r="AD81" s="58"/>
      <c r="AE81" s="58"/>
      <c r="AF81" s="58"/>
      <c r="AG81" s="58"/>
      <c r="AH81" s="58"/>
      <c r="AI81" s="58"/>
      <c r="AJ81" s="58"/>
      <c r="AK81" s="58"/>
      <c r="AL81" s="58"/>
      <c r="AM81" s="58"/>
      <c r="AN81" s="58"/>
      <c r="AO81" s="58"/>
      <c r="AP81" s="58"/>
      <c r="AQ81" s="58"/>
      <c r="AR81" s="58"/>
      <c r="AS81" s="58"/>
      <c r="AT81" s="58"/>
      <c r="AU81" s="58"/>
      <c r="AV81" s="58"/>
      <c r="AW81" s="58"/>
      <c r="AX81" s="58"/>
      <c r="AY81" s="58"/>
      <c r="AZ81" s="58"/>
    </row>
    <row r="82" spans="1:52" hidden="1" x14ac:dyDescent="0.25">
      <c r="A82" s="58"/>
      <c r="B82" s="58"/>
      <c r="C82" s="58"/>
      <c r="D82" s="58"/>
      <c r="E82" s="58"/>
      <c r="F82" s="58"/>
      <c r="G82" s="58"/>
      <c r="H82" s="58"/>
      <c r="I82" s="58"/>
      <c r="J82" s="58"/>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8"/>
      <c r="AQ82" s="58"/>
      <c r="AR82" s="58"/>
      <c r="AS82" s="58"/>
      <c r="AT82" s="58"/>
      <c r="AU82" s="58"/>
      <c r="AV82" s="58"/>
      <c r="AW82" s="58"/>
      <c r="AX82" s="58"/>
      <c r="AY82" s="58"/>
      <c r="AZ82" s="58"/>
    </row>
    <row r="83" spans="1:52" hidden="1" x14ac:dyDescent="0.25">
      <c r="A83" s="58"/>
      <c r="B83" s="58"/>
      <c r="C83" s="58"/>
      <c r="D83" s="58"/>
      <c r="E83" s="58"/>
      <c r="F83" s="58"/>
      <c r="G83" s="58"/>
      <c r="H83" s="58"/>
      <c r="I83" s="58"/>
      <c r="J83" s="58"/>
      <c r="K83" s="58"/>
      <c r="L83" s="58"/>
      <c r="M83" s="58"/>
      <c r="N83" s="58"/>
      <c r="O83" s="58"/>
      <c r="P83" s="58"/>
      <c r="Q83" s="58"/>
      <c r="R83" s="58"/>
      <c r="S83" s="58"/>
      <c r="T83" s="58"/>
      <c r="U83" s="58"/>
      <c r="V83" s="58"/>
      <c r="W83" s="58"/>
      <c r="X83" s="58"/>
      <c r="Y83" s="58"/>
      <c r="Z83" s="58"/>
      <c r="AA83" s="58"/>
      <c r="AB83" s="58"/>
      <c r="AC83" s="58"/>
      <c r="AD83" s="58"/>
      <c r="AE83" s="58"/>
      <c r="AF83" s="58"/>
      <c r="AG83" s="58"/>
      <c r="AH83" s="58"/>
      <c r="AI83" s="58"/>
      <c r="AJ83" s="58"/>
      <c r="AK83" s="58"/>
      <c r="AL83" s="58"/>
      <c r="AM83" s="58"/>
      <c r="AN83" s="58"/>
      <c r="AO83" s="58"/>
      <c r="AP83" s="58"/>
      <c r="AQ83" s="58"/>
      <c r="AR83" s="58"/>
      <c r="AS83" s="58"/>
      <c r="AT83" s="58"/>
      <c r="AU83" s="58"/>
      <c r="AV83" s="58"/>
      <c r="AW83" s="58"/>
      <c r="AX83" s="58"/>
      <c r="AY83" s="58"/>
      <c r="AZ83" s="58"/>
    </row>
    <row r="84" spans="1:52" hidden="1" x14ac:dyDescent="0.25">
      <c r="A84" s="58"/>
      <c r="B84" s="58"/>
      <c r="C84" s="58"/>
      <c r="D84" s="58"/>
      <c r="E84" s="58"/>
      <c r="F84" s="58"/>
      <c r="G84" s="58"/>
      <c r="H84" s="58"/>
      <c r="I84" s="58"/>
      <c r="J84" s="58"/>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8"/>
      <c r="AQ84" s="58"/>
      <c r="AR84" s="58"/>
      <c r="AS84" s="58"/>
      <c r="AT84" s="58"/>
      <c r="AU84" s="58"/>
      <c r="AV84" s="58"/>
      <c r="AW84" s="58"/>
      <c r="AX84" s="58"/>
      <c r="AY84" s="58"/>
      <c r="AZ84" s="58"/>
    </row>
    <row r="85" spans="1:52" hidden="1" x14ac:dyDescent="0.25">
      <c r="A85" s="58"/>
      <c r="B85" s="58"/>
      <c r="C85" s="58"/>
      <c r="D85" s="58"/>
      <c r="E85" s="58"/>
      <c r="F85" s="58"/>
      <c r="G85" s="58"/>
      <c r="H85" s="58"/>
      <c r="I85" s="58"/>
      <c r="J85" s="58"/>
      <c r="K85" s="58"/>
      <c r="L85" s="58"/>
      <c r="M85" s="58"/>
      <c r="N85" s="58"/>
      <c r="O85" s="58"/>
      <c r="P85" s="58"/>
      <c r="Q85" s="58"/>
      <c r="R85" s="58"/>
      <c r="S85" s="58"/>
      <c r="T85" s="58"/>
      <c r="U85" s="58"/>
      <c r="V85" s="58"/>
      <c r="W85" s="58"/>
      <c r="X85" s="58"/>
      <c r="Y85" s="58"/>
      <c r="Z85" s="58"/>
      <c r="AA85" s="58"/>
      <c r="AB85" s="58"/>
      <c r="AC85" s="58"/>
      <c r="AD85" s="58"/>
      <c r="AE85" s="58"/>
      <c r="AF85" s="58"/>
      <c r="AG85" s="58"/>
      <c r="AH85" s="58"/>
      <c r="AI85" s="58"/>
      <c r="AJ85" s="58"/>
      <c r="AK85" s="58"/>
      <c r="AL85" s="58"/>
      <c r="AM85" s="58"/>
      <c r="AN85" s="58"/>
      <c r="AO85" s="58"/>
      <c r="AP85" s="58"/>
      <c r="AQ85" s="58"/>
      <c r="AR85" s="58"/>
      <c r="AS85" s="58"/>
      <c r="AT85" s="58"/>
      <c r="AU85" s="58"/>
      <c r="AV85" s="58"/>
      <c r="AW85" s="58"/>
      <c r="AX85" s="58"/>
      <c r="AY85" s="58"/>
      <c r="AZ85" s="58"/>
    </row>
    <row r="86" spans="1:52" hidden="1" x14ac:dyDescent="0.25">
      <c r="A86" s="58"/>
      <c r="B86" s="58"/>
      <c r="C86" s="58"/>
      <c r="D86" s="58"/>
      <c r="E86" s="58"/>
      <c r="F86" s="58"/>
      <c r="G86" s="58"/>
      <c r="H86" s="58"/>
      <c r="I86" s="58"/>
      <c r="J86" s="58"/>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8"/>
      <c r="AQ86" s="58"/>
      <c r="AR86" s="58"/>
      <c r="AS86" s="58"/>
      <c r="AT86" s="58"/>
      <c r="AU86" s="58"/>
      <c r="AV86" s="58"/>
      <c r="AW86" s="58"/>
      <c r="AX86" s="58"/>
      <c r="AY86" s="58"/>
      <c r="AZ86" s="58"/>
    </row>
    <row r="87" spans="1:52" hidden="1" x14ac:dyDescent="0.25">
      <c r="A87" s="58"/>
      <c r="B87" s="58"/>
      <c r="C87" s="58"/>
      <c r="D87" s="58"/>
      <c r="E87" s="58"/>
      <c r="F87" s="58"/>
      <c r="G87" s="58"/>
      <c r="H87" s="58"/>
      <c r="I87" s="58"/>
      <c r="J87" s="58"/>
      <c r="K87" s="58"/>
      <c r="L87" s="58"/>
      <c r="M87" s="58"/>
      <c r="N87" s="58"/>
      <c r="O87" s="58"/>
      <c r="P87" s="58"/>
      <c r="Q87" s="58"/>
      <c r="R87" s="58"/>
      <c r="S87" s="58"/>
      <c r="T87" s="58"/>
      <c r="U87" s="58"/>
      <c r="V87" s="58"/>
      <c r="W87" s="58"/>
      <c r="X87" s="58"/>
      <c r="Y87" s="58"/>
      <c r="Z87" s="58"/>
      <c r="AA87" s="58"/>
      <c r="AB87" s="58"/>
      <c r="AC87" s="58"/>
      <c r="AD87" s="58"/>
      <c r="AE87" s="58"/>
      <c r="AF87" s="58"/>
      <c r="AG87" s="58"/>
      <c r="AH87" s="58"/>
      <c r="AI87" s="58"/>
      <c r="AJ87" s="58"/>
      <c r="AK87" s="58"/>
      <c r="AL87" s="58"/>
      <c r="AM87" s="58"/>
      <c r="AN87" s="58"/>
      <c r="AO87" s="58"/>
      <c r="AP87" s="58"/>
      <c r="AQ87" s="58"/>
      <c r="AR87" s="58"/>
      <c r="AS87" s="58"/>
      <c r="AT87" s="58"/>
      <c r="AU87" s="58"/>
      <c r="AV87" s="58"/>
      <c r="AW87" s="58"/>
      <c r="AX87" s="58"/>
      <c r="AY87" s="58"/>
      <c r="AZ87" s="58"/>
    </row>
    <row r="88" spans="1:52" hidden="1" x14ac:dyDescent="0.25">
      <c r="A88" s="58"/>
      <c r="B88" s="58"/>
      <c r="C88" s="58"/>
      <c r="D88" s="58"/>
      <c r="E88" s="58"/>
      <c r="F88" s="58"/>
      <c r="G88" s="58"/>
      <c r="H88" s="58"/>
      <c r="I88" s="58"/>
      <c r="J88" s="58"/>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row>
    <row r="89" spans="1:52" hidden="1" x14ac:dyDescent="0.25">
      <c r="A89" s="58"/>
      <c r="B89" s="58"/>
      <c r="C89" s="58"/>
      <c r="D89" s="58"/>
      <c r="E89" s="58"/>
      <c r="F89" s="58"/>
      <c r="G89" s="58"/>
      <c r="H89" s="58"/>
      <c r="I89" s="58"/>
      <c r="J89" s="58"/>
      <c r="K89" s="58"/>
      <c r="L89" s="58"/>
      <c r="M89" s="58"/>
      <c r="N89" s="58"/>
      <c r="O89" s="58"/>
      <c r="P89" s="58"/>
      <c r="Q89" s="58"/>
      <c r="R89" s="58"/>
      <c r="S89" s="58"/>
      <c r="T89" s="58"/>
      <c r="U89" s="58"/>
      <c r="V89" s="58"/>
      <c r="W89" s="58"/>
      <c r="X89" s="58"/>
      <c r="Y89" s="58"/>
      <c r="Z89" s="58"/>
      <c r="AA89" s="58"/>
      <c r="AB89" s="58"/>
      <c r="AC89" s="58"/>
      <c r="AD89" s="58"/>
      <c r="AE89" s="58"/>
      <c r="AF89" s="58"/>
      <c r="AG89" s="58"/>
      <c r="AH89" s="58"/>
      <c r="AI89" s="58"/>
      <c r="AJ89" s="58"/>
      <c r="AK89" s="58"/>
      <c r="AL89" s="58"/>
      <c r="AM89" s="58"/>
      <c r="AN89" s="58"/>
      <c r="AO89" s="58"/>
      <c r="AP89" s="58"/>
      <c r="AQ89" s="58"/>
      <c r="AR89" s="58"/>
      <c r="AS89" s="58"/>
      <c r="AT89" s="58"/>
      <c r="AU89" s="58"/>
      <c r="AV89" s="58"/>
      <c r="AW89" s="58"/>
      <c r="AX89" s="58"/>
      <c r="AY89" s="58"/>
      <c r="AZ89" s="58"/>
    </row>
    <row r="90" spans="1:52" hidden="1" x14ac:dyDescent="0.25">
      <c r="A90" s="58"/>
      <c r="B90" s="58"/>
      <c r="C90" s="58"/>
      <c r="D90" s="58"/>
      <c r="E90" s="58"/>
      <c r="F90" s="58"/>
      <c r="G90" s="58"/>
      <c r="H90" s="58"/>
      <c r="I90" s="58"/>
      <c r="J90" s="58"/>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row>
    <row r="91" spans="1:52" hidden="1" x14ac:dyDescent="0.25">
      <c r="A91" s="58"/>
      <c r="B91" s="58"/>
      <c r="C91" s="58"/>
      <c r="D91" s="58"/>
      <c r="E91" s="58"/>
      <c r="F91" s="58"/>
      <c r="G91" s="58"/>
      <c r="H91" s="58"/>
      <c r="I91" s="58"/>
      <c r="J91" s="58"/>
      <c r="K91" s="58"/>
      <c r="L91" s="58"/>
      <c r="M91" s="58"/>
      <c r="N91" s="58"/>
      <c r="O91" s="58"/>
      <c r="P91" s="58"/>
      <c r="Q91" s="58"/>
      <c r="R91" s="58"/>
      <c r="S91" s="58"/>
      <c r="T91" s="58"/>
      <c r="U91" s="58"/>
      <c r="V91" s="58"/>
      <c r="W91" s="58"/>
      <c r="X91" s="58"/>
      <c r="Y91" s="58"/>
      <c r="Z91" s="58"/>
      <c r="AA91" s="58"/>
      <c r="AB91" s="58"/>
      <c r="AC91" s="58"/>
      <c r="AD91" s="58"/>
      <c r="AE91" s="58"/>
      <c r="AF91" s="58"/>
      <c r="AG91" s="58"/>
      <c r="AH91" s="58"/>
      <c r="AI91" s="58"/>
      <c r="AJ91" s="58"/>
      <c r="AK91" s="58"/>
      <c r="AL91" s="58"/>
      <c r="AM91" s="58"/>
      <c r="AN91" s="58"/>
      <c r="AO91" s="58"/>
      <c r="AP91" s="58"/>
      <c r="AQ91" s="58"/>
      <c r="AR91" s="58"/>
      <c r="AS91" s="58"/>
      <c r="AT91" s="58"/>
      <c r="AU91" s="58"/>
      <c r="AV91" s="58"/>
      <c r="AW91" s="58"/>
      <c r="AX91" s="58"/>
      <c r="AY91" s="58"/>
      <c r="AZ91" s="58"/>
    </row>
    <row r="92" spans="1:52" hidden="1" x14ac:dyDescent="0.25">
      <c r="A92" s="58"/>
      <c r="B92" s="58"/>
      <c r="C92" s="58"/>
      <c r="D92" s="58"/>
      <c r="E92" s="58"/>
      <c r="F92" s="58"/>
      <c r="G92" s="58"/>
      <c r="H92" s="58"/>
      <c r="I92" s="58"/>
      <c r="J92" s="58"/>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8"/>
      <c r="AQ92" s="58"/>
      <c r="AR92" s="58"/>
      <c r="AS92" s="58"/>
      <c r="AT92" s="58"/>
      <c r="AU92" s="58"/>
      <c r="AV92" s="58"/>
      <c r="AW92" s="58"/>
      <c r="AX92" s="58"/>
      <c r="AY92" s="58"/>
      <c r="AZ92" s="58"/>
    </row>
    <row r="93" spans="1:52" hidden="1" x14ac:dyDescent="0.25">
      <c r="A93" s="58"/>
      <c r="B93" s="58"/>
      <c r="C93" s="58"/>
      <c r="D93" s="58"/>
      <c r="E93" s="58"/>
      <c r="F93" s="58"/>
      <c r="G93" s="58"/>
      <c r="H93" s="58"/>
      <c r="I93" s="58"/>
      <c r="J93" s="58"/>
      <c r="K93" s="58"/>
      <c r="L93" s="58"/>
      <c r="M93" s="58"/>
      <c r="N93" s="58"/>
      <c r="O93" s="58"/>
      <c r="P93" s="58"/>
      <c r="Q93" s="58"/>
      <c r="R93" s="58"/>
      <c r="S93" s="58"/>
      <c r="T93" s="58"/>
      <c r="U93" s="58"/>
      <c r="V93" s="58"/>
      <c r="W93" s="58"/>
      <c r="X93" s="58"/>
      <c r="Y93" s="58"/>
      <c r="Z93" s="58"/>
      <c r="AA93" s="58"/>
      <c r="AB93" s="58"/>
      <c r="AC93" s="58"/>
      <c r="AD93" s="58"/>
      <c r="AE93" s="58"/>
      <c r="AF93" s="58"/>
      <c r="AG93" s="58"/>
      <c r="AH93" s="58"/>
      <c r="AI93" s="58"/>
      <c r="AJ93" s="58"/>
      <c r="AK93" s="58"/>
      <c r="AL93" s="58"/>
      <c r="AM93" s="58"/>
      <c r="AN93" s="58"/>
      <c r="AO93" s="58"/>
      <c r="AP93" s="58"/>
      <c r="AQ93" s="58"/>
      <c r="AR93" s="58"/>
      <c r="AS93" s="58"/>
      <c r="AT93" s="58"/>
      <c r="AU93" s="58"/>
      <c r="AV93" s="58"/>
      <c r="AW93" s="58"/>
      <c r="AX93" s="58"/>
      <c r="AY93" s="58"/>
      <c r="AZ93" s="58"/>
    </row>
    <row r="94" spans="1:52" hidden="1" x14ac:dyDescent="0.25">
      <c r="A94" s="58"/>
      <c r="B94" s="58"/>
      <c r="C94" s="58"/>
      <c r="D94" s="58"/>
      <c r="E94" s="58"/>
      <c r="F94" s="58"/>
      <c r="G94" s="58"/>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row>
    <row r="95" spans="1:52" hidden="1" x14ac:dyDescent="0.25">
      <c r="A95" s="58"/>
      <c r="B95" s="58"/>
      <c r="C95" s="58"/>
      <c r="D95" s="58"/>
      <c r="E95" s="58"/>
      <c r="F95" s="58"/>
      <c r="G95" s="58"/>
      <c r="H95" s="58"/>
      <c r="I95" s="58"/>
      <c r="J95" s="58"/>
      <c r="K95" s="58"/>
      <c r="L95" s="58"/>
      <c r="M95" s="58"/>
      <c r="N95" s="58"/>
      <c r="O95" s="58"/>
      <c r="P95" s="58"/>
      <c r="Q95" s="58"/>
      <c r="R95" s="58"/>
      <c r="S95" s="58"/>
      <c r="T95" s="58"/>
      <c r="U95" s="58"/>
      <c r="V95" s="58"/>
      <c r="W95" s="58"/>
      <c r="X95" s="58"/>
      <c r="Y95" s="58"/>
      <c r="Z95" s="58"/>
      <c r="AA95" s="58"/>
      <c r="AB95" s="58"/>
      <c r="AC95" s="58"/>
      <c r="AD95" s="58"/>
      <c r="AE95" s="58"/>
      <c r="AF95" s="58"/>
      <c r="AG95" s="58"/>
      <c r="AH95" s="58"/>
      <c r="AI95" s="58"/>
      <c r="AJ95" s="58"/>
      <c r="AK95" s="58"/>
      <c r="AL95" s="58"/>
      <c r="AM95" s="58"/>
      <c r="AN95" s="58"/>
      <c r="AO95" s="58"/>
      <c r="AP95" s="58"/>
      <c r="AQ95" s="58"/>
      <c r="AR95" s="58"/>
      <c r="AS95" s="58"/>
      <c r="AT95" s="58"/>
      <c r="AU95" s="58"/>
      <c r="AV95" s="58"/>
      <c r="AW95" s="58"/>
      <c r="AX95" s="58"/>
      <c r="AY95" s="58"/>
      <c r="AZ95" s="58"/>
    </row>
    <row r="96" spans="1:52" hidden="1" x14ac:dyDescent="0.25">
      <c r="A96" s="58"/>
      <c r="B96" s="58"/>
      <c r="C96" s="58"/>
      <c r="D96" s="58"/>
      <c r="E96" s="58"/>
      <c r="F96" s="58"/>
      <c r="G96" s="58"/>
      <c r="H96" s="58"/>
      <c r="I96" s="58"/>
      <c r="J96" s="58"/>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8"/>
      <c r="AQ96" s="58"/>
      <c r="AR96" s="58"/>
      <c r="AS96" s="58"/>
      <c r="AT96" s="58"/>
      <c r="AU96" s="58"/>
      <c r="AV96" s="58"/>
      <c r="AW96" s="58"/>
      <c r="AX96" s="58"/>
      <c r="AY96" s="58"/>
      <c r="AZ96" s="58"/>
    </row>
    <row r="97" spans="1:52" hidden="1" x14ac:dyDescent="0.25">
      <c r="A97" s="58"/>
      <c r="B97" s="58"/>
      <c r="C97" s="58"/>
      <c r="D97" s="58"/>
      <c r="E97" s="58"/>
      <c r="F97" s="58"/>
      <c r="G97" s="58"/>
      <c r="H97" s="58"/>
      <c r="I97" s="58"/>
      <c r="J97" s="58"/>
      <c r="K97" s="58"/>
      <c r="L97" s="58"/>
      <c r="M97" s="58"/>
      <c r="N97" s="58"/>
      <c r="O97" s="58"/>
      <c r="P97" s="58"/>
      <c r="Q97" s="58"/>
      <c r="R97" s="58"/>
      <c r="S97" s="58"/>
      <c r="T97" s="58"/>
      <c r="U97" s="58"/>
      <c r="V97" s="58"/>
      <c r="W97" s="58"/>
      <c r="X97" s="58"/>
      <c r="Y97" s="58"/>
      <c r="Z97" s="58"/>
      <c r="AA97" s="58"/>
      <c r="AB97" s="58"/>
      <c r="AC97" s="58"/>
      <c r="AD97" s="58"/>
      <c r="AE97" s="58"/>
      <c r="AF97" s="58"/>
      <c r="AG97" s="58"/>
      <c r="AH97" s="58"/>
      <c r="AI97" s="58"/>
      <c r="AJ97" s="58"/>
      <c r="AK97" s="58"/>
      <c r="AL97" s="58"/>
      <c r="AM97" s="58"/>
      <c r="AN97" s="58"/>
      <c r="AO97" s="58"/>
      <c r="AP97" s="58"/>
      <c r="AQ97" s="58"/>
      <c r="AR97" s="58"/>
      <c r="AS97" s="58"/>
      <c r="AT97" s="58"/>
      <c r="AU97" s="58"/>
      <c r="AV97" s="58"/>
      <c r="AW97" s="58"/>
      <c r="AX97" s="58"/>
      <c r="AY97" s="58"/>
      <c r="AZ97" s="58"/>
    </row>
    <row r="98" spans="1:52" hidden="1" x14ac:dyDescent="0.25">
      <c r="A98" s="58"/>
      <c r="B98" s="58"/>
      <c r="C98" s="58"/>
      <c r="D98" s="58"/>
      <c r="E98" s="58"/>
      <c r="F98" s="58"/>
      <c r="G98" s="58"/>
      <c r="H98" s="58"/>
      <c r="I98" s="58"/>
      <c r="J98" s="58"/>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8"/>
      <c r="AQ98" s="58"/>
      <c r="AR98" s="58"/>
      <c r="AS98" s="58"/>
      <c r="AT98" s="58"/>
      <c r="AU98" s="58"/>
      <c r="AV98" s="58"/>
      <c r="AW98" s="58"/>
      <c r="AX98" s="58"/>
      <c r="AY98" s="58"/>
      <c r="AZ98" s="58"/>
    </row>
    <row r="99" spans="1:52" hidden="1" x14ac:dyDescent="0.25">
      <c r="A99" s="58"/>
      <c r="B99" s="58"/>
      <c r="C99" s="58"/>
      <c r="D99" s="58"/>
      <c r="E99" s="58"/>
      <c r="F99" s="58"/>
      <c r="G99" s="58"/>
      <c r="H99" s="58"/>
      <c r="I99" s="58"/>
      <c r="J99" s="58"/>
      <c r="K99" s="58"/>
      <c r="L99" s="58"/>
      <c r="M99" s="58"/>
      <c r="N99" s="58"/>
      <c r="O99" s="58"/>
      <c r="P99" s="58"/>
      <c r="Q99" s="58"/>
      <c r="R99" s="58"/>
      <c r="S99" s="58"/>
      <c r="T99" s="58"/>
      <c r="U99" s="58"/>
      <c r="V99" s="58"/>
      <c r="W99" s="58"/>
      <c r="X99" s="58"/>
      <c r="Y99" s="58"/>
      <c r="Z99" s="58"/>
      <c r="AA99" s="58"/>
      <c r="AB99" s="58"/>
      <c r="AC99" s="58"/>
      <c r="AD99" s="58"/>
      <c r="AE99" s="58"/>
      <c r="AF99" s="58"/>
      <c r="AG99" s="58"/>
      <c r="AH99" s="58"/>
      <c r="AI99" s="58"/>
      <c r="AJ99" s="58"/>
      <c r="AK99" s="58"/>
      <c r="AL99" s="58"/>
      <c r="AM99" s="58"/>
      <c r="AN99" s="58"/>
      <c r="AO99" s="58"/>
      <c r="AP99" s="58"/>
      <c r="AQ99" s="58"/>
      <c r="AR99" s="58"/>
      <c r="AS99" s="58"/>
      <c r="AT99" s="58"/>
      <c r="AU99" s="58"/>
      <c r="AV99" s="58"/>
      <c r="AW99" s="58"/>
      <c r="AX99" s="58"/>
      <c r="AY99" s="58"/>
      <c r="AZ99" s="58"/>
    </row>
    <row r="100" spans="1:52" hidden="1" x14ac:dyDescent="0.25">
      <c r="A100" s="58"/>
      <c r="B100" s="58"/>
      <c r="C100" s="58"/>
      <c r="D100" s="58"/>
      <c r="E100" s="58"/>
      <c r="F100" s="58"/>
      <c r="G100" s="58"/>
      <c r="H100" s="58"/>
      <c r="I100" s="58"/>
      <c r="J100" s="58"/>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8"/>
      <c r="AQ100" s="58"/>
      <c r="AR100" s="58"/>
      <c r="AS100" s="58"/>
      <c r="AT100" s="58"/>
      <c r="AU100" s="58"/>
      <c r="AV100" s="58"/>
      <c r="AW100" s="58"/>
      <c r="AX100" s="58"/>
      <c r="AY100" s="58"/>
      <c r="AZ100" s="58"/>
    </row>
    <row r="101" spans="1:52" hidden="1" x14ac:dyDescent="0.25">
      <c r="A101" s="58"/>
      <c r="B101" s="58"/>
      <c r="C101" s="58"/>
      <c r="D101" s="58"/>
      <c r="E101" s="58"/>
      <c r="F101" s="58"/>
      <c r="G101" s="58"/>
      <c r="H101" s="58"/>
      <c r="I101" s="58"/>
      <c r="J101" s="58"/>
      <c r="K101" s="58"/>
      <c r="L101" s="58"/>
      <c r="M101" s="58"/>
      <c r="N101" s="58"/>
      <c r="O101" s="58"/>
      <c r="P101" s="58"/>
      <c r="Q101" s="58"/>
      <c r="R101" s="58"/>
      <c r="S101" s="58"/>
      <c r="T101" s="58"/>
      <c r="U101" s="58"/>
      <c r="V101" s="58"/>
      <c r="W101" s="58"/>
      <c r="X101" s="58"/>
      <c r="Y101" s="58"/>
      <c r="Z101" s="58"/>
      <c r="AA101" s="58"/>
      <c r="AB101" s="58"/>
      <c r="AC101" s="58"/>
      <c r="AD101" s="58"/>
      <c r="AE101" s="58"/>
      <c r="AF101" s="58"/>
      <c r="AG101" s="58"/>
      <c r="AH101" s="58"/>
      <c r="AI101" s="58"/>
      <c r="AJ101" s="58"/>
      <c r="AK101" s="58"/>
      <c r="AL101" s="58"/>
      <c r="AM101" s="58"/>
      <c r="AN101" s="58"/>
      <c r="AO101" s="58"/>
      <c r="AP101" s="58"/>
      <c r="AQ101" s="58"/>
      <c r="AR101" s="58"/>
      <c r="AS101" s="58"/>
      <c r="AT101" s="58"/>
      <c r="AU101" s="58"/>
      <c r="AV101" s="58"/>
      <c r="AW101" s="58"/>
      <c r="AX101" s="58"/>
      <c r="AY101" s="58"/>
      <c r="AZ101" s="58"/>
    </row>
    <row r="102" spans="1:52" hidden="1" x14ac:dyDescent="0.25">
      <c r="A102" s="58"/>
      <c r="B102" s="58"/>
      <c r="C102" s="58"/>
      <c r="D102" s="58"/>
      <c r="E102" s="58"/>
      <c r="F102" s="58"/>
      <c r="G102" s="58"/>
      <c r="H102" s="58"/>
      <c r="I102" s="58"/>
      <c r="J102" s="58"/>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8"/>
      <c r="AQ102" s="58"/>
      <c r="AR102" s="58"/>
      <c r="AS102" s="58"/>
      <c r="AT102" s="58"/>
      <c r="AU102" s="58"/>
      <c r="AV102" s="58"/>
      <c r="AW102" s="58"/>
      <c r="AX102" s="58"/>
      <c r="AY102" s="58"/>
      <c r="AZ102" s="58"/>
    </row>
    <row r="103" spans="1:52" hidden="1" x14ac:dyDescent="0.25">
      <c r="A103" s="58"/>
      <c r="B103" s="58"/>
      <c r="C103" s="58"/>
      <c r="D103" s="58"/>
      <c r="E103" s="58"/>
      <c r="F103" s="58"/>
      <c r="G103" s="58"/>
      <c r="H103" s="58"/>
      <c r="I103" s="58"/>
      <c r="J103" s="58"/>
      <c r="K103" s="58"/>
      <c r="L103" s="58"/>
      <c r="M103" s="58"/>
      <c r="N103" s="58"/>
      <c r="O103" s="58"/>
      <c r="P103" s="58"/>
      <c r="Q103" s="58"/>
      <c r="R103" s="58"/>
      <c r="S103" s="58"/>
      <c r="T103" s="58"/>
      <c r="U103" s="58"/>
      <c r="V103" s="58"/>
      <c r="W103" s="58"/>
      <c r="X103" s="58"/>
      <c r="Y103" s="58"/>
      <c r="Z103" s="58"/>
      <c r="AA103" s="58"/>
      <c r="AB103" s="58"/>
      <c r="AC103" s="58"/>
      <c r="AD103" s="58"/>
      <c r="AE103" s="58"/>
      <c r="AF103" s="58"/>
      <c r="AG103" s="58"/>
      <c r="AH103" s="58"/>
      <c r="AI103" s="58"/>
      <c r="AJ103" s="58"/>
      <c r="AK103" s="58"/>
      <c r="AL103" s="58"/>
      <c r="AM103" s="58"/>
      <c r="AN103" s="58"/>
      <c r="AO103" s="58"/>
      <c r="AP103" s="58"/>
      <c r="AQ103" s="58"/>
      <c r="AR103" s="58"/>
      <c r="AS103" s="58"/>
      <c r="AT103" s="58"/>
      <c r="AU103" s="58"/>
      <c r="AV103" s="58"/>
      <c r="AW103" s="58"/>
      <c r="AX103" s="58"/>
      <c r="AY103" s="58"/>
      <c r="AZ103" s="58"/>
    </row>
    <row r="104" spans="1:52" hidden="1" x14ac:dyDescent="0.25">
      <c r="A104" s="58"/>
      <c r="B104" s="58"/>
      <c r="C104" s="58"/>
      <c r="D104" s="58"/>
      <c r="E104" s="58"/>
      <c r="F104" s="58"/>
      <c r="G104" s="58"/>
      <c r="H104" s="58"/>
      <c r="I104" s="58"/>
      <c r="J104" s="58"/>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8"/>
      <c r="AQ104" s="58"/>
      <c r="AR104" s="58"/>
      <c r="AS104" s="58"/>
      <c r="AT104" s="58"/>
      <c r="AU104" s="58"/>
      <c r="AV104" s="58"/>
      <c r="AW104" s="58"/>
      <c r="AX104" s="58"/>
      <c r="AY104" s="58"/>
      <c r="AZ104" s="58"/>
    </row>
    <row r="105" spans="1:52" hidden="1" x14ac:dyDescent="0.25">
      <c r="A105" s="58"/>
      <c r="B105" s="58"/>
      <c r="C105" s="58"/>
      <c r="D105" s="58"/>
      <c r="E105" s="58"/>
      <c r="F105" s="58"/>
      <c r="G105" s="58"/>
      <c r="H105" s="58"/>
      <c r="I105" s="58"/>
      <c r="J105" s="58"/>
      <c r="K105" s="58"/>
      <c r="L105" s="58"/>
      <c r="M105" s="58"/>
      <c r="N105" s="58"/>
      <c r="O105" s="58"/>
      <c r="P105" s="58"/>
      <c r="Q105" s="58"/>
      <c r="R105" s="58"/>
      <c r="S105" s="58"/>
      <c r="T105" s="58"/>
      <c r="U105" s="58"/>
      <c r="V105" s="58"/>
      <c r="W105" s="58"/>
      <c r="X105" s="58"/>
      <c r="Y105" s="58"/>
      <c r="Z105" s="58"/>
      <c r="AA105" s="58"/>
      <c r="AB105" s="58"/>
      <c r="AC105" s="58"/>
      <c r="AD105" s="58"/>
      <c r="AE105" s="58"/>
      <c r="AF105" s="58"/>
      <c r="AG105" s="58"/>
      <c r="AH105" s="58"/>
      <c r="AI105" s="58"/>
      <c r="AJ105" s="58"/>
      <c r="AK105" s="58"/>
      <c r="AL105" s="58"/>
      <c r="AM105" s="58"/>
      <c r="AN105" s="58"/>
      <c r="AO105" s="58"/>
      <c r="AP105" s="58"/>
      <c r="AQ105" s="58"/>
      <c r="AR105" s="58"/>
      <c r="AS105" s="58"/>
      <c r="AT105" s="58"/>
      <c r="AU105" s="58"/>
      <c r="AV105" s="58"/>
      <c r="AW105" s="58"/>
      <c r="AX105" s="58"/>
      <c r="AY105" s="58"/>
      <c r="AZ105" s="58"/>
    </row>
    <row r="106" spans="1:52" hidden="1" x14ac:dyDescent="0.25">
      <c r="A106" s="58"/>
      <c r="B106" s="58"/>
      <c r="C106" s="58"/>
      <c r="D106" s="58"/>
      <c r="E106" s="58"/>
      <c r="F106" s="58"/>
      <c r="G106" s="58"/>
      <c r="H106" s="58"/>
      <c r="I106" s="58"/>
      <c r="J106" s="58"/>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8"/>
      <c r="AQ106" s="58"/>
      <c r="AR106" s="58"/>
      <c r="AS106" s="58"/>
      <c r="AT106" s="58"/>
      <c r="AU106" s="58"/>
      <c r="AV106" s="58"/>
      <c r="AW106" s="58"/>
      <c r="AX106" s="58"/>
      <c r="AY106" s="58"/>
      <c r="AZ106" s="58"/>
    </row>
    <row r="107" spans="1:52" hidden="1" x14ac:dyDescent="0.25">
      <c r="A107" s="58"/>
      <c r="B107" s="58"/>
      <c r="C107" s="58"/>
      <c r="D107" s="58"/>
      <c r="E107" s="58"/>
      <c r="F107" s="58"/>
      <c r="G107" s="58"/>
      <c r="H107" s="58"/>
      <c r="I107" s="58"/>
      <c r="J107" s="58"/>
      <c r="K107" s="58"/>
      <c r="L107" s="58"/>
      <c r="M107" s="58"/>
      <c r="N107" s="58"/>
      <c r="O107" s="58"/>
      <c r="P107" s="58"/>
      <c r="Q107" s="58"/>
      <c r="R107" s="58"/>
      <c r="S107" s="58"/>
      <c r="T107" s="58"/>
      <c r="U107" s="58"/>
      <c r="V107" s="58"/>
      <c r="W107" s="58"/>
      <c r="X107" s="58"/>
      <c r="Y107" s="58"/>
      <c r="Z107" s="58"/>
      <c r="AA107" s="58"/>
      <c r="AB107" s="58"/>
      <c r="AC107" s="58"/>
      <c r="AD107" s="58"/>
      <c r="AE107" s="58"/>
      <c r="AF107" s="58"/>
      <c r="AG107" s="58"/>
      <c r="AH107" s="58"/>
      <c r="AI107" s="58"/>
      <c r="AJ107" s="58"/>
      <c r="AK107" s="58"/>
      <c r="AL107" s="58"/>
      <c r="AM107" s="58"/>
      <c r="AN107" s="58"/>
      <c r="AO107" s="58"/>
      <c r="AP107" s="58"/>
      <c r="AQ107" s="58"/>
      <c r="AR107" s="58"/>
      <c r="AS107" s="58"/>
      <c r="AT107" s="58"/>
      <c r="AU107" s="58"/>
      <c r="AV107" s="58"/>
      <c r="AW107" s="58"/>
      <c r="AX107" s="58"/>
      <c r="AY107" s="58"/>
      <c r="AZ107" s="58"/>
    </row>
    <row r="108" spans="1:52" hidden="1" x14ac:dyDescent="0.25">
      <c r="A108" s="58"/>
      <c r="B108" s="58"/>
      <c r="C108" s="58"/>
      <c r="D108" s="58"/>
      <c r="E108" s="58"/>
      <c r="F108" s="58"/>
      <c r="G108" s="58"/>
      <c r="H108" s="58"/>
      <c r="I108" s="58"/>
      <c r="J108" s="58"/>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8"/>
      <c r="AQ108" s="58"/>
      <c r="AR108" s="58"/>
      <c r="AS108" s="58"/>
      <c r="AT108" s="58"/>
      <c r="AU108" s="58"/>
      <c r="AV108" s="58"/>
      <c r="AW108" s="58"/>
      <c r="AX108" s="58"/>
      <c r="AY108" s="58"/>
      <c r="AZ108" s="58"/>
    </row>
    <row r="109" spans="1:52" hidden="1" x14ac:dyDescent="0.25">
      <c r="A109" s="58"/>
      <c r="B109" s="58"/>
      <c r="C109" s="58"/>
      <c r="D109" s="58"/>
      <c r="E109" s="58"/>
      <c r="F109" s="58"/>
      <c r="G109" s="58"/>
      <c r="H109" s="58"/>
      <c r="I109" s="58"/>
      <c r="J109" s="58"/>
      <c r="K109" s="58"/>
      <c r="L109" s="58"/>
      <c r="M109" s="58"/>
      <c r="N109" s="58"/>
      <c r="O109" s="58"/>
      <c r="P109" s="58"/>
      <c r="Q109" s="58"/>
      <c r="R109" s="58"/>
      <c r="S109" s="58"/>
      <c r="T109" s="58"/>
      <c r="U109" s="58"/>
      <c r="V109" s="58"/>
      <c r="W109" s="58"/>
      <c r="X109" s="58"/>
      <c r="Y109" s="58"/>
      <c r="Z109" s="58"/>
      <c r="AA109" s="58"/>
      <c r="AB109" s="58"/>
      <c r="AC109" s="58"/>
      <c r="AD109" s="58"/>
      <c r="AE109" s="58"/>
      <c r="AF109" s="58"/>
      <c r="AG109" s="58"/>
      <c r="AH109" s="58"/>
      <c r="AI109" s="58"/>
      <c r="AJ109" s="58"/>
      <c r="AK109" s="58"/>
      <c r="AL109" s="58"/>
      <c r="AM109" s="58"/>
      <c r="AN109" s="58"/>
      <c r="AO109" s="58"/>
      <c r="AP109" s="58"/>
      <c r="AQ109" s="58"/>
      <c r="AR109" s="58"/>
      <c r="AS109" s="58"/>
      <c r="AT109" s="58"/>
      <c r="AU109" s="58"/>
      <c r="AV109" s="58"/>
      <c r="AW109" s="58"/>
      <c r="AX109" s="58"/>
      <c r="AY109" s="58"/>
      <c r="AZ109" s="58"/>
    </row>
    <row r="110" spans="1:52" hidden="1" x14ac:dyDescent="0.25">
      <c r="A110" s="58"/>
      <c r="B110" s="58"/>
      <c r="C110" s="58"/>
      <c r="D110" s="58"/>
      <c r="E110" s="58"/>
      <c r="F110" s="58"/>
      <c r="G110" s="58"/>
      <c r="H110" s="58"/>
      <c r="I110" s="58"/>
      <c r="J110" s="58"/>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row>
    <row r="111" spans="1:52" hidden="1" x14ac:dyDescent="0.25">
      <c r="A111" s="58"/>
      <c r="B111" s="58"/>
      <c r="C111" s="58"/>
      <c r="D111" s="58"/>
      <c r="E111" s="58"/>
      <c r="F111" s="58"/>
      <c r="G111" s="58"/>
      <c r="H111" s="58"/>
      <c r="I111" s="58"/>
      <c r="J111" s="58"/>
      <c r="K111" s="58"/>
      <c r="L111" s="58"/>
      <c r="M111" s="58"/>
      <c r="N111" s="58"/>
      <c r="O111" s="58"/>
      <c r="P111" s="58"/>
      <c r="Q111" s="58"/>
      <c r="R111" s="58"/>
      <c r="S111" s="58"/>
      <c r="T111" s="58"/>
      <c r="U111" s="58"/>
      <c r="V111" s="58"/>
      <c r="W111" s="58"/>
      <c r="X111" s="58"/>
      <c r="Y111" s="58"/>
      <c r="Z111" s="58"/>
      <c r="AA111" s="58"/>
      <c r="AB111" s="58"/>
      <c r="AC111" s="58"/>
      <c r="AD111" s="58"/>
      <c r="AE111" s="58"/>
      <c r="AF111" s="58"/>
      <c r="AG111" s="58"/>
      <c r="AH111" s="58"/>
      <c r="AI111" s="58"/>
      <c r="AJ111" s="58"/>
      <c r="AK111" s="58"/>
      <c r="AL111" s="58"/>
      <c r="AM111" s="58"/>
      <c r="AN111" s="58"/>
      <c r="AO111" s="58"/>
      <c r="AP111" s="58"/>
      <c r="AQ111" s="58"/>
      <c r="AR111" s="58"/>
      <c r="AS111" s="58"/>
      <c r="AT111" s="58"/>
      <c r="AU111" s="58"/>
      <c r="AV111" s="58"/>
      <c r="AW111" s="58"/>
      <c r="AX111" s="58"/>
      <c r="AY111" s="58"/>
      <c r="AZ111" s="58"/>
    </row>
    <row r="112" spans="1:52" hidden="1" x14ac:dyDescent="0.25">
      <c r="A112" s="58"/>
      <c r="B112" s="58"/>
      <c r="C112" s="58"/>
      <c r="D112" s="58"/>
      <c r="E112" s="58"/>
      <c r="F112" s="58"/>
      <c r="G112" s="58"/>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row>
    <row r="113" spans="1:52" hidden="1" x14ac:dyDescent="0.25">
      <c r="A113" s="58"/>
      <c r="B113" s="58"/>
      <c r="C113" s="58"/>
      <c r="D113" s="58"/>
      <c r="E113" s="58"/>
      <c r="F113" s="58"/>
      <c r="G113" s="58"/>
      <c r="H113" s="58"/>
      <c r="I113" s="58"/>
      <c r="J113" s="58"/>
      <c r="K113" s="58"/>
      <c r="L113" s="58"/>
      <c r="M113" s="58"/>
      <c r="N113" s="58"/>
      <c r="O113" s="58"/>
      <c r="P113" s="58"/>
      <c r="Q113" s="58"/>
      <c r="R113" s="58"/>
      <c r="S113" s="58"/>
      <c r="T113" s="58"/>
      <c r="U113" s="58"/>
      <c r="V113" s="58"/>
      <c r="W113" s="58"/>
      <c r="X113" s="58"/>
      <c r="Y113" s="58"/>
      <c r="Z113" s="58"/>
      <c r="AA113" s="58"/>
      <c r="AB113" s="58"/>
      <c r="AC113" s="58"/>
      <c r="AD113" s="58"/>
      <c r="AE113" s="58"/>
      <c r="AF113" s="58"/>
      <c r="AG113" s="58"/>
      <c r="AH113" s="58"/>
      <c r="AI113" s="58"/>
      <c r="AJ113" s="58"/>
      <c r="AK113" s="58"/>
      <c r="AL113" s="58"/>
      <c r="AM113" s="58"/>
      <c r="AN113" s="58"/>
      <c r="AO113" s="58"/>
      <c r="AP113" s="58"/>
      <c r="AQ113" s="58"/>
      <c r="AR113" s="58"/>
      <c r="AS113" s="58"/>
      <c r="AT113" s="58"/>
      <c r="AU113" s="58"/>
      <c r="AV113" s="58"/>
      <c r="AW113" s="58"/>
      <c r="AX113" s="58"/>
      <c r="AY113" s="58"/>
      <c r="AZ113" s="58"/>
    </row>
    <row r="114" spans="1:52" hidden="1" x14ac:dyDescent="0.25">
      <c r="A114" s="58"/>
      <c r="B114" s="58"/>
      <c r="C114" s="58"/>
      <c r="D114" s="58"/>
      <c r="E114" s="58"/>
      <c r="F114" s="58"/>
      <c r="G114" s="58"/>
      <c r="H114" s="58"/>
      <c r="I114" s="58"/>
      <c r="J114" s="58"/>
      <c r="K114" s="58"/>
      <c r="L114" s="58"/>
      <c r="M114" s="58"/>
      <c r="N114" s="58"/>
      <c r="O114" s="58"/>
      <c r="P114" s="58"/>
      <c r="Q114" s="58"/>
      <c r="R114" s="58"/>
      <c r="S114" s="58"/>
      <c r="T114" s="58"/>
      <c r="U114" s="58"/>
      <c r="V114" s="58"/>
      <c r="W114" s="58"/>
      <c r="X114" s="58"/>
      <c r="Y114" s="58"/>
      <c r="Z114" s="58"/>
      <c r="AA114" s="58"/>
      <c r="AB114" s="58"/>
      <c r="AC114" s="58"/>
      <c r="AD114" s="58"/>
      <c r="AE114" s="58"/>
      <c r="AF114" s="58"/>
      <c r="AG114" s="58"/>
      <c r="AH114" s="58"/>
      <c r="AI114" s="58"/>
      <c r="AJ114" s="58"/>
      <c r="AK114" s="58"/>
      <c r="AL114" s="58"/>
      <c r="AM114" s="58"/>
      <c r="AN114" s="58"/>
      <c r="AO114" s="58"/>
      <c r="AP114" s="58"/>
      <c r="AQ114" s="58"/>
      <c r="AR114" s="58"/>
      <c r="AS114" s="58"/>
      <c r="AT114" s="58"/>
      <c r="AU114" s="58"/>
      <c r="AV114" s="58"/>
      <c r="AW114" s="58"/>
      <c r="AX114" s="58"/>
      <c r="AY114" s="58"/>
      <c r="AZ114" s="58"/>
    </row>
    <row r="115" spans="1:52" hidden="1" x14ac:dyDescent="0.25">
      <c r="A115" s="58"/>
      <c r="B115" s="58"/>
      <c r="C115" s="58"/>
      <c r="D115" s="58"/>
      <c r="E115" s="58"/>
      <c r="F115" s="58"/>
      <c r="G115" s="58"/>
      <c r="H115" s="58"/>
      <c r="I115" s="58"/>
      <c r="J115" s="58"/>
      <c r="K115" s="58"/>
      <c r="L115" s="58"/>
      <c r="M115" s="58"/>
      <c r="N115" s="58"/>
      <c r="O115" s="58"/>
      <c r="P115" s="58"/>
      <c r="Q115" s="58"/>
      <c r="R115" s="58"/>
      <c r="S115" s="58"/>
      <c r="T115" s="58"/>
      <c r="U115" s="58"/>
      <c r="V115" s="58"/>
      <c r="W115" s="58"/>
      <c r="X115" s="58"/>
      <c r="Y115" s="58"/>
      <c r="Z115" s="58"/>
      <c r="AA115" s="58"/>
      <c r="AB115" s="58"/>
      <c r="AC115" s="58"/>
      <c r="AD115" s="58"/>
      <c r="AE115" s="58"/>
      <c r="AF115" s="58"/>
      <c r="AG115" s="58"/>
      <c r="AH115" s="58"/>
      <c r="AI115" s="58"/>
      <c r="AJ115" s="58"/>
      <c r="AK115" s="58"/>
      <c r="AL115" s="58"/>
      <c r="AM115" s="58"/>
      <c r="AN115" s="58"/>
      <c r="AO115" s="58"/>
      <c r="AP115" s="58"/>
      <c r="AQ115" s="58"/>
      <c r="AR115" s="58"/>
      <c r="AS115" s="58"/>
      <c r="AT115" s="58"/>
      <c r="AU115" s="58"/>
      <c r="AV115" s="58"/>
      <c r="AW115" s="58"/>
      <c r="AX115" s="58"/>
      <c r="AY115" s="58"/>
      <c r="AZ115" s="58"/>
    </row>
    <row r="116" spans="1:52" hidden="1" x14ac:dyDescent="0.25">
      <c r="A116" s="58"/>
      <c r="B116" s="58"/>
      <c r="C116" s="58"/>
      <c r="D116" s="58"/>
      <c r="E116" s="58"/>
      <c r="F116" s="58"/>
      <c r="G116" s="58"/>
      <c r="H116" s="58"/>
      <c r="I116" s="58"/>
      <c r="J116" s="58"/>
      <c r="K116" s="58"/>
      <c r="L116" s="58"/>
      <c r="M116" s="58"/>
      <c r="N116" s="58"/>
      <c r="O116" s="58"/>
      <c r="P116" s="58"/>
      <c r="Q116" s="58"/>
      <c r="R116" s="58"/>
      <c r="S116" s="58"/>
      <c r="T116" s="58"/>
      <c r="U116" s="58"/>
      <c r="V116" s="58"/>
      <c r="W116" s="58"/>
      <c r="X116" s="58"/>
      <c r="Y116" s="58"/>
      <c r="Z116" s="58"/>
      <c r="AA116" s="58"/>
      <c r="AB116" s="58"/>
      <c r="AC116" s="58"/>
      <c r="AD116" s="58"/>
      <c r="AE116" s="58"/>
      <c r="AF116" s="58"/>
      <c r="AG116" s="58"/>
      <c r="AH116" s="58"/>
      <c r="AI116" s="58"/>
      <c r="AJ116" s="58"/>
      <c r="AK116" s="58"/>
      <c r="AL116" s="58"/>
      <c r="AM116" s="58"/>
      <c r="AN116" s="58"/>
      <c r="AO116" s="58"/>
      <c r="AP116" s="58"/>
      <c r="AQ116" s="58"/>
      <c r="AR116" s="58"/>
      <c r="AS116" s="58"/>
      <c r="AT116" s="58"/>
      <c r="AU116" s="58"/>
      <c r="AV116" s="58"/>
      <c r="AW116" s="58"/>
      <c r="AX116" s="58"/>
      <c r="AY116" s="58"/>
      <c r="AZ116" s="58"/>
    </row>
    <row r="117" spans="1:52" hidden="1" x14ac:dyDescent="0.25">
      <c r="A117" s="58"/>
      <c r="B117" s="58"/>
      <c r="C117" s="58"/>
      <c r="D117" s="58"/>
      <c r="E117" s="58"/>
      <c r="F117" s="58"/>
      <c r="G117" s="58"/>
      <c r="H117" s="58"/>
      <c r="I117" s="58"/>
      <c r="J117" s="58"/>
      <c r="K117" s="58"/>
      <c r="L117" s="58"/>
      <c r="M117" s="58"/>
      <c r="N117" s="58"/>
      <c r="O117" s="58"/>
      <c r="P117" s="58"/>
      <c r="Q117" s="58"/>
      <c r="R117" s="58"/>
      <c r="S117" s="58"/>
      <c r="T117" s="58"/>
      <c r="U117" s="58"/>
      <c r="V117" s="58"/>
      <c r="W117" s="58"/>
      <c r="X117" s="58"/>
      <c r="Y117" s="58"/>
      <c r="Z117" s="58"/>
      <c r="AA117" s="58"/>
      <c r="AB117" s="58"/>
      <c r="AC117" s="58"/>
      <c r="AD117" s="58"/>
      <c r="AE117" s="58"/>
      <c r="AF117" s="58"/>
      <c r="AG117" s="58"/>
      <c r="AH117" s="58"/>
      <c r="AI117" s="58"/>
      <c r="AJ117" s="58"/>
      <c r="AK117" s="58"/>
      <c r="AL117" s="58"/>
      <c r="AM117" s="58"/>
      <c r="AN117" s="58"/>
      <c r="AO117" s="58"/>
      <c r="AP117" s="58"/>
      <c r="AQ117" s="58"/>
      <c r="AR117" s="58"/>
      <c r="AS117" s="58"/>
      <c r="AT117" s="58"/>
      <c r="AU117" s="58"/>
      <c r="AV117" s="58"/>
      <c r="AW117" s="58"/>
      <c r="AX117" s="58"/>
      <c r="AY117" s="58"/>
      <c r="AZ117" s="58"/>
    </row>
    <row r="118" spans="1:52" hidden="1" x14ac:dyDescent="0.25">
      <c r="A118" s="58"/>
      <c r="B118" s="58"/>
      <c r="C118" s="58"/>
      <c r="D118" s="58"/>
      <c r="E118" s="58"/>
      <c r="F118" s="58"/>
      <c r="G118" s="58"/>
      <c r="H118" s="58"/>
      <c r="I118" s="58"/>
      <c r="J118" s="58"/>
      <c r="K118" s="58"/>
      <c r="L118" s="58"/>
      <c r="M118" s="58"/>
      <c r="N118" s="58"/>
      <c r="O118" s="58"/>
      <c r="P118" s="58"/>
      <c r="Q118" s="58"/>
      <c r="R118" s="58"/>
      <c r="S118" s="58"/>
      <c r="T118" s="58"/>
      <c r="U118" s="58"/>
      <c r="V118" s="58"/>
      <c r="W118" s="58"/>
      <c r="X118" s="58"/>
      <c r="Y118" s="58"/>
      <c r="Z118" s="58"/>
      <c r="AA118" s="58"/>
      <c r="AB118" s="58"/>
      <c r="AC118" s="58"/>
      <c r="AD118" s="58"/>
      <c r="AE118" s="58"/>
      <c r="AF118" s="58"/>
      <c r="AG118" s="58"/>
      <c r="AH118" s="58"/>
      <c r="AI118" s="58"/>
      <c r="AJ118" s="58"/>
      <c r="AK118" s="58"/>
      <c r="AL118" s="58"/>
      <c r="AM118" s="58"/>
      <c r="AN118" s="58"/>
      <c r="AO118" s="58"/>
      <c r="AP118" s="58"/>
      <c r="AQ118" s="58"/>
      <c r="AR118" s="58"/>
      <c r="AS118" s="58"/>
      <c r="AT118" s="58"/>
      <c r="AU118" s="58"/>
      <c r="AV118" s="58"/>
      <c r="AW118" s="58"/>
      <c r="AX118" s="58"/>
      <c r="AY118" s="58"/>
      <c r="AZ118" s="58"/>
    </row>
    <row r="119" spans="1:52" hidden="1" x14ac:dyDescent="0.25">
      <c r="A119" s="58"/>
      <c r="B119" s="58"/>
      <c r="C119" s="58"/>
      <c r="D119" s="58"/>
      <c r="E119" s="58"/>
      <c r="F119" s="58"/>
      <c r="G119" s="58"/>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c r="AE119" s="58"/>
      <c r="AF119" s="58"/>
      <c r="AG119" s="58"/>
      <c r="AH119" s="58"/>
      <c r="AI119" s="58"/>
      <c r="AJ119" s="58"/>
      <c r="AK119" s="58"/>
      <c r="AL119" s="58"/>
      <c r="AM119" s="58"/>
      <c r="AN119" s="58"/>
      <c r="AO119" s="58"/>
      <c r="AP119" s="58"/>
      <c r="AQ119" s="58"/>
      <c r="AR119" s="58"/>
      <c r="AS119" s="58"/>
      <c r="AT119" s="58"/>
      <c r="AU119" s="58"/>
      <c r="AV119" s="58"/>
      <c r="AW119" s="58"/>
      <c r="AX119" s="58"/>
      <c r="AY119" s="58"/>
      <c r="AZ119" s="58"/>
    </row>
    <row r="120" spans="1:52" hidden="1" x14ac:dyDescent="0.25">
      <c r="A120" s="58"/>
      <c r="B120" s="58"/>
      <c r="C120" s="58"/>
      <c r="D120" s="58"/>
      <c r="E120" s="58"/>
      <c r="F120" s="58"/>
      <c r="G120" s="58"/>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c r="AE120" s="58"/>
      <c r="AF120" s="58"/>
      <c r="AG120" s="58"/>
      <c r="AH120" s="58"/>
      <c r="AI120" s="58"/>
      <c r="AJ120" s="58"/>
      <c r="AK120" s="58"/>
      <c r="AL120" s="58"/>
      <c r="AM120" s="58"/>
      <c r="AN120" s="58"/>
      <c r="AO120" s="58"/>
      <c r="AP120" s="58"/>
      <c r="AQ120" s="58"/>
      <c r="AR120" s="58"/>
      <c r="AS120" s="58"/>
      <c r="AT120" s="58"/>
      <c r="AU120" s="58"/>
      <c r="AV120" s="58"/>
      <c r="AW120" s="58"/>
      <c r="AX120" s="58"/>
      <c r="AY120" s="58"/>
      <c r="AZ120" s="58"/>
    </row>
    <row r="121" spans="1:52" hidden="1" x14ac:dyDescent="0.25">
      <c r="A121" s="58"/>
      <c r="B121" s="58"/>
      <c r="C121" s="58"/>
      <c r="D121" s="58"/>
      <c r="E121" s="58"/>
      <c r="F121" s="58"/>
      <c r="G121" s="58"/>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c r="AE121" s="58"/>
      <c r="AF121" s="58"/>
      <c r="AG121" s="58"/>
      <c r="AH121" s="58"/>
      <c r="AI121" s="58"/>
      <c r="AJ121" s="58"/>
      <c r="AK121" s="58"/>
      <c r="AL121" s="58"/>
      <c r="AM121" s="58"/>
      <c r="AN121" s="58"/>
      <c r="AO121" s="58"/>
      <c r="AP121" s="58"/>
      <c r="AQ121" s="58"/>
      <c r="AR121" s="58"/>
      <c r="AS121" s="58"/>
      <c r="AT121" s="58"/>
      <c r="AU121" s="58"/>
      <c r="AV121" s="58"/>
      <c r="AW121" s="58"/>
      <c r="AX121" s="58"/>
      <c r="AY121" s="58"/>
      <c r="AZ121" s="58"/>
    </row>
    <row r="122" spans="1:52" hidden="1" x14ac:dyDescent="0.25">
      <c r="A122" s="58"/>
      <c r="B122" s="58"/>
      <c r="C122" s="58"/>
      <c r="D122" s="58"/>
      <c r="E122" s="58"/>
      <c r="F122" s="58"/>
      <c r="G122" s="58"/>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c r="AE122" s="58"/>
      <c r="AF122" s="58"/>
      <c r="AG122" s="58"/>
      <c r="AH122" s="58"/>
      <c r="AI122" s="58"/>
      <c r="AJ122" s="58"/>
      <c r="AK122" s="58"/>
      <c r="AL122" s="58"/>
      <c r="AM122" s="58"/>
      <c r="AN122" s="58"/>
      <c r="AO122" s="58"/>
      <c r="AP122" s="58"/>
      <c r="AQ122" s="58"/>
      <c r="AR122" s="58"/>
      <c r="AS122" s="58"/>
      <c r="AT122" s="58"/>
      <c r="AU122" s="58"/>
      <c r="AV122" s="58"/>
      <c r="AW122" s="58"/>
      <c r="AX122" s="58"/>
      <c r="AY122" s="58"/>
      <c r="AZ122" s="58"/>
    </row>
    <row r="123" spans="1:52" hidden="1" x14ac:dyDescent="0.25">
      <c r="A123" s="58"/>
      <c r="B123" s="58"/>
      <c r="C123" s="58"/>
      <c r="D123" s="58"/>
      <c r="E123" s="58"/>
      <c r="F123" s="58"/>
      <c r="G123" s="58"/>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c r="AE123" s="58"/>
      <c r="AF123" s="58"/>
      <c r="AG123" s="58"/>
      <c r="AH123" s="58"/>
      <c r="AI123" s="58"/>
      <c r="AJ123" s="58"/>
      <c r="AK123" s="58"/>
      <c r="AL123" s="58"/>
      <c r="AM123" s="58"/>
      <c r="AN123" s="58"/>
      <c r="AO123" s="58"/>
      <c r="AP123" s="58"/>
      <c r="AQ123" s="58"/>
      <c r="AR123" s="58"/>
      <c r="AS123" s="58"/>
      <c r="AT123" s="58"/>
      <c r="AU123" s="58"/>
      <c r="AV123" s="58"/>
      <c r="AW123" s="58"/>
      <c r="AX123" s="58"/>
      <c r="AY123" s="58"/>
      <c r="AZ123" s="58"/>
    </row>
    <row r="124" spans="1:52" hidden="1" x14ac:dyDescent="0.25">
      <c r="A124" s="58"/>
      <c r="B124" s="58"/>
      <c r="C124" s="58"/>
      <c r="D124" s="58"/>
      <c r="E124" s="58"/>
      <c r="F124" s="58"/>
      <c r="G124" s="58"/>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c r="AE124" s="58"/>
      <c r="AF124" s="58"/>
      <c r="AG124" s="58"/>
      <c r="AH124" s="58"/>
      <c r="AI124" s="58"/>
      <c r="AJ124" s="58"/>
      <c r="AK124" s="58"/>
      <c r="AL124" s="58"/>
      <c r="AM124" s="58"/>
      <c r="AN124" s="58"/>
      <c r="AO124" s="58"/>
      <c r="AP124" s="58"/>
      <c r="AQ124" s="58"/>
      <c r="AR124" s="58"/>
      <c r="AS124" s="58"/>
      <c r="AT124" s="58"/>
      <c r="AU124" s="58"/>
      <c r="AV124" s="58"/>
      <c r="AW124" s="58"/>
      <c r="AX124" s="58"/>
      <c r="AY124" s="58"/>
      <c r="AZ124" s="58"/>
    </row>
    <row r="125" spans="1:52" hidden="1" x14ac:dyDescent="0.25">
      <c r="A125" s="58"/>
      <c r="B125" s="58"/>
      <c r="C125" s="58"/>
      <c r="D125" s="58"/>
      <c r="E125" s="58"/>
      <c r="F125" s="58"/>
      <c r="G125" s="58"/>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c r="AE125" s="58"/>
      <c r="AF125" s="58"/>
      <c r="AG125" s="58"/>
      <c r="AH125" s="58"/>
      <c r="AI125" s="58"/>
      <c r="AJ125" s="58"/>
      <c r="AK125" s="58"/>
      <c r="AL125" s="58"/>
      <c r="AM125" s="58"/>
      <c r="AN125" s="58"/>
      <c r="AO125" s="58"/>
      <c r="AP125" s="58"/>
      <c r="AQ125" s="58"/>
      <c r="AR125" s="58"/>
      <c r="AS125" s="58"/>
      <c r="AT125" s="58"/>
      <c r="AU125" s="58"/>
      <c r="AV125" s="58"/>
      <c r="AW125" s="58"/>
      <c r="AX125" s="58"/>
      <c r="AY125" s="58"/>
      <c r="AZ125" s="58"/>
    </row>
    <row r="126" spans="1:52" hidden="1" x14ac:dyDescent="0.25">
      <c r="A126" s="58"/>
      <c r="B126" s="58"/>
      <c r="C126" s="58"/>
      <c r="D126" s="58"/>
      <c r="E126" s="58"/>
      <c r="F126" s="58"/>
      <c r="G126" s="58"/>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c r="AE126" s="58"/>
      <c r="AF126" s="58"/>
      <c r="AG126" s="58"/>
      <c r="AH126" s="58"/>
      <c r="AI126" s="58"/>
      <c r="AJ126" s="58"/>
      <c r="AK126" s="58"/>
      <c r="AL126" s="58"/>
      <c r="AM126" s="58"/>
      <c r="AN126" s="58"/>
      <c r="AO126" s="58"/>
      <c r="AP126" s="58"/>
      <c r="AQ126" s="58"/>
      <c r="AR126" s="58"/>
      <c r="AS126" s="58"/>
      <c r="AT126" s="58"/>
      <c r="AU126" s="58"/>
      <c r="AV126" s="58"/>
      <c r="AW126" s="58"/>
      <c r="AX126" s="58"/>
      <c r="AY126" s="58"/>
      <c r="AZ126" s="58"/>
    </row>
    <row r="127" spans="1:52" hidden="1" x14ac:dyDescent="0.25">
      <c r="A127" s="58"/>
      <c r="B127" s="58"/>
      <c r="C127" s="58"/>
      <c r="D127" s="58"/>
      <c r="E127" s="58"/>
      <c r="F127" s="58"/>
      <c r="G127" s="58"/>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58"/>
      <c r="AH127" s="58"/>
      <c r="AI127" s="58"/>
      <c r="AJ127" s="58"/>
      <c r="AK127" s="58"/>
      <c r="AL127" s="58"/>
      <c r="AM127" s="58"/>
      <c r="AN127" s="58"/>
      <c r="AO127" s="58"/>
      <c r="AP127" s="58"/>
      <c r="AQ127" s="58"/>
      <c r="AR127" s="58"/>
      <c r="AS127" s="58"/>
      <c r="AT127" s="58"/>
      <c r="AU127" s="58"/>
      <c r="AV127" s="58"/>
      <c r="AW127" s="58"/>
      <c r="AX127" s="58"/>
      <c r="AY127" s="58"/>
      <c r="AZ127" s="58"/>
    </row>
    <row r="128" spans="1:52" hidden="1" x14ac:dyDescent="0.25">
      <c r="A128" s="58"/>
      <c r="B128" s="58"/>
      <c r="C128" s="58"/>
      <c r="D128" s="58"/>
      <c r="E128" s="58"/>
      <c r="F128" s="58"/>
      <c r="G128" s="58"/>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c r="AE128" s="58"/>
      <c r="AF128" s="58"/>
      <c r="AG128" s="58"/>
      <c r="AH128" s="58"/>
      <c r="AI128" s="58"/>
      <c r="AJ128" s="58"/>
      <c r="AK128" s="58"/>
      <c r="AL128" s="58"/>
      <c r="AM128" s="58"/>
      <c r="AN128" s="58"/>
      <c r="AO128" s="58"/>
      <c r="AP128" s="58"/>
      <c r="AQ128" s="58"/>
      <c r="AR128" s="58"/>
      <c r="AS128" s="58"/>
      <c r="AT128" s="58"/>
      <c r="AU128" s="58"/>
      <c r="AV128" s="58"/>
      <c r="AW128" s="58"/>
      <c r="AX128" s="58"/>
      <c r="AY128" s="58"/>
      <c r="AZ128" s="58"/>
    </row>
    <row r="129" spans="1:52" hidden="1" x14ac:dyDescent="0.25">
      <c r="A129" s="58"/>
      <c r="B129" s="58"/>
      <c r="C129" s="58"/>
      <c r="D129" s="58"/>
      <c r="E129" s="58"/>
      <c r="F129" s="58"/>
      <c r="G129" s="58"/>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c r="AE129" s="58"/>
      <c r="AF129" s="58"/>
      <c r="AG129" s="58"/>
      <c r="AH129" s="58"/>
      <c r="AI129" s="58"/>
      <c r="AJ129" s="58"/>
      <c r="AK129" s="58"/>
      <c r="AL129" s="58"/>
      <c r="AM129" s="58"/>
      <c r="AN129" s="58"/>
      <c r="AO129" s="58"/>
      <c r="AP129" s="58"/>
      <c r="AQ129" s="58"/>
      <c r="AR129" s="58"/>
      <c r="AS129" s="58"/>
      <c r="AT129" s="58"/>
      <c r="AU129" s="58"/>
      <c r="AV129" s="58"/>
      <c r="AW129" s="58"/>
      <c r="AX129" s="58"/>
      <c r="AY129" s="58"/>
      <c r="AZ129" s="58"/>
    </row>
    <row r="130" spans="1:52" hidden="1" x14ac:dyDescent="0.25">
      <c r="A130" s="58"/>
      <c r="B130" s="58"/>
      <c r="C130" s="58"/>
      <c r="D130" s="58"/>
      <c r="E130" s="58"/>
      <c r="F130" s="58"/>
      <c r="G130" s="58"/>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58"/>
      <c r="AW130" s="58"/>
      <c r="AX130" s="58"/>
      <c r="AY130" s="58"/>
      <c r="AZ130" s="58"/>
    </row>
    <row r="131" spans="1:52" hidden="1" x14ac:dyDescent="0.25">
      <c r="A131" s="58"/>
      <c r="B131" s="58"/>
      <c r="C131" s="58"/>
      <c r="D131" s="58"/>
      <c r="E131" s="58"/>
      <c r="F131" s="58"/>
      <c r="G131" s="58"/>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c r="AE131" s="58"/>
      <c r="AF131" s="58"/>
      <c r="AG131" s="58"/>
      <c r="AH131" s="58"/>
      <c r="AI131" s="58"/>
      <c r="AJ131" s="58"/>
      <c r="AK131" s="58"/>
      <c r="AL131" s="58"/>
      <c r="AM131" s="58"/>
      <c r="AN131" s="58"/>
      <c r="AO131" s="58"/>
      <c r="AP131" s="58"/>
      <c r="AQ131" s="58"/>
      <c r="AR131" s="58"/>
      <c r="AS131" s="58"/>
      <c r="AT131" s="58"/>
      <c r="AU131" s="58"/>
      <c r="AV131" s="58"/>
      <c r="AW131" s="58"/>
      <c r="AX131" s="58"/>
      <c r="AY131" s="58"/>
      <c r="AZ131" s="58"/>
    </row>
    <row r="132" spans="1:52" hidden="1" x14ac:dyDescent="0.25">
      <c r="A132" s="58"/>
      <c r="B132" s="58"/>
      <c r="C132" s="58"/>
      <c r="D132" s="58"/>
      <c r="E132" s="58"/>
      <c r="F132" s="58"/>
      <c r="G132" s="58"/>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c r="AE132" s="58"/>
      <c r="AF132" s="58"/>
      <c r="AG132" s="58"/>
      <c r="AH132" s="58"/>
      <c r="AI132" s="58"/>
      <c r="AJ132" s="58"/>
      <c r="AK132" s="58"/>
      <c r="AL132" s="58"/>
      <c r="AM132" s="58"/>
      <c r="AN132" s="58"/>
      <c r="AO132" s="58"/>
      <c r="AP132" s="58"/>
      <c r="AQ132" s="58"/>
      <c r="AR132" s="58"/>
      <c r="AS132" s="58"/>
      <c r="AT132" s="58"/>
      <c r="AU132" s="58"/>
      <c r="AV132" s="58"/>
      <c r="AW132" s="58"/>
      <c r="AX132" s="58"/>
      <c r="AY132" s="58"/>
      <c r="AZ132" s="58"/>
    </row>
    <row r="133" spans="1:52" hidden="1" x14ac:dyDescent="0.25">
      <c r="A133" s="58"/>
      <c r="B133" s="58"/>
      <c r="C133" s="58"/>
      <c r="D133" s="58"/>
      <c r="E133" s="58"/>
      <c r="F133" s="58"/>
      <c r="G133" s="58"/>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c r="AE133" s="58"/>
      <c r="AF133" s="58"/>
      <c r="AG133" s="58"/>
      <c r="AH133" s="58"/>
      <c r="AI133" s="58"/>
      <c r="AJ133" s="58"/>
      <c r="AK133" s="58"/>
      <c r="AL133" s="58"/>
      <c r="AM133" s="58"/>
      <c r="AN133" s="58"/>
      <c r="AO133" s="58"/>
      <c r="AP133" s="58"/>
      <c r="AQ133" s="58"/>
      <c r="AR133" s="58"/>
      <c r="AS133" s="58"/>
      <c r="AT133" s="58"/>
      <c r="AU133" s="58"/>
      <c r="AV133" s="58"/>
      <c r="AW133" s="58"/>
      <c r="AX133" s="58"/>
      <c r="AY133" s="58"/>
      <c r="AZ133" s="58"/>
    </row>
    <row r="134" spans="1:52" hidden="1" x14ac:dyDescent="0.25">
      <c r="A134" s="58"/>
      <c r="B134" s="58"/>
      <c r="C134" s="58"/>
      <c r="D134" s="58"/>
      <c r="E134" s="58"/>
      <c r="F134" s="58"/>
      <c r="G134" s="58"/>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c r="AE134" s="58"/>
      <c r="AF134" s="58"/>
      <c r="AG134" s="58"/>
      <c r="AH134" s="58"/>
      <c r="AI134" s="58"/>
      <c r="AJ134" s="58"/>
      <c r="AK134" s="58"/>
      <c r="AL134" s="58"/>
      <c r="AM134" s="58"/>
      <c r="AN134" s="58"/>
      <c r="AO134" s="58"/>
      <c r="AP134" s="58"/>
      <c r="AQ134" s="58"/>
      <c r="AR134" s="58"/>
      <c r="AS134" s="58"/>
      <c r="AT134" s="58"/>
      <c r="AU134" s="58"/>
      <c r="AV134" s="58"/>
      <c r="AW134" s="58"/>
      <c r="AX134" s="58"/>
      <c r="AY134" s="58"/>
      <c r="AZ134" s="58"/>
    </row>
    <row r="135" spans="1:52" hidden="1" x14ac:dyDescent="0.25">
      <c r="A135" s="58"/>
      <c r="B135" s="58"/>
      <c r="C135" s="58"/>
      <c r="D135" s="58"/>
      <c r="E135" s="58"/>
      <c r="F135" s="58"/>
      <c r="G135" s="58"/>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c r="AE135" s="58"/>
      <c r="AF135" s="58"/>
      <c r="AG135" s="58"/>
      <c r="AH135" s="58"/>
      <c r="AI135" s="58"/>
      <c r="AJ135" s="58"/>
      <c r="AK135" s="58"/>
      <c r="AL135" s="58"/>
      <c r="AM135" s="58"/>
      <c r="AN135" s="58"/>
      <c r="AO135" s="58"/>
      <c r="AP135" s="58"/>
      <c r="AQ135" s="58"/>
      <c r="AR135" s="58"/>
      <c r="AS135" s="58"/>
      <c r="AT135" s="58"/>
      <c r="AU135" s="58"/>
      <c r="AV135" s="58"/>
      <c r="AW135" s="58"/>
      <c r="AX135" s="58"/>
      <c r="AY135" s="58"/>
      <c r="AZ135" s="58"/>
    </row>
    <row r="136" spans="1:52" hidden="1" x14ac:dyDescent="0.25">
      <c r="A136" s="58"/>
      <c r="B136" s="58"/>
      <c r="C136" s="58"/>
      <c r="D136" s="58"/>
      <c r="E136" s="58"/>
      <c r="F136" s="58"/>
      <c r="G136" s="58"/>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c r="AE136" s="58"/>
      <c r="AF136" s="58"/>
      <c r="AG136" s="58"/>
      <c r="AH136" s="58"/>
      <c r="AI136" s="58"/>
      <c r="AJ136" s="58"/>
      <c r="AK136" s="58"/>
      <c r="AL136" s="58"/>
      <c r="AM136" s="58"/>
      <c r="AN136" s="58"/>
      <c r="AO136" s="58"/>
      <c r="AP136" s="58"/>
      <c r="AQ136" s="58"/>
      <c r="AR136" s="58"/>
      <c r="AS136" s="58"/>
      <c r="AT136" s="58"/>
      <c r="AU136" s="58"/>
      <c r="AV136" s="58"/>
      <c r="AW136" s="58"/>
      <c r="AX136" s="58"/>
      <c r="AY136" s="58"/>
      <c r="AZ136" s="58"/>
    </row>
    <row r="137" spans="1:52" hidden="1" x14ac:dyDescent="0.25">
      <c r="A137" s="58"/>
      <c r="B137" s="58"/>
      <c r="C137" s="58"/>
      <c r="D137" s="58"/>
      <c r="E137" s="58"/>
      <c r="F137" s="58"/>
      <c r="G137" s="58"/>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c r="AE137" s="58"/>
      <c r="AF137" s="58"/>
      <c r="AG137" s="58"/>
      <c r="AH137" s="58"/>
      <c r="AI137" s="58"/>
      <c r="AJ137" s="58"/>
      <c r="AK137" s="58"/>
      <c r="AL137" s="58"/>
      <c r="AM137" s="58"/>
      <c r="AN137" s="58"/>
      <c r="AO137" s="58"/>
      <c r="AP137" s="58"/>
      <c r="AQ137" s="58"/>
      <c r="AR137" s="58"/>
      <c r="AS137" s="58"/>
      <c r="AT137" s="58"/>
      <c r="AU137" s="58"/>
      <c r="AV137" s="58"/>
      <c r="AW137" s="58"/>
      <c r="AX137" s="58"/>
      <c r="AY137" s="58"/>
      <c r="AZ137" s="58"/>
    </row>
    <row r="138" spans="1:52" hidden="1" x14ac:dyDescent="0.25">
      <c r="A138" s="58"/>
      <c r="B138" s="58"/>
      <c r="C138" s="58"/>
      <c r="D138" s="58"/>
      <c r="E138" s="58"/>
      <c r="F138" s="58"/>
      <c r="G138" s="58"/>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c r="AE138" s="58"/>
      <c r="AF138" s="58"/>
      <c r="AG138" s="58"/>
      <c r="AH138" s="58"/>
      <c r="AI138" s="58"/>
      <c r="AJ138" s="58"/>
      <c r="AK138" s="58"/>
      <c r="AL138" s="58"/>
      <c r="AM138" s="58"/>
      <c r="AN138" s="58"/>
      <c r="AO138" s="58"/>
      <c r="AP138" s="58"/>
      <c r="AQ138" s="58"/>
      <c r="AR138" s="58"/>
      <c r="AS138" s="58"/>
      <c r="AT138" s="58"/>
      <c r="AU138" s="58"/>
      <c r="AV138" s="58"/>
      <c r="AW138" s="58"/>
      <c r="AX138" s="58"/>
      <c r="AY138" s="58"/>
      <c r="AZ138" s="58"/>
    </row>
    <row r="139" spans="1:52" hidden="1" x14ac:dyDescent="0.25">
      <c r="A139" s="58"/>
      <c r="B139" s="58"/>
      <c r="C139" s="58"/>
      <c r="D139" s="58"/>
      <c r="E139" s="58"/>
      <c r="F139" s="58"/>
      <c r="G139" s="58"/>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c r="AE139" s="58"/>
      <c r="AF139" s="58"/>
      <c r="AG139" s="58"/>
      <c r="AH139" s="58"/>
      <c r="AI139" s="58"/>
      <c r="AJ139" s="58"/>
      <c r="AK139" s="58"/>
      <c r="AL139" s="58"/>
      <c r="AM139" s="58"/>
      <c r="AN139" s="58"/>
      <c r="AO139" s="58"/>
      <c r="AP139" s="58"/>
      <c r="AQ139" s="58"/>
      <c r="AR139" s="58"/>
      <c r="AS139" s="58"/>
      <c r="AT139" s="58"/>
      <c r="AU139" s="58"/>
      <c r="AV139" s="58"/>
      <c r="AW139" s="58"/>
      <c r="AX139" s="58"/>
      <c r="AY139" s="58"/>
      <c r="AZ139" s="58"/>
    </row>
    <row r="140" spans="1:52" hidden="1" x14ac:dyDescent="0.25">
      <c r="A140" s="58"/>
      <c r="B140" s="58"/>
      <c r="C140" s="58"/>
      <c r="D140" s="58"/>
      <c r="E140" s="58"/>
      <c r="F140" s="58"/>
      <c r="G140" s="58"/>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c r="AE140" s="58"/>
      <c r="AF140" s="58"/>
      <c r="AG140" s="58"/>
      <c r="AH140" s="58"/>
      <c r="AI140" s="58"/>
      <c r="AJ140" s="58"/>
      <c r="AK140" s="58"/>
      <c r="AL140" s="58"/>
      <c r="AM140" s="58"/>
      <c r="AN140" s="58"/>
      <c r="AO140" s="58"/>
      <c r="AP140" s="58"/>
      <c r="AQ140" s="58"/>
      <c r="AR140" s="58"/>
      <c r="AS140" s="58"/>
      <c r="AT140" s="58"/>
      <c r="AU140" s="58"/>
      <c r="AV140" s="58"/>
      <c r="AW140" s="58"/>
      <c r="AX140" s="58"/>
      <c r="AY140" s="58"/>
      <c r="AZ140" s="58"/>
    </row>
    <row r="141" spans="1:52" hidden="1" x14ac:dyDescent="0.25">
      <c r="A141" s="58"/>
      <c r="B141" s="58"/>
      <c r="C141" s="58"/>
      <c r="D141" s="58"/>
      <c r="E141" s="58"/>
      <c r="F141" s="58"/>
      <c r="G141" s="58"/>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c r="AE141" s="58"/>
      <c r="AF141" s="58"/>
      <c r="AG141" s="58"/>
      <c r="AH141" s="58"/>
      <c r="AI141" s="58"/>
      <c r="AJ141" s="58"/>
      <c r="AK141" s="58"/>
      <c r="AL141" s="58"/>
      <c r="AM141" s="58"/>
      <c r="AN141" s="58"/>
      <c r="AO141" s="58"/>
      <c r="AP141" s="58"/>
      <c r="AQ141" s="58"/>
      <c r="AR141" s="58"/>
      <c r="AS141" s="58"/>
      <c r="AT141" s="58"/>
      <c r="AU141" s="58"/>
      <c r="AV141" s="58"/>
      <c r="AW141" s="58"/>
      <c r="AX141" s="58"/>
      <c r="AY141" s="58"/>
      <c r="AZ141" s="58"/>
    </row>
    <row r="142" spans="1:52" hidden="1" x14ac:dyDescent="0.25">
      <c r="A142" s="58"/>
      <c r="B142" s="58"/>
      <c r="C142" s="58"/>
      <c r="D142" s="58"/>
      <c r="E142" s="58"/>
      <c r="F142" s="58"/>
      <c r="G142" s="58"/>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c r="AE142" s="58"/>
      <c r="AF142" s="58"/>
      <c r="AG142" s="58"/>
      <c r="AH142" s="58"/>
      <c r="AI142" s="58"/>
      <c r="AJ142" s="58"/>
      <c r="AK142" s="58"/>
      <c r="AL142" s="58"/>
      <c r="AM142" s="58"/>
      <c r="AN142" s="58"/>
      <c r="AO142" s="58"/>
      <c r="AP142" s="58"/>
      <c r="AQ142" s="58"/>
      <c r="AR142" s="58"/>
      <c r="AS142" s="58"/>
      <c r="AT142" s="58"/>
      <c r="AU142" s="58"/>
      <c r="AV142" s="58"/>
      <c r="AW142" s="58"/>
      <c r="AX142" s="58"/>
      <c r="AY142" s="58"/>
      <c r="AZ142" s="58"/>
    </row>
    <row r="143" spans="1:52" hidden="1" x14ac:dyDescent="0.25">
      <c r="A143" s="58"/>
      <c r="B143" s="58"/>
      <c r="C143" s="58"/>
      <c r="D143" s="58"/>
      <c r="E143" s="58"/>
      <c r="F143" s="58"/>
      <c r="G143" s="58"/>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c r="AE143" s="58"/>
      <c r="AF143" s="58"/>
      <c r="AG143" s="58"/>
      <c r="AH143" s="58"/>
      <c r="AI143" s="58"/>
      <c r="AJ143" s="58"/>
      <c r="AK143" s="58"/>
      <c r="AL143" s="58"/>
      <c r="AM143" s="58"/>
      <c r="AN143" s="58"/>
      <c r="AO143" s="58"/>
      <c r="AP143" s="58"/>
      <c r="AQ143" s="58"/>
      <c r="AR143" s="58"/>
      <c r="AS143" s="58"/>
      <c r="AT143" s="58"/>
      <c r="AU143" s="58"/>
      <c r="AV143" s="58"/>
      <c r="AW143" s="58"/>
      <c r="AX143" s="58"/>
      <c r="AY143" s="58"/>
      <c r="AZ143" s="58"/>
    </row>
    <row r="144" spans="1:52" hidden="1" x14ac:dyDescent="0.25">
      <c r="A144" s="58"/>
      <c r="B144" s="58"/>
      <c r="C144" s="58"/>
      <c r="D144" s="58"/>
      <c r="E144" s="58"/>
      <c r="F144" s="58"/>
      <c r="G144" s="58"/>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c r="AE144" s="58"/>
      <c r="AF144" s="58"/>
      <c r="AG144" s="58"/>
      <c r="AH144" s="58"/>
      <c r="AI144" s="58"/>
      <c r="AJ144" s="58"/>
      <c r="AK144" s="58"/>
      <c r="AL144" s="58"/>
      <c r="AM144" s="58"/>
      <c r="AN144" s="58"/>
      <c r="AO144" s="58"/>
      <c r="AP144" s="58"/>
      <c r="AQ144" s="58"/>
      <c r="AR144" s="58"/>
      <c r="AS144" s="58"/>
      <c r="AT144" s="58"/>
      <c r="AU144" s="58"/>
      <c r="AV144" s="58"/>
      <c r="AW144" s="58"/>
      <c r="AX144" s="58"/>
      <c r="AY144" s="58"/>
      <c r="AZ144" s="58"/>
    </row>
    <row r="145" spans="1:52" hidden="1" x14ac:dyDescent="0.25">
      <c r="A145" s="58"/>
      <c r="B145" s="58"/>
      <c r="C145" s="58"/>
      <c r="D145" s="58"/>
      <c r="E145" s="58"/>
      <c r="F145" s="58"/>
      <c r="G145" s="58"/>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c r="AE145" s="58"/>
      <c r="AF145" s="58"/>
      <c r="AG145" s="58"/>
      <c r="AH145" s="58"/>
      <c r="AI145" s="58"/>
      <c r="AJ145" s="58"/>
      <c r="AK145" s="58"/>
      <c r="AL145" s="58"/>
      <c r="AM145" s="58"/>
      <c r="AN145" s="58"/>
      <c r="AO145" s="58"/>
      <c r="AP145" s="58"/>
      <c r="AQ145" s="58"/>
      <c r="AR145" s="58"/>
      <c r="AS145" s="58"/>
      <c r="AT145" s="58"/>
      <c r="AU145" s="58"/>
      <c r="AV145" s="58"/>
      <c r="AW145" s="58"/>
      <c r="AX145" s="58"/>
      <c r="AY145" s="58"/>
      <c r="AZ145" s="58"/>
    </row>
    <row r="146" spans="1:52" hidden="1" x14ac:dyDescent="0.25">
      <c r="A146" s="58"/>
      <c r="B146" s="58"/>
      <c r="C146" s="58"/>
      <c r="D146" s="58"/>
      <c r="E146" s="58"/>
      <c r="F146" s="58"/>
      <c r="G146" s="58"/>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c r="AE146" s="58"/>
      <c r="AF146" s="58"/>
      <c r="AG146" s="58"/>
      <c r="AH146" s="58"/>
      <c r="AI146" s="58"/>
      <c r="AJ146" s="58"/>
      <c r="AK146" s="58"/>
      <c r="AL146" s="58"/>
      <c r="AM146" s="58"/>
      <c r="AN146" s="58"/>
      <c r="AO146" s="58"/>
      <c r="AP146" s="58"/>
      <c r="AQ146" s="58"/>
      <c r="AR146" s="58"/>
      <c r="AS146" s="58"/>
      <c r="AT146" s="58"/>
      <c r="AU146" s="58"/>
      <c r="AV146" s="58"/>
      <c r="AW146" s="58"/>
      <c r="AX146" s="58"/>
      <c r="AY146" s="58"/>
      <c r="AZ146" s="58"/>
    </row>
    <row r="147" spans="1:52" hidden="1" x14ac:dyDescent="0.25">
      <c r="A147" s="58"/>
      <c r="B147" s="58"/>
      <c r="C147" s="58"/>
      <c r="D147" s="58"/>
      <c r="E147" s="58"/>
      <c r="F147" s="58"/>
      <c r="G147" s="58"/>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c r="AE147" s="58"/>
      <c r="AF147" s="58"/>
      <c r="AG147" s="58"/>
      <c r="AH147" s="58"/>
      <c r="AI147" s="58"/>
      <c r="AJ147" s="58"/>
      <c r="AK147" s="58"/>
      <c r="AL147" s="58"/>
      <c r="AM147" s="58"/>
      <c r="AN147" s="58"/>
      <c r="AO147" s="58"/>
      <c r="AP147" s="58"/>
      <c r="AQ147" s="58"/>
      <c r="AR147" s="58"/>
      <c r="AS147" s="58"/>
      <c r="AT147" s="58"/>
      <c r="AU147" s="58"/>
      <c r="AV147" s="58"/>
      <c r="AW147" s="58"/>
      <c r="AX147" s="58"/>
      <c r="AY147" s="58"/>
      <c r="AZ147" s="58"/>
    </row>
    <row r="148" spans="1:52" hidden="1" x14ac:dyDescent="0.25">
      <c r="A148" s="58"/>
      <c r="B148" s="58"/>
      <c r="C148" s="58"/>
      <c r="D148" s="58"/>
      <c r="E148" s="58"/>
      <c r="F148" s="58"/>
      <c r="G148" s="58"/>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c r="AE148" s="58"/>
      <c r="AF148" s="58"/>
      <c r="AG148" s="58"/>
      <c r="AH148" s="58"/>
      <c r="AI148" s="58"/>
      <c r="AJ148" s="58"/>
      <c r="AK148" s="58"/>
      <c r="AL148" s="58"/>
      <c r="AM148" s="58"/>
      <c r="AN148" s="58"/>
      <c r="AO148" s="58"/>
      <c r="AP148" s="58"/>
      <c r="AQ148" s="58"/>
      <c r="AR148" s="58"/>
      <c r="AS148" s="58"/>
      <c r="AT148" s="58"/>
      <c r="AU148" s="58"/>
      <c r="AV148" s="58"/>
      <c r="AW148" s="58"/>
      <c r="AX148" s="58"/>
      <c r="AY148" s="58"/>
      <c r="AZ148" s="58"/>
    </row>
    <row r="149" spans="1:52" hidden="1" x14ac:dyDescent="0.25">
      <c r="A149" s="58"/>
      <c r="B149" s="58"/>
      <c r="C149" s="58"/>
      <c r="D149" s="58"/>
      <c r="E149" s="58"/>
      <c r="F149" s="58"/>
      <c r="G149" s="58"/>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c r="AE149" s="58"/>
      <c r="AF149" s="58"/>
      <c r="AG149" s="58"/>
      <c r="AH149" s="58"/>
      <c r="AI149" s="58"/>
      <c r="AJ149" s="58"/>
      <c r="AK149" s="58"/>
      <c r="AL149" s="58"/>
      <c r="AM149" s="58"/>
      <c r="AN149" s="58"/>
      <c r="AO149" s="58"/>
      <c r="AP149" s="58"/>
      <c r="AQ149" s="58"/>
      <c r="AR149" s="58"/>
      <c r="AS149" s="58"/>
      <c r="AT149" s="58"/>
      <c r="AU149" s="58"/>
      <c r="AV149" s="58"/>
      <c r="AW149" s="58"/>
      <c r="AX149" s="58"/>
      <c r="AY149" s="58"/>
      <c r="AZ149" s="58"/>
    </row>
    <row r="150" spans="1:52" hidden="1" x14ac:dyDescent="0.25">
      <c r="A150" s="58"/>
      <c r="B150" s="58"/>
      <c r="C150" s="58"/>
      <c r="D150" s="58"/>
      <c r="E150" s="58"/>
      <c r="F150" s="58"/>
      <c r="G150" s="58"/>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c r="AE150" s="58"/>
      <c r="AF150" s="58"/>
      <c r="AG150" s="58"/>
      <c r="AH150" s="58"/>
      <c r="AI150" s="58"/>
      <c r="AJ150" s="58"/>
      <c r="AK150" s="58"/>
      <c r="AL150" s="58"/>
      <c r="AM150" s="58"/>
      <c r="AN150" s="58"/>
      <c r="AO150" s="58"/>
      <c r="AP150" s="58"/>
      <c r="AQ150" s="58"/>
      <c r="AR150" s="58"/>
      <c r="AS150" s="58"/>
      <c r="AT150" s="58"/>
      <c r="AU150" s="58"/>
      <c r="AV150" s="58"/>
      <c r="AW150" s="58"/>
      <c r="AX150" s="58"/>
      <c r="AY150" s="58"/>
      <c r="AZ150" s="58"/>
    </row>
    <row r="151" spans="1:52" hidden="1" x14ac:dyDescent="0.25">
      <c r="A151" s="58"/>
      <c r="B151" s="58"/>
      <c r="C151" s="58"/>
      <c r="D151" s="58"/>
      <c r="E151" s="58"/>
      <c r="F151" s="58"/>
      <c r="G151" s="58"/>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c r="AE151" s="58"/>
      <c r="AF151" s="58"/>
      <c r="AG151" s="58"/>
      <c r="AH151" s="58"/>
      <c r="AI151" s="58"/>
      <c r="AJ151" s="58"/>
      <c r="AK151" s="58"/>
      <c r="AL151" s="58"/>
      <c r="AM151" s="58"/>
      <c r="AN151" s="58"/>
      <c r="AO151" s="58"/>
      <c r="AP151" s="58"/>
      <c r="AQ151" s="58"/>
      <c r="AR151" s="58"/>
      <c r="AS151" s="58"/>
      <c r="AT151" s="58"/>
      <c r="AU151" s="58"/>
      <c r="AV151" s="58"/>
      <c r="AW151" s="58"/>
      <c r="AX151" s="58"/>
      <c r="AY151" s="58"/>
      <c r="AZ151" s="58"/>
    </row>
    <row r="152" spans="1:52" hidden="1" x14ac:dyDescent="0.25">
      <c r="A152" s="58"/>
      <c r="B152" s="58"/>
      <c r="C152" s="58"/>
      <c r="D152" s="58"/>
      <c r="E152" s="58"/>
      <c r="F152" s="58"/>
      <c r="G152" s="58"/>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c r="AE152" s="58"/>
      <c r="AF152" s="58"/>
      <c r="AG152" s="58"/>
      <c r="AH152" s="58"/>
      <c r="AI152" s="58"/>
      <c r="AJ152" s="58"/>
      <c r="AK152" s="58"/>
      <c r="AL152" s="58"/>
      <c r="AM152" s="58"/>
      <c r="AN152" s="58"/>
      <c r="AO152" s="58"/>
      <c r="AP152" s="58"/>
      <c r="AQ152" s="58"/>
      <c r="AR152" s="58"/>
      <c r="AS152" s="58"/>
      <c r="AT152" s="58"/>
      <c r="AU152" s="58"/>
      <c r="AV152" s="58"/>
      <c r="AW152" s="58"/>
      <c r="AX152" s="58"/>
      <c r="AY152" s="58"/>
      <c r="AZ152" s="58"/>
    </row>
    <row r="153" spans="1:52" hidden="1" x14ac:dyDescent="0.25">
      <c r="A153" s="58"/>
      <c r="B153" s="58"/>
      <c r="C153" s="58"/>
      <c r="D153" s="58"/>
      <c r="E153" s="58"/>
      <c r="F153" s="58"/>
      <c r="G153" s="58"/>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c r="AE153" s="58"/>
      <c r="AF153" s="58"/>
      <c r="AG153" s="58"/>
      <c r="AH153" s="58"/>
      <c r="AI153" s="58"/>
      <c r="AJ153" s="58"/>
      <c r="AK153" s="58"/>
      <c r="AL153" s="58"/>
      <c r="AM153" s="58"/>
      <c r="AN153" s="58"/>
      <c r="AO153" s="58"/>
      <c r="AP153" s="58"/>
      <c r="AQ153" s="58"/>
      <c r="AR153" s="58"/>
      <c r="AS153" s="58"/>
      <c r="AT153" s="58"/>
      <c r="AU153" s="58"/>
      <c r="AV153" s="58"/>
      <c r="AW153" s="58"/>
      <c r="AX153" s="58"/>
      <c r="AY153" s="58"/>
      <c r="AZ153" s="58"/>
    </row>
    <row r="154" spans="1:52" hidden="1" x14ac:dyDescent="0.25">
      <c r="A154" s="58"/>
      <c r="B154" s="58"/>
      <c r="C154" s="58"/>
      <c r="D154" s="58"/>
      <c r="E154" s="58"/>
      <c r="F154" s="58"/>
      <c r="G154" s="58"/>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c r="AE154" s="58"/>
      <c r="AF154" s="58"/>
      <c r="AG154" s="58"/>
      <c r="AH154" s="58"/>
      <c r="AI154" s="58"/>
      <c r="AJ154" s="58"/>
      <c r="AK154" s="58"/>
      <c r="AL154" s="58"/>
      <c r="AM154" s="58"/>
      <c r="AN154" s="58"/>
      <c r="AO154" s="58"/>
      <c r="AP154" s="58"/>
      <c r="AQ154" s="58"/>
      <c r="AR154" s="58"/>
      <c r="AS154" s="58"/>
      <c r="AT154" s="58"/>
      <c r="AU154" s="58"/>
      <c r="AV154" s="58"/>
      <c r="AW154" s="58"/>
      <c r="AX154" s="58"/>
      <c r="AY154" s="58"/>
      <c r="AZ154" s="58"/>
    </row>
    <row r="155" spans="1:52" hidden="1" x14ac:dyDescent="0.25">
      <c r="A155" s="58"/>
      <c r="B155" s="58"/>
      <c r="C155" s="58"/>
      <c r="D155" s="58"/>
      <c r="E155" s="58"/>
      <c r="F155" s="58"/>
      <c r="G155" s="58"/>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c r="AE155" s="58"/>
      <c r="AF155" s="58"/>
      <c r="AG155" s="58"/>
      <c r="AH155" s="58"/>
      <c r="AI155" s="58"/>
      <c r="AJ155" s="58"/>
      <c r="AK155" s="58"/>
      <c r="AL155" s="58"/>
      <c r="AM155" s="58"/>
      <c r="AN155" s="58"/>
      <c r="AO155" s="58"/>
      <c r="AP155" s="58"/>
      <c r="AQ155" s="58"/>
      <c r="AR155" s="58"/>
      <c r="AS155" s="58"/>
      <c r="AT155" s="58"/>
      <c r="AU155" s="58"/>
      <c r="AV155" s="58"/>
      <c r="AW155" s="58"/>
      <c r="AX155" s="58"/>
      <c r="AY155" s="58"/>
      <c r="AZ155" s="58"/>
    </row>
    <row r="156" spans="1:52" hidden="1" x14ac:dyDescent="0.25">
      <c r="A156" s="58"/>
      <c r="B156" s="58"/>
      <c r="C156" s="58"/>
      <c r="D156" s="58"/>
      <c r="E156" s="58"/>
      <c r="F156" s="58"/>
      <c r="G156" s="58"/>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c r="AE156" s="58"/>
      <c r="AF156" s="58"/>
      <c r="AG156" s="58"/>
      <c r="AH156" s="58"/>
      <c r="AI156" s="58"/>
      <c r="AJ156" s="58"/>
      <c r="AK156" s="58"/>
      <c r="AL156" s="58"/>
      <c r="AM156" s="58"/>
      <c r="AN156" s="58"/>
      <c r="AO156" s="58"/>
      <c r="AP156" s="58"/>
      <c r="AQ156" s="58"/>
      <c r="AR156" s="58"/>
      <c r="AS156" s="58"/>
      <c r="AT156" s="58"/>
      <c r="AU156" s="58"/>
      <c r="AV156" s="58"/>
      <c r="AW156" s="58"/>
      <c r="AX156" s="58"/>
      <c r="AY156" s="58"/>
      <c r="AZ156" s="58"/>
    </row>
    <row r="157" spans="1:52" hidden="1" x14ac:dyDescent="0.25">
      <c r="A157" s="58"/>
      <c r="B157" s="58"/>
      <c r="C157" s="58"/>
      <c r="D157" s="58"/>
      <c r="E157" s="58"/>
      <c r="F157" s="58"/>
      <c r="G157" s="58"/>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c r="AE157" s="58"/>
      <c r="AF157" s="58"/>
      <c r="AG157" s="58"/>
      <c r="AH157" s="58"/>
      <c r="AI157" s="58"/>
      <c r="AJ157" s="58"/>
      <c r="AK157" s="58"/>
      <c r="AL157" s="58"/>
      <c r="AM157" s="58"/>
      <c r="AN157" s="58"/>
      <c r="AO157" s="58"/>
      <c r="AP157" s="58"/>
      <c r="AQ157" s="58"/>
      <c r="AR157" s="58"/>
      <c r="AS157" s="58"/>
      <c r="AT157" s="58"/>
      <c r="AU157" s="58"/>
      <c r="AV157" s="58"/>
      <c r="AW157" s="58"/>
      <c r="AX157" s="58"/>
      <c r="AY157" s="58"/>
      <c r="AZ157" s="58"/>
    </row>
    <row r="158" spans="1:52" hidden="1" x14ac:dyDescent="0.25">
      <c r="A158" s="58"/>
      <c r="B158" s="58"/>
      <c r="C158" s="58"/>
      <c r="D158" s="58"/>
      <c r="E158" s="58"/>
      <c r="F158" s="58"/>
      <c r="G158" s="58"/>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c r="AE158" s="58"/>
      <c r="AF158" s="58"/>
      <c r="AG158" s="58"/>
      <c r="AH158" s="58"/>
      <c r="AI158" s="58"/>
      <c r="AJ158" s="58"/>
      <c r="AK158" s="58"/>
      <c r="AL158" s="58"/>
      <c r="AM158" s="58"/>
      <c r="AN158" s="58"/>
      <c r="AO158" s="58"/>
      <c r="AP158" s="58"/>
      <c r="AQ158" s="58"/>
      <c r="AR158" s="58"/>
      <c r="AS158" s="58"/>
      <c r="AT158" s="58"/>
      <c r="AU158" s="58"/>
      <c r="AV158" s="58"/>
      <c r="AW158" s="58"/>
      <c r="AX158" s="58"/>
      <c r="AY158" s="58"/>
      <c r="AZ158" s="58"/>
    </row>
    <row r="159" spans="1:52" hidden="1" x14ac:dyDescent="0.25">
      <c r="A159" s="58"/>
      <c r="B159" s="58"/>
      <c r="C159" s="58"/>
      <c r="D159" s="58"/>
      <c r="E159" s="58"/>
      <c r="F159" s="58"/>
      <c r="G159" s="58"/>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c r="AE159" s="58"/>
      <c r="AF159" s="58"/>
      <c r="AG159" s="58"/>
      <c r="AH159" s="58"/>
      <c r="AI159" s="58"/>
      <c r="AJ159" s="58"/>
      <c r="AK159" s="58"/>
      <c r="AL159" s="58"/>
      <c r="AM159" s="58"/>
      <c r="AN159" s="58"/>
      <c r="AO159" s="58"/>
      <c r="AP159" s="58"/>
      <c r="AQ159" s="58"/>
      <c r="AR159" s="58"/>
      <c r="AS159" s="58"/>
      <c r="AT159" s="58"/>
      <c r="AU159" s="58"/>
      <c r="AV159" s="58"/>
      <c r="AW159" s="58"/>
      <c r="AX159" s="58"/>
      <c r="AY159" s="58"/>
      <c r="AZ159" s="58"/>
    </row>
    <row r="160" spans="1:52" hidden="1" x14ac:dyDescent="0.25">
      <c r="A160" s="58"/>
      <c r="B160" s="58"/>
      <c r="C160" s="58"/>
      <c r="D160" s="58"/>
      <c r="E160" s="58"/>
      <c r="F160" s="58"/>
      <c r="G160" s="58"/>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c r="AE160" s="58"/>
      <c r="AF160" s="58"/>
      <c r="AG160" s="58"/>
      <c r="AH160" s="58"/>
      <c r="AI160" s="58"/>
      <c r="AJ160" s="58"/>
      <c r="AK160" s="58"/>
      <c r="AL160" s="58"/>
      <c r="AM160" s="58"/>
      <c r="AN160" s="58"/>
      <c r="AO160" s="58"/>
      <c r="AP160" s="58"/>
      <c r="AQ160" s="58"/>
      <c r="AR160" s="58"/>
      <c r="AS160" s="58"/>
      <c r="AT160" s="58"/>
      <c r="AU160" s="58"/>
      <c r="AV160" s="58"/>
      <c r="AW160" s="58"/>
      <c r="AX160" s="58"/>
      <c r="AY160" s="58"/>
      <c r="AZ160" s="58"/>
    </row>
    <row r="161" spans="1:52" hidden="1" x14ac:dyDescent="0.25">
      <c r="A161" s="58"/>
      <c r="B161" s="58"/>
      <c r="C161" s="58"/>
      <c r="D161" s="58"/>
      <c r="E161" s="58"/>
      <c r="F161" s="58"/>
      <c r="G161" s="58"/>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c r="AE161" s="58"/>
      <c r="AF161" s="58"/>
      <c r="AG161" s="58"/>
      <c r="AH161" s="58"/>
      <c r="AI161" s="58"/>
      <c r="AJ161" s="58"/>
      <c r="AK161" s="58"/>
      <c r="AL161" s="58"/>
      <c r="AM161" s="58"/>
      <c r="AN161" s="58"/>
      <c r="AO161" s="58"/>
      <c r="AP161" s="58"/>
      <c r="AQ161" s="58"/>
      <c r="AR161" s="58"/>
      <c r="AS161" s="58"/>
      <c r="AT161" s="58"/>
      <c r="AU161" s="58"/>
      <c r="AV161" s="58"/>
      <c r="AW161" s="58"/>
      <c r="AX161" s="58"/>
      <c r="AY161" s="58"/>
      <c r="AZ161" s="58"/>
    </row>
    <row r="162" spans="1:52" hidden="1" x14ac:dyDescent="0.25">
      <c r="A162" s="58"/>
      <c r="B162" s="58"/>
      <c r="C162" s="58"/>
      <c r="D162" s="58"/>
      <c r="E162" s="58"/>
      <c r="F162" s="58"/>
      <c r="G162" s="58"/>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c r="AE162" s="58"/>
      <c r="AF162" s="58"/>
      <c r="AG162" s="58"/>
      <c r="AH162" s="58"/>
      <c r="AI162" s="58"/>
      <c r="AJ162" s="58"/>
      <c r="AK162" s="58"/>
      <c r="AL162" s="58"/>
      <c r="AM162" s="58"/>
      <c r="AN162" s="58"/>
      <c r="AO162" s="58"/>
      <c r="AP162" s="58"/>
      <c r="AQ162" s="58"/>
      <c r="AR162" s="58"/>
      <c r="AS162" s="58"/>
      <c r="AT162" s="58"/>
      <c r="AU162" s="58"/>
      <c r="AV162" s="58"/>
      <c r="AW162" s="58"/>
      <c r="AX162" s="58"/>
      <c r="AY162" s="58"/>
      <c r="AZ162" s="58"/>
    </row>
    <row r="163" spans="1:52" hidden="1" x14ac:dyDescent="0.25">
      <c r="A163" s="58"/>
      <c r="B163" s="58"/>
      <c r="C163" s="58"/>
      <c r="D163" s="58"/>
      <c r="E163" s="58"/>
      <c r="F163" s="58"/>
      <c r="G163" s="58"/>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c r="AE163" s="58"/>
      <c r="AF163" s="58"/>
      <c r="AG163" s="58"/>
      <c r="AH163" s="58"/>
      <c r="AI163" s="58"/>
      <c r="AJ163" s="58"/>
      <c r="AK163" s="58"/>
      <c r="AL163" s="58"/>
      <c r="AM163" s="58"/>
      <c r="AN163" s="58"/>
      <c r="AO163" s="58"/>
      <c r="AP163" s="58"/>
      <c r="AQ163" s="58"/>
      <c r="AR163" s="58"/>
      <c r="AS163" s="58"/>
      <c r="AT163" s="58"/>
      <c r="AU163" s="58"/>
      <c r="AV163" s="58"/>
      <c r="AW163" s="58"/>
      <c r="AX163" s="58"/>
      <c r="AY163" s="58"/>
      <c r="AZ163" s="58"/>
    </row>
    <row r="164" spans="1:52" hidden="1" x14ac:dyDescent="0.25">
      <c r="A164" s="58"/>
      <c r="B164" s="58"/>
      <c r="C164" s="58"/>
      <c r="D164" s="58"/>
      <c r="E164" s="58"/>
      <c r="F164" s="58"/>
      <c r="G164" s="58"/>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c r="AE164" s="58"/>
      <c r="AF164" s="58"/>
      <c r="AG164" s="58"/>
      <c r="AH164" s="58"/>
      <c r="AI164" s="58"/>
      <c r="AJ164" s="58"/>
      <c r="AK164" s="58"/>
      <c r="AL164" s="58"/>
      <c r="AM164" s="58"/>
      <c r="AN164" s="58"/>
      <c r="AO164" s="58"/>
      <c r="AP164" s="58"/>
      <c r="AQ164" s="58"/>
      <c r="AR164" s="58"/>
      <c r="AS164" s="58"/>
      <c r="AT164" s="58"/>
      <c r="AU164" s="58"/>
      <c r="AV164" s="58"/>
      <c r="AW164" s="58"/>
      <c r="AX164" s="58"/>
      <c r="AY164" s="58"/>
      <c r="AZ164" s="58"/>
    </row>
    <row r="165" spans="1:52" hidden="1" x14ac:dyDescent="0.25">
      <c r="A165" s="58"/>
      <c r="B165" s="58"/>
      <c r="C165" s="58"/>
      <c r="D165" s="58"/>
      <c r="E165" s="58"/>
      <c r="F165" s="58"/>
      <c r="G165" s="58"/>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c r="AE165" s="58"/>
      <c r="AF165" s="58"/>
      <c r="AG165" s="58"/>
      <c r="AH165" s="58"/>
      <c r="AI165" s="58"/>
      <c r="AJ165" s="58"/>
      <c r="AK165" s="58"/>
      <c r="AL165" s="58"/>
      <c r="AM165" s="58"/>
      <c r="AN165" s="58"/>
      <c r="AO165" s="58"/>
      <c r="AP165" s="58"/>
      <c r="AQ165" s="58"/>
      <c r="AR165" s="58"/>
      <c r="AS165" s="58"/>
      <c r="AT165" s="58"/>
      <c r="AU165" s="58"/>
      <c r="AV165" s="58"/>
      <c r="AW165" s="58"/>
      <c r="AX165" s="58"/>
      <c r="AY165" s="58"/>
      <c r="AZ165" s="58"/>
    </row>
    <row r="166" spans="1:52" hidden="1" x14ac:dyDescent="0.25">
      <c r="A166" s="58"/>
      <c r="B166" s="58"/>
      <c r="C166" s="58"/>
      <c r="D166" s="58"/>
      <c r="E166" s="58"/>
      <c r="F166" s="58"/>
      <c r="G166" s="58"/>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c r="AE166" s="58"/>
      <c r="AF166" s="58"/>
      <c r="AG166" s="58"/>
      <c r="AH166" s="58"/>
      <c r="AI166" s="58"/>
      <c r="AJ166" s="58"/>
      <c r="AK166" s="58"/>
      <c r="AL166" s="58"/>
      <c r="AM166" s="58"/>
      <c r="AN166" s="58"/>
      <c r="AO166" s="58"/>
      <c r="AP166" s="58"/>
      <c r="AQ166" s="58"/>
      <c r="AR166" s="58"/>
      <c r="AS166" s="58"/>
      <c r="AT166" s="58"/>
      <c r="AU166" s="58"/>
      <c r="AV166" s="58"/>
      <c r="AW166" s="58"/>
      <c r="AX166" s="58"/>
      <c r="AY166" s="58"/>
      <c r="AZ166" s="58"/>
    </row>
    <row r="167" spans="1:52" hidden="1" x14ac:dyDescent="0.25">
      <c r="A167" s="58"/>
      <c r="B167" s="58"/>
      <c r="C167" s="58"/>
      <c r="D167" s="58"/>
      <c r="E167" s="58"/>
      <c r="F167" s="58"/>
      <c r="G167" s="58"/>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c r="AE167" s="58"/>
      <c r="AF167" s="58"/>
      <c r="AG167" s="58"/>
      <c r="AH167" s="58"/>
      <c r="AI167" s="58"/>
      <c r="AJ167" s="58"/>
      <c r="AK167" s="58"/>
      <c r="AL167" s="58"/>
      <c r="AM167" s="58"/>
      <c r="AN167" s="58"/>
      <c r="AO167" s="58"/>
      <c r="AP167" s="58"/>
      <c r="AQ167" s="58"/>
      <c r="AR167" s="58"/>
      <c r="AS167" s="58"/>
      <c r="AT167" s="58"/>
      <c r="AU167" s="58"/>
      <c r="AV167" s="58"/>
      <c r="AW167" s="58"/>
      <c r="AX167" s="58"/>
      <c r="AY167" s="58"/>
      <c r="AZ167" s="58"/>
    </row>
    <row r="168" spans="1:52" hidden="1" x14ac:dyDescent="0.25">
      <c r="A168" s="58"/>
      <c r="B168" s="58"/>
      <c r="C168" s="58"/>
      <c r="D168" s="58"/>
      <c r="E168" s="58"/>
      <c r="F168" s="58"/>
      <c r="G168" s="58"/>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c r="AE168" s="58"/>
      <c r="AF168" s="58"/>
      <c r="AG168" s="58"/>
      <c r="AH168" s="58"/>
      <c r="AI168" s="58"/>
      <c r="AJ168" s="58"/>
      <c r="AK168" s="58"/>
      <c r="AL168" s="58"/>
      <c r="AM168" s="58"/>
      <c r="AN168" s="58"/>
      <c r="AO168" s="58"/>
      <c r="AP168" s="58"/>
      <c r="AQ168" s="58"/>
      <c r="AR168" s="58"/>
      <c r="AS168" s="58"/>
      <c r="AT168" s="58"/>
      <c r="AU168" s="58"/>
      <c r="AV168" s="58"/>
      <c r="AW168" s="58"/>
      <c r="AX168" s="58"/>
      <c r="AY168" s="58"/>
      <c r="AZ168" s="58"/>
    </row>
    <row r="169" spans="1:52" hidden="1" x14ac:dyDescent="0.25">
      <c r="A169" s="58"/>
      <c r="B169" s="58"/>
      <c r="C169" s="58"/>
      <c r="D169" s="58"/>
      <c r="E169" s="58"/>
      <c r="F169" s="58"/>
      <c r="G169" s="58"/>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c r="AE169" s="58"/>
      <c r="AF169" s="58"/>
      <c r="AG169" s="58"/>
      <c r="AH169" s="58"/>
      <c r="AI169" s="58"/>
      <c r="AJ169" s="58"/>
      <c r="AK169" s="58"/>
      <c r="AL169" s="58"/>
      <c r="AM169" s="58"/>
      <c r="AN169" s="58"/>
      <c r="AO169" s="58"/>
      <c r="AP169" s="58"/>
      <c r="AQ169" s="58"/>
      <c r="AR169" s="58"/>
      <c r="AS169" s="58"/>
      <c r="AT169" s="58"/>
      <c r="AU169" s="58"/>
      <c r="AV169" s="58"/>
      <c r="AW169" s="58"/>
      <c r="AX169" s="58"/>
      <c r="AY169" s="58"/>
      <c r="AZ169" s="58"/>
    </row>
    <row r="170" spans="1:52" hidden="1" x14ac:dyDescent="0.25">
      <c r="A170" s="58"/>
      <c r="B170" s="58"/>
      <c r="C170" s="58"/>
      <c r="D170" s="58"/>
      <c r="E170" s="58"/>
      <c r="F170" s="58"/>
      <c r="G170" s="58"/>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c r="AE170" s="58"/>
      <c r="AF170" s="58"/>
      <c r="AG170" s="58"/>
      <c r="AH170" s="58"/>
      <c r="AI170" s="58"/>
      <c r="AJ170" s="58"/>
      <c r="AK170" s="58"/>
      <c r="AL170" s="58"/>
      <c r="AM170" s="58"/>
      <c r="AN170" s="58"/>
      <c r="AO170" s="58"/>
      <c r="AP170" s="58"/>
      <c r="AQ170" s="58"/>
      <c r="AR170" s="58"/>
      <c r="AS170" s="58"/>
      <c r="AT170" s="58"/>
      <c r="AU170" s="58"/>
      <c r="AV170" s="58"/>
      <c r="AW170" s="58"/>
      <c r="AX170" s="58"/>
      <c r="AY170" s="58"/>
      <c r="AZ170" s="58"/>
    </row>
    <row r="171" spans="1:52" hidden="1" x14ac:dyDescent="0.25">
      <c r="A171" s="58"/>
      <c r="B171" s="58"/>
      <c r="C171" s="58"/>
      <c r="D171" s="58"/>
      <c r="E171" s="58"/>
      <c r="F171" s="58"/>
      <c r="G171" s="58"/>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c r="AE171" s="58"/>
      <c r="AF171" s="58"/>
      <c r="AG171" s="58"/>
      <c r="AH171" s="58"/>
      <c r="AI171" s="58"/>
      <c r="AJ171" s="58"/>
      <c r="AK171" s="58"/>
      <c r="AL171" s="58"/>
      <c r="AM171" s="58"/>
      <c r="AN171" s="58"/>
      <c r="AO171" s="58"/>
      <c r="AP171" s="58"/>
      <c r="AQ171" s="58"/>
      <c r="AR171" s="58"/>
      <c r="AS171" s="58"/>
      <c r="AT171" s="58"/>
      <c r="AU171" s="58"/>
      <c r="AV171" s="58"/>
      <c r="AW171" s="58"/>
      <c r="AX171" s="58"/>
      <c r="AY171" s="58"/>
      <c r="AZ171" s="58"/>
    </row>
    <row r="172" spans="1:52" hidden="1" x14ac:dyDescent="0.25">
      <c r="A172" s="58"/>
      <c r="B172" s="58"/>
      <c r="C172" s="58"/>
      <c r="D172" s="58"/>
      <c r="E172" s="58"/>
      <c r="F172" s="58"/>
      <c r="G172" s="58"/>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c r="AE172" s="58"/>
      <c r="AF172" s="58"/>
      <c r="AG172" s="58"/>
      <c r="AH172" s="58"/>
      <c r="AI172" s="58"/>
      <c r="AJ172" s="58"/>
      <c r="AK172" s="58"/>
      <c r="AL172" s="58"/>
      <c r="AM172" s="58"/>
      <c r="AN172" s="58"/>
      <c r="AO172" s="58"/>
      <c r="AP172" s="58"/>
      <c r="AQ172" s="58"/>
      <c r="AR172" s="58"/>
      <c r="AS172" s="58"/>
      <c r="AT172" s="58"/>
      <c r="AU172" s="58"/>
      <c r="AV172" s="58"/>
      <c r="AW172" s="58"/>
      <c r="AX172" s="58"/>
      <c r="AY172" s="58"/>
      <c r="AZ172" s="58"/>
    </row>
    <row r="173" spans="1:52" hidden="1" x14ac:dyDescent="0.25">
      <c r="A173" s="58"/>
      <c r="B173" s="58"/>
      <c r="C173" s="58"/>
      <c r="D173" s="58"/>
      <c r="E173" s="58"/>
      <c r="F173" s="58"/>
      <c r="G173" s="58"/>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c r="AE173" s="58"/>
      <c r="AF173" s="58"/>
      <c r="AG173" s="58"/>
      <c r="AH173" s="58"/>
      <c r="AI173" s="58"/>
      <c r="AJ173" s="58"/>
      <c r="AK173" s="58"/>
      <c r="AL173" s="58"/>
      <c r="AM173" s="58"/>
      <c r="AN173" s="58"/>
      <c r="AO173" s="58"/>
      <c r="AP173" s="58"/>
      <c r="AQ173" s="58"/>
      <c r="AR173" s="58"/>
      <c r="AS173" s="58"/>
      <c r="AT173" s="58"/>
      <c r="AU173" s="58"/>
      <c r="AV173" s="58"/>
      <c r="AW173" s="58"/>
      <c r="AX173" s="58"/>
      <c r="AY173" s="58"/>
      <c r="AZ173" s="58"/>
    </row>
    <row r="174" spans="1:52" hidden="1" x14ac:dyDescent="0.25">
      <c r="A174" s="58"/>
      <c r="B174" s="58"/>
      <c r="C174" s="58"/>
      <c r="D174" s="58"/>
      <c r="E174" s="58"/>
      <c r="F174" s="58"/>
      <c r="G174" s="58"/>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c r="AE174" s="58"/>
      <c r="AF174" s="58"/>
      <c r="AG174" s="58"/>
      <c r="AH174" s="58"/>
      <c r="AI174" s="58"/>
      <c r="AJ174" s="58"/>
      <c r="AK174" s="58"/>
      <c r="AL174" s="58"/>
      <c r="AM174" s="58"/>
      <c r="AN174" s="58"/>
      <c r="AO174" s="58"/>
      <c r="AP174" s="58"/>
      <c r="AQ174" s="58"/>
      <c r="AR174" s="58"/>
      <c r="AS174" s="58"/>
      <c r="AT174" s="58"/>
      <c r="AU174" s="58"/>
      <c r="AV174" s="58"/>
      <c r="AW174" s="58"/>
      <c r="AX174" s="58"/>
      <c r="AY174" s="58"/>
      <c r="AZ174" s="58"/>
    </row>
    <row r="175" spans="1:52" hidden="1" x14ac:dyDescent="0.25">
      <c r="A175" s="58"/>
      <c r="B175" s="58"/>
      <c r="C175" s="58"/>
      <c r="D175" s="58"/>
      <c r="E175" s="58"/>
      <c r="F175" s="58"/>
      <c r="G175" s="58"/>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c r="AE175" s="58"/>
      <c r="AF175" s="58"/>
      <c r="AG175" s="58"/>
      <c r="AH175" s="58"/>
      <c r="AI175" s="58"/>
      <c r="AJ175" s="58"/>
      <c r="AK175" s="58"/>
      <c r="AL175" s="58"/>
      <c r="AM175" s="58"/>
      <c r="AN175" s="58"/>
      <c r="AO175" s="58"/>
      <c r="AP175" s="58"/>
      <c r="AQ175" s="58"/>
      <c r="AR175" s="58"/>
      <c r="AS175" s="58"/>
      <c r="AT175" s="58"/>
      <c r="AU175" s="58"/>
      <c r="AV175" s="58"/>
      <c r="AW175" s="58"/>
      <c r="AX175" s="58"/>
      <c r="AY175" s="58"/>
      <c r="AZ175" s="58"/>
    </row>
    <row r="176" spans="1:52" hidden="1" x14ac:dyDescent="0.25">
      <c r="A176" s="58"/>
      <c r="B176" s="58"/>
      <c r="C176" s="58"/>
      <c r="D176" s="58"/>
      <c r="E176" s="58"/>
      <c r="F176" s="58"/>
      <c r="G176" s="58"/>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c r="AE176" s="58"/>
      <c r="AF176" s="58"/>
      <c r="AG176" s="58"/>
      <c r="AH176" s="58"/>
      <c r="AI176" s="58"/>
      <c r="AJ176" s="58"/>
      <c r="AK176" s="58"/>
      <c r="AL176" s="58"/>
      <c r="AM176" s="58"/>
      <c r="AN176" s="58"/>
      <c r="AO176" s="58"/>
      <c r="AP176" s="58"/>
      <c r="AQ176" s="58"/>
      <c r="AR176" s="58"/>
      <c r="AS176" s="58"/>
      <c r="AT176" s="58"/>
      <c r="AU176" s="58"/>
      <c r="AV176" s="58"/>
      <c r="AW176" s="58"/>
      <c r="AX176" s="58"/>
      <c r="AY176" s="58"/>
      <c r="AZ176" s="58"/>
    </row>
    <row r="177" spans="1:52" hidden="1" x14ac:dyDescent="0.25">
      <c r="A177" s="58"/>
      <c r="B177" s="58"/>
      <c r="C177" s="58"/>
      <c r="D177" s="58"/>
      <c r="E177" s="58"/>
      <c r="F177" s="58"/>
      <c r="G177" s="58"/>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c r="AE177" s="58"/>
      <c r="AF177" s="58"/>
      <c r="AG177" s="58"/>
      <c r="AH177" s="58"/>
      <c r="AI177" s="58"/>
      <c r="AJ177" s="58"/>
      <c r="AK177" s="58"/>
      <c r="AL177" s="58"/>
      <c r="AM177" s="58"/>
      <c r="AN177" s="58"/>
      <c r="AO177" s="58"/>
      <c r="AP177" s="58"/>
      <c r="AQ177" s="58"/>
      <c r="AR177" s="58"/>
      <c r="AS177" s="58"/>
      <c r="AT177" s="58"/>
      <c r="AU177" s="58"/>
      <c r="AV177" s="58"/>
      <c r="AW177" s="58"/>
      <c r="AX177" s="58"/>
      <c r="AY177" s="58"/>
      <c r="AZ177" s="58"/>
    </row>
    <row r="178" spans="1:52" hidden="1" x14ac:dyDescent="0.25">
      <c r="A178" s="58"/>
      <c r="B178" s="58"/>
      <c r="C178" s="58"/>
      <c r="D178" s="58"/>
      <c r="E178" s="58"/>
      <c r="F178" s="58"/>
      <c r="G178" s="58"/>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c r="AE178" s="58"/>
      <c r="AF178" s="58"/>
      <c r="AG178" s="58"/>
      <c r="AH178" s="58"/>
      <c r="AI178" s="58"/>
      <c r="AJ178" s="58"/>
      <c r="AK178" s="58"/>
      <c r="AL178" s="58"/>
      <c r="AM178" s="58"/>
      <c r="AN178" s="58"/>
      <c r="AO178" s="58"/>
      <c r="AP178" s="58"/>
      <c r="AQ178" s="58"/>
      <c r="AR178" s="58"/>
      <c r="AS178" s="58"/>
      <c r="AT178" s="58"/>
      <c r="AU178" s="58"/>
      <c r="AV178" s="58"/>
      <c r="AW178" s="58"/>
      <c r="AX178" s="58"/>
      <c r="AY178" s="58"/>
      <c r="AZ178" s="58"/>
    </row>
    <row r="179" spans="1:52" hidden="1" x14ac:dyDescent="0.25">
      <c r="A179" s="58"/>
      <c r="B179" s="58"/>
      <c r="C179" s="58"/>
      <c r="D179" s="58"/>
      <c r="E179" s="58"/>
      <c r="F179" s="58"/>
      <c r="G179" s="58"/>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c r="AE179" s="58"/>
      <c r="AF179" s="58"/>
      <c r="AG179" s="58"/>
      <c r="AH179" s="58"/>
      <c r="AI179" s="58"/>
      <c r="AJ179" s="58"/>
      <c r="AK179" s="58"/>
      <c r="AL179" s="58"/>
      <c r="AM179" s="58"/>
      <c r="AN179" s="58"/>
      <c r="AO179" s="58"/>
      <c r="AP179" s="58"/>
      <c r="AQ179" s="58"/>
      <c r="AR179" s="58"/>
      <c r="AS179" s="58"/>
      <c r="AT179" s="58"/>
      <c r="AU179" s="58"/>
      <c r="AV179" s="58"/>
      <c r="AW179" s="58"/>
      <c r="AX179" s="58"/>
      <c r="AY179" s="58"/>
      <c r="AZ179" s="58"/>
    </row>
    <row r="180" spans="1:52" hidden="1" x14ac:dyDescent="0.25">
      <c r="A180" s="58"/>
      <c r="B180" s="58"/>
      <c r="C180" s="58"/>
      <c r="D180" s="58"/>
      <c r="E180" s="58"/>
      <c r="F180" s="58"/>
      <c r="G180" s="58"/>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c r="AE180" s="58"/>
      <c r="AF180" s="58"/>
      <c r="AG180" s="58"/>
      <c r="AH180" s="58"/>
      <c r="AI180" s="58"/>
      <c r="AJ180" s="58"/>
      <c r="AK180" s="58"/>
      <c r="AL180" s="58"/>
      <c r="AM180" s="58"/>
      <c r="AN180" s="58"/>
      <c r="AO180" s="58"/>
      <c r="AP180" s="58"/>
      <c r="AQ180" s="58"/>
      <c r="AR180" s="58"/>
      <c r="AS180" s="58"/>
      <c r="AT180" s="58"/>
      <c r="AU180" s="58"/>
      <c r="AV180" s="58"/>
      <c r="AW180" s="58"/>
      <c r="AX180" s="58"/>
      <c r="AY180" s="58"/>
      <c r="AZ180" s="58"/>
    </row>
    <row r="181" spans="1:52" hidden="1" x14ac:dyDescent="0.25">
      <c r="A181" s="58"/>
      <c r="B181" s="58"/>
      <c r="C181" s="58"/>
      <c r="D181" s="58"/>
      <c r="E181" s="58"/>
      <c r="F181" s="58"/>
      <c r="G181" s="58"/>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c r="AE181" s="58"/>
      <c r="AF181" s="58"/>
      <c r="AG181" s="58"/>
      <c r="AH181" s="58"/>
      <c r="AI181" s="58"/>
      <c r="AJ181" s="58"/>
      <c r="AK181" s="58"/>
      <c r="AL181" s="58"/>
      <c r="AM181" s="58"/>
      <c r="AN181" s="58"/>
      <c r="AO181" s="58"/>
      <c r="AP181" s="58"/>
      <c r="AQ181" s="58"/>
      <c r="AR181" s="58"/>
      <c r="AS181" s="58"/>
      <c r="AT181" s="58"/>
      <c r="AU181" s="58"/>
      <c r="AV181" s="58"/>
      <c r="AW181" s="58"/>
      <c r="AX181" s="58"/>
      <c r="AY181" s="58"/>
      <c r="AZ181" s="58"/>
    </row>
    <row r="182" spans="1:52" hidden="1" x14ac:dyDescent="0.25">
      <c r="A182" s="58"/>
      <c r="B182" s="58"/>
      <c r="C182" s="58"/>
      <c r="D182" s="58"/>
      <c r="E182" s="58"/>
      <c r="F182" s="58"/>
      <c r="G182" s="58"/>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c r="AE182" s="58"/>
      <c r="AF182" s="58"/>
      <c r="AG182" s="58"/>
      <c r="AH182" s="58"/>
      <c r="AI182" s="58"/>
      <c r="AJ182" s="58"/>
      <c r="AK182" s="58"/>
      <c r="AL182" s="58"/>
      <c r="AM182" s="58"/>
      <c r="AN182" s="58"/>
      <c r="AO182" s="58"/>
      <c r="AP182" s="58"/>
      <c r="AQ182" s="58"/>
      <c r="AR182" s="58"/>
      <c r="AS182" s="58"/>
      <c r="AT182" s="58"/>
      <c r="AU182" s="58"/>
      <c r="AV182" s="58"/>
      <c r="AW182" s="58"/>
      <c r="AX182" s="58"/>
      <c r="AY182" s="58"/>
      <c r="AZ182" s="58"/>
    </row>
    <row r="183" spans="1:52" hidden="1" x14ac:dyDescent="0.25">
      <c r="A183" s="58"/>
      <c r="B183" s="58"/>
      <c r="C183" s="58"/>
      <c r="D183" s="58"/>
      <c r="E183" s="58"/>
      <c r="F183" s="58"/>
      <c r="G183" s="58"/>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c r="AE183" s="58"/>
      <c r="AF183" s="58"/>
      <c r="AG183" s="58"/>
      <c r="AH183" s="58"/>
      <c r="AI183" s="58"/>
      <c r="AJ183" s="58"/>
      <c r="AK183" s="58"/>
      <c r="AL183" s="58"/>
      <c r="AM183" s="58"/>
      <c r="AN183" s="58"/>
      <c r="AO183" s="58"/>
      <c r="AP183" s="58"/>
      <c r="AQ183" s="58"/>
      <c r="AR183" s="58"/>
      <c r="AS183" s="58"/>
      <c r="AT183" s="58"/>
      <c r="AU183" s="58"/>
      <c r="AV183" s="58"/>
      <c r="AW183" s="58"/>
      <c r="AX183" s="58"/>
      <c r="AY183" s="58"/>
      <c r="AZ183" s="58"/>
    </row>
    <row r="184" spans="1:52" hidden="1" x14ac:dyDescent="0.25">
      <c r="A184" s="58"/>
      <c r="B184" s="58"/>
      <c r="C184" s="58"/>
      <c r="D184" s="58"/>
      <c r="E184" s="58"/>
      <c r="F184" s="58"/>
      <c r="G184" s="58"/>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c r="AE184" s="58"/>
      <c r="AF184" s="58"/>
      <c r="AG184" s="58"/>
      <c r="AH184" s="58"/>
      <c r="AI184" s="58"/>
      <c r="AJ184" s="58"/>
      <c r="AK184" s="58"/>
      <c r="AL184" s="58"/>
      <c r="AM184" s="58"/>
      <c r="AN184" s="58"/>
      <c r="AO184" s="58"/>
      <c r="AP184" s="58"/>
      <c r="AQ184" s="58"/>
      <c r="AR184" s="58"/>
      <c r="AS184" s="58"/>
      <c r="AT184" s="58"/>
      <c r="AU184" s="58"/>
      <c r="AV184" s="58"/>
      <c r="AW184" s="58"/>
      <c r="AX184" s="58"/>
      <c r="AY184" s="58"/>
      <c r="AZ184" s="58"/>
    </row>
    <row r="185" spans="1:52" hidden="1" x14ac:dyDescent="0.25">
      <c r="A185" s="58"/>
      <c r="B185" s="58"/>
      <c r="C185" s="58"/>
      <c r="D185" s="58"/>
      <c r="E185" s="58"/>
      <c r="F185" s="58"/>
      <c r="G185" s="58"/>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c r="AE185" s="58"/>
      <c r="AF185" s="58"/>
      <c r="AG185" s="58"/>
      <c r="AH185" s="58"/>
      <c r="AI185" s="58"/>
      <c r="AJ185" s="58"/>
      <c r="AK185" s="58"/>
      <c r="AL185" s="58"/>
      <c r="AM185" s="58"/>
      <c r="AN185" s="58"/>
      <c r="AO185" s="58"/>
      <c r="AP185" s="58"/>
      <c r="AQ185" s="58"/>
      <c r="AR185" s="58"/>
      <c r="AS185" s="58"/>
      <c r="AT185" s="58"/>
      <c r="AU185" s="58"/>
      <c r="AV185" s="58"/>
      <c r="AW185" s="58"/>
      <c r="AX185" s="58"/>
      <c r="AY185" s="58"/>
      <c r="AZ185" s="58"/>
    </row>
    <row r="186" spans="1:52" hidden="1" x14ac:dyDescent="0.25">
      <c r="A186" s="58"/>
      <c r="B186" s="58"/>
      <c r="C186" s="58"/>
      <c r="D186" s="58"/>
      <c r="E186" s="58"/>
      <c r="F186" s="58"/>
      <c r="G186" s="58"/>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c r="AE186" s="58"/>
      <c r="AF186" s="58"/>
      <c r="AG186" s="58"/>
      <c r="AH186" s="58"/>
      <c r="AI186" s="58"/>
      <c r="AJ186" s="58"/>
      <c r="AK186" s="58"/>
      <c r="AL186" s="58"/>
      <c r="AM186" s="58"/>
      <c r="AN186" s="58"/>
      <c r="AO186" s="58"/>
      <c r="AP186" s="58"/>
      <c r="AQ186" s="58"/>
      <c r="AR186" s="58"/>
      <c r="AS186" s="58"/>
      <c r="AT186" s="58"/>
      <c r="AU186" s="58"/>
      <c r="AV186" s="58"/>
      <c r="AW186" s="58"/>
      <c r="AX186" s="58"/>
      <c r="AY186" s="58"/>
      <c r="AZ186" s="58"/>
    </row>
    <row r="187" spans="1:52" hidden="1" x14ac:dyDescent="0.25">
      <c r="A187" s="58"/>
      <c r="B187" s="58"/>
      <c r="C187" s="58"/>
      <c r="D187" s="58"/>
      <c r="E187" s="58"/>
      <c r="F187" s="58"/>
      <c r="G187" s="58"/>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c r="AE187" s="58"/>
      <c r="AF187" s="58"/>
      <c r="AG187" s="58"/>
      <c r="AH187" s="58"/>
      <c r="AI187" s="58"/>
      <c r="AJ187" s="58"/>
      <c r="AK187" s="58"/>
      <c r="AL187" s="58"/>
      <c r="AM187" s="58"/>
      <c r="AN187" s="58"/>
      <c r="AO187" s="58"/>
      <c r="AP187" s="58"/>
      <c r="AQ187" s="58"/>
      <c r="AR187" s="58"/>
      <c r="AS187" s="58"/>
      <c r="AT187" s="58"/>
      <c r="AU187" s="58"/>
      <c r="AV187" s="58"/>
      <c r="AW187" s="58"/>
      <c r="AX187" s="58"/>
      <c r="AY187" s="58"/>
      <c r="AZ187" s="58"/>
    </row>
    <row r="188" spans="1:52" hidden="1" x14ac:dyDescent="0.25">
      <c r="A188" s="58"/>
      <c r="B188" s="58"/>
      <c r="C188" s="58"/>
      <c r="D188" s="58"/>
      <c r="E188" s="58"/>
      <c r="F188" s="58"/>
      <c r="G188" s="58"/>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c r="AE188" s="58"/>
      <c r="AF188" s="58"/>
      <c r="AG188" s="58"/>
      <c r="AH188" s="58"/>
      <c r="AI188" s="58"/>
      <c r="AJ188" s="58"/>
      <c r="AK188" s="58"/>
      <c r="AL188" s="58"/>
      <c r="AM188" s="58"/>
      <c r="AN188" s="58"/>
      <c r="AO188" s="58"/>
      <c r="AP188" s="58"/>
      <c r="AQ188" s="58"/>
      <c r="AR188" s="58"/>
      <c r="AS188" s="58"/>
      <c r="AT188" s="58"/>
      <c r="AU188" s="58"/>
      <c r="AV188" s="58"/>
      <c r="AW188" s="58"/>
      <c r="AX188" s="58"/>
      <c r="AY188" s="58"/>
      <c r="AZ188" s="58"/>
    </row>
    <row r="189" spans="1:52" hidden="1" x14ac:dyDescent="0.25">
      <c r="A189" s="58"/>
      <c r="B189" s="58"/>
      <c r="C189" s="58"/>
      <c r="D189" s="58"/>
      <c r="E189" s="58"/>
      <c r="F189" s="58"/>
      <c r="G189" s="58"/>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c r="AE189" s="58"/>
      <c r="AF189" s="58"/>
      <c r="AG189" s="58"/>
      <c r="AH189" s="58"/>
      <c r="AI189" s="58"/>
      <c r="AJ189" s="58"/>
      <c r="AK189" s="58"/>
      <c r="AL189" s="58"/>
      <c r="AM189" s="58"/>
      <c r="AN189" s="58"/>
      <c r="AO189" s="58"/>
      <c r="AP189" s="58"/>
      <c r="AQ189" s="58"/>
      <c r="AR189" s="58"/>
      <c r="AS189" s="58"/>
      <c r="AT189" s="58"/>
      <c r="AU189" s="58"/>
      <c r="AV189" s="58"/>
      <c r="AW189" s="58"/>
      <c r="AX189" s="58"/>
      <c r="AY189" s="58"/>
      <c r="AZ189" s="58"/>
    </row>
    <row r="190" spans="1:52" hidden="1" x14ac:dyDescent="0.25">
      <c r="A190" s="58"/>
      <c r="B190" s="58"/>
      <c r="C190" s="58"/>
      <c r="D190" s="58"/>
      <c r="E190" s="58"/>
      <c r="F190" s="58"/>
      <c r="G190" s="58"/>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c r="AE190" s="58"/>
      <c r="AF190" s="58"/>
      <c r="AG190" s="58"/>
      <c r="AH190" s="58"/>
      <c r="AI190" s="58"/>
      <c r="AJ190" s="58"/>
      <c r="AK190" s="58"/>
      <c r="AL190" s="58"/>
      <c r="AM190" s="58"/>
      <c r="AN190" s="58"/>
      <c r="AO190" s="58"/>
      <c r="AP190" s="58"/>
      <c r="AQ190" s="58"/>
      <c r="AR190" s="58"/>
      <c r="AS190" s="58"/>
      <c r="AT190" s="58"/>
      <c r="AU190" s="58"/>
      <c r="AV190" s="58"/>
      <c r="AW190" s="58"/>
      <c r="AX190" s="58"/>
      <c r="AY190" s="58"/>
      <c r="AZ190" s="58"/>
    </row>
    <row r="191" spans="1:52" hidden="1" x14ac:dyDescent="0.25">
      <c r="A191" s="58"/>
      <c r="B191" s="58"/>
      <c r="C191" s="58"/>
      <c r="D191" s="58"/>
      <c r="E191" s="58"/>
      <c r="F191" s="58"/>
      <c r="G191" s="58"/>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c r="AE191" s="58"/>
      <c r="AF191" s="58"/>
      <c r="AG191" s="58"/>
      <c r="AH191" s="58"/>
      <c r="AI191" s="58"/>
      <c r="AJ191" s="58"/>
      <c r="AK191" s="58"/>
      <c r="AL191" s="58"/>
      <c r="AM191" s="58"/>
      <c r="AN191" s="58"/>
      <c r="AO191" s="58"/>
      <c r="AP191" s="58"/>
      <c r="AQ191" s="58"/>
      <c r="AR191" s="58"/>
      <c r="AS191" s="58"/>
      <c r="AT191" s="58"/>
      <c r="AU191" s="58"/>
      <c r="AV191" s="58"/>
      <c r="AW191" s="58"/>
      <c r="AX191" s="58"/>
      <c r="AY191" s="58"/>
      <c r="AZ191" s="58"/>
    </row>
    <row r="192" spans="1:52" hidden="1" x14ac:dyDescent="0.25">
      <c r="A192" s="58"/>
      <c r="B192" s="58"/>
      <c r="C192" s="58"/>
      <c r="D192" s="58"/>
      <c r="E192" s="58"/>
      <c r="F192" s="58"/>
      <c r="G192" s="58"/>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c r="AE192" s="58"/>
      <c r="AF192" s="58"/>
      <c r="AG192" s="58"/>
      <c r="AH192" s="58"/>
      <c r="AI192" s="58"/>
      <c r="AJ192" s="58"/>
      <c r="AK192" s="58"/>
      <c r="AL192" s="58"/>
      <c r="AM192" s="58"/>
      <c r="AN192" s="58"/>
      <c r="AO192" s="58"/>
      <c r="AP192" s="58"/>
      <c r="AQ192" s="58"/>
      <c r="AR192" s="58"/>
      <c r="AS192" s="58"/>
      <c r="AT192" s="58"/>
      <c r="AU192" s="58"/>
      <c r="AV192" s="58"/>
      <c r="AW192" s="58"/>
      <c r="AX192" s="58"/>
      <c r="AY192" s="58"/>
      <c r="AZ192" s="58"/>
    </row>
    <row r="193" spans="1:52" hidden="1" x14ac:dyDescent="0.25">
      <c r="A193" s="58"/>
      <c r="B193" s="58"/>
      <c r="C193" s="58"/>
      <c r="D193" s="58"/>
      <c r="E193" s="58"/>
      <c r="F193" s="58"/>
      <c r="G193" s="58"/>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c r="AE193" s="58"/>
      <c r="AF193" s="58"/>
      <c r="AG193" s="58"/>
      <c r="AH193" s="58"/>
      <c r="AI193" s="58"/>
      <c r="AJ193" s="58"/>
      <c r="AK193" s="58"/>
      <c r="AL193" s="58"/>
      <c r="AM193" s="58"/>
      <c r="AN193" s="58"/>
      <c r="AO193" s="58"/>
      <c r="AP193" s="58"/>
      <c r="AQ193" s="58"/>
      <c r="AR193" s="58"/>
      <c r="AS193" s="58"/>
      <c r="AT193" s="58"/>
      <c r="AU193" s="58"/>
      <c r="AV193" s="58"/>
      <c r="AW193" s="58"/>
      <c r="AX193" s="58"/>
      <c r="AY193" s="58"/>
      <c r="AZ193" s="58"/>
    </row>
    <row r="194" spans="1:52" hidden="1" x14ac:dyDescent="0.25">
      <c r="A194" s="58"/>
      <c r="B194" s="58"/>
      <c r="C194" s="58"/>
      <c r="D194" s="58"/>
      <c r="E194" s="58"/>
      <c r="F194" s="58"/>
      <c r="G194" s="58"/>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c r="AE194" s="58"/>
      <c r="AF194" s="58"/>
      <c r="AG194" s="58"/>
      <c r="AH194" s="58"/>
      <c r="AI194" s="58"/>
      <c r="AJ194" s="58"/>
      <c r="AK194" s="58"/>
      <c r="AL194" s="58"/>
      <c r="AM194" s="58"/>
      <c r="AN194" s="58"/>
      <c r="AO194" s="58"/>
      <c r="AP194" s="58"/>
      <c r="AQ194" s="58"/>
      <c r="AR194" s="58"/>
      <c r="AS194" s="58"/>
      <c r="AT194" s="58"/>
      <c r="AU194" s="58"/>
      <c r="AV194" s="58"/>
      <c r="AW194" s="58"/>
      <c r="AX194" s="58"/>
      <c r="AY194" s="58"/>
      <c r="AZ194" s="58"/>
    </row>
    <row r="195" spans="1:52" hidden="1" x14ac:dyDescent="0.25">
      <c r="A195" s="58"/>
      <c r="B195" s="58"/>
      <c r="C195" s="58"/>
      <c r="D195" s="58"/>
      <c r="E195" s="58"/>
      <c r="F195" s="58"/>
      <c r="G195" s="58"/>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c r="AE195" s="58"/>
      <c r="AF195" s="58"/>
      <c r="AG195" s="58"/>
      <c r="AH195" s="58"/>
      <c r="AI195" s="58"/>
      <c r="AJ195" s="58"/>
      <c r="AK195" s="58"/>
      <c r="AL195" s="58"/>
      <c r="AM195" s="58"/>
      <c r="AN195" s="58"/>
      <c r="AO195" s="58"/>
      <c r="AP195" s="58"/>
      <c r="AQ195" s="58"/>
      <c r="AR195" s="58"/>
      <c r="AS195" s="58"/>
      <c r="AT195" s="58"/>
      <c r="AU195" s="58"/>
      <c r="AV195" s="58"/>
      <c r="AW195" s="58"/>
      <c r="AX195" s="58"/>
      <c r="AY195" s="58"/>
      <c r="AZ195" s="58"/>
    </row>
    <row r="196" spans="1:52" hidden="1" x14ac:dyDescent="0.25">
      <c r="A196" s="58"/>
      <c r="B196" s="58"/>
      <c r="C196" s="58"/>
      <c r="D196" s="58"/>
      <c r="E196" s="58"/>
      <c r="F196" s="58"/>
      <c r="G196" s="58"/>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c r="AE196" s="58"/>
      <c r="AF196" s="58"/>
      <c r="AG196" s="58"/>
      <c r="AH196" s="58"/>
      <c r="AI196" s="58"/>
      <c r="AJ196" s="58"/>
      <c r="AK196" s="58"/>
      <c r="AL196" s="58"/>
      <c r="AM196" s="58"/>
      <c r="AN196" s="58"/>
      <c r="AO196" s="58"/>
      <c r="AP196" s="58"/>
      <c r="AQ196" s="58"/>
      <c r="AR196" s="58"/>
      <c r="AS196" s="58"/>
      <c r="AT196" s="58"/>
      <c r="AU196" s="58"/>
      <c r="AV196" s="58"/>
      <c r="AW196" s="58"/>
      <c r="AX196" s="58"/>
      <c r="AY196" s="58"/>
      <c r="AZ196" s="58"/>
    </row>
    <row r="197" spans="1:52" hidden="1" x14ac:dyDescent="0.25">
      <c r="A197" s="58"/>
      <c r="B197" s="58"/>
      <c r="C197" s="58"/>
      <c r="D197" s="58"/>
      <c r="E197" s="58"/>
      <c r="F197" s="58"/>
      <c r="G197" s="58"/>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c r="AE197" s="58"/>
      <c r="AF197" s="58"/>
      <c r="AG197" s="58"/>
      <c r="AH197" s="58"/>
      <c r="AI197" s="58"/>
      <c r="AJ197" s="58"/>
      <c r="AK197" s="58"/>
      <c r="AL197" s="58"/>
      <c r="AM197" s="58"/>
      <c r="AN197" s="58"/>
      <c r="AO197" s="58"/>
      <c r="AP197" s="58"/>
      <c r="AQ197" s="58"/>
      <c r="AR197" s="58"/>
      <c r="AS197" s="58"/>
      <c r="AT197" s="58"/>
      <c r="AU197" s="58"/>
      <c r="AV197" s="58"/>
      <c r="AW197" s="58"/>
      <c r="AX197" s="58"/>
      <c r="AY197" s="58"/>
      <c r="AZ197" s="58"/>
    </row>
    <row r="198" spans="1:52" hidden="1" x14ac:dyDescent="0.25">
      <c r="A198" s="58"/>
      <c r="B198" s="58"/>
      <c r="C198" s="58"/>
      <c r="D198" s="58"/>
      <c r="E198" s="58"/>
      <c r="F198" s="58"/>
      <c r="G198" s="58"/>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c r="AE198" s="58"/>
      <c r="AF198" s="58"/>
      <c r="AG198" s="58"/>
      <c r="AH198" s="58"/>
      <c r="AI198" s="58"/>
      <c r="AJ198" s="58"/>
      <c r="AK198" s="58"/>
      <c r="AL198" s="58"/>
      <c r="AM198" s="58"/>
      <c r="AN198" s="58"/>
      <c r="AO198" s="58"/>
      <c r="AP198" s="58"/>
      <c r="AQ198" s="58"/>
      <c r="AR198" s="58"/>
      <c r="AS198" s="58"/>
      <c r="AT198" s="58"/>
      <c r="AU198" s="58"/>
      <c r="AV198" s="58"/>
      <c r="AW198" s="58"/>
      <c r="AX198" s="58"/>
      <c r="AY198" s="58"/>
      <c r="AZ198" s="58"/>
    </row>
    <row r="199" spans="1:52" hidden="1" x14ac:dyDescent="0.25">
      <c r="A199" s="58"/>
      <c r="B199" s="58"/>
      <c r="C199" s="58"/>
      <c r="D199" s="58"/>
      <c r="E199" s="58"/>
      <c r="F199" s="58"/>
      <c r="G199" s="58"/>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c r="AE199" s="58"/>
      <c r="AF199" s="58"/>
      <c r="AG199" s="58"/>
      <c r="AH199" s="58"/>
      <c r="AI199" s="58"/>
      <c r="AJ199" s="58"/>
      <c r="AK199" s="58"/>
      <c r="AL199" s="58"/>
      <c r="AM199" s="58"/>
      <c r="AN199" s="58"/>
      <c r="AO199" s="58"/>
      <c r="AP199" s="58"/>
      <c r="AQ199" s="58"/>
      <c r="AR199" s="58"/>
      <c r="AS199" s="58"/>
      <c r="AT199" s="58"/>
      <c r="AU199" s="58"/>
      <c r="AV199" s="58"/>
      <c r="AW199" s="58"/>
      <c r="AX199" s="58"/>
      <c r="AY199" s="58"/>
      <c r="AZ199" s="58"/>
    </row>
    <row r="200" spans="1:52" hidden="1" x14ac:dyDescent="0.25">
      <c r="A200" s="58"/>
      <c r="B200" s="58"/>
      <c r="C200" s="58"/>
      <c r="D200" s="58"/>
      <c r="E200" s="58"/>
      <c r="F200" s="58"/>
      <c r="G200" s="58"/>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c r="AE200" s="58"/>
      <c r="AF200" s="58"/>
      <c r="AG200" s="58"/>
      <c r="AH200" s="58"/>
      <c r="AI200" s="58"/>
      <c r="AJ200" s="58"/>
      <c r="AK200" s="58"/>
      <c r="AL200" s="58"/>
      <c r="AM200" s="58"/>
      <c r="AN200" s="58"/>
      <c r="AO200" s="58"/>
      <c r="AP200" s="58"/>
      <c r="AQ200" s="58"/>
      <c r="AR200" s="58"/>
      <c r="AS200" s="58"/>
      <c r="AT200" s="58"/>
      <c r="AU200" s="58"/>
      <c r="AV200" s="58"/>
      <c r="AW200" s="58"/>
      <c r="AX200" s="58"/>
      <c r="AY200" s="58"/>
      <c r="AZ200" s="58"/>
    </row>
    <row r="201" spans="1:52" hidden="1" x14ac:dyDescent="0.25">
      <c r="A201" s="58"/>
      <c r="B201" s="58"/>
      <c r="C201" s="58"/>
      <c r="D201" s="58"/>
      <c r="E201" s="58"/>
      <c r="F201" s="58"/>
      <c r="G201" s="58"/>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c r="AE201" s="58"/>
      <c r="AF201" s="58"/>
      <c r="AG201" s="58"/>
      <c r="AH201" s="58"/>
      <c r="AI201" s="58"/>
      <c r="AJ201" s="58"/>
      <c r="AK201" s="58"/>
      <c r="AL201" s="58"/>
      <c r="AM201" s="58"/>
      <c r="AN201" s="58"/>
      <c r="AO201" s="58"/>
      <c r="AP201" s="58"/>
      <c r="AQ201" s="58"/>
      <c r="AR201" s="58"/>
      <c r="AS201" s="58"/>
      <c r="AT201" s="58"/>
      <c r="AU201" s="58"/>
      <c r="AV201" s="58"/>
      <c r="AW201" s="58"/>
      <c r="AX201" s="58"/>
      <c r="AY201" s="58"/>
      <c r="AZ201" s="58"/>
    </row>
    <row r="202" spans="1:52" hidden="1" x14ac:dyDescent="0.25">
      <c r="A202" s="58"/>
      <c r="B202" s="58"/>
      <c r="C202" s="58"/>
      <c r="D202" s="58"/>
      <c r="E202" s="58"/>
      <c r="F202" s="58"/>
      <c r="G202" s="58"/>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c r="AE202" s="58"/>
      <c r="AF202" s="58"/>
      <c r="AG202" s="58"/>
      <c r="AH202" s="58"/>
      <c r="AI202" s="58"/>
      <c r="AJ202" s="58"/>
      <c r="AK202" s="58"/>
      <c r="AL202" s="58"/>
      <c r="AM202" s="58"/>
      <c r="AN202" s="58"/>
      <c r="AO202" s="58"/>
      <c r="AP202" s="58"/>
      <c r="AQ202" s="58"/>
      <c r="AR202" s="58"/>
      <c r="AS202" s="58"/>
      <c r="AT202" s="58"/>
      <c r="AU202" s="58"/>
      <c r="AV202" s="58"/>
      <c r="AW202" s="58"/>
      <c r="AX202" s="58"/>
      <c r="AY202" s="58"/>
      <c r="AZ202" s="58"/>
    </row>
    <row r="203" spans="1:52" hidden="1" x14ac:dyDescent="0.25">
      <c r="A203" s="58"/>
      <c r="B203" s="58"/>
      <c r="C203" s="58"/>
      <c r="D203" s="58"/>
      <c r="E203" s="58"/>
      <c r="F203" s="58"/>
      <c r="G203" s="58"/>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c r="AE203" s="58"/>
      <c r="AF203" s="58"/>
      <c r="AG203" s="58"/>
      <c r="AH203" s="58"/>
      <c r="AI203" s="58"/>
      <c r="AJ203" s="58"/>
      <c r="AK203" s="58"/>
      <c r="AL203" s="58"/>
      <c r="AM203" s="58"/>
      <c r="AN203" s="58"/>
      <c r="AO203" s="58"/>
      <c r="AP203" s="58"/>
      <c r="AQ203" s="58"/>
      <c r="AR203" s="58"/>
      <c r="AS203" s="58"/>
      <c r="AT203" s="58"/>
      <c r="AU203" s="58"/>
      <c r="AV203" s="58"/>
      <c r="AW203" s="58"/>
      <c r="AX203" s="58"/>
      <c r="AY203" s="58"/>
      <c r="AZ203" s="58"/>
    </row>
    <row r="204" spans="1:52" hidden="1" x14ac:dyDescent="0.25">
      <c r="A204" s="58"/>
      <c r="B204" s="58"/>
      <c r="C204" s="58"/>
      <c r="D204" s="58"/>
      <c r="E204" s="58"/>
      <c r="F204" s="58"/>
      <c r="G204" s="58"/>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c r="AE204" s="58"/>
      <c r="AF204" s="58"/>
      <c r="AG204" s="58"/>
      <c r="AH204" s="58"/>
      <c r="AI204" s="58"/>
      <c r="AJ204" s="58"/>
      <c r="AK204" s="58"/>
      <c r="AL204" s="58"/>
      <c r="AM204" s="58"/>
      <c r="AN204" s="58"/>
      <c r="AO204" s="58"/>
      <c r="AP204" s="58"/>
      <c r="AQ204" s="58"/>
      <c r="AR204" s="58"/>
      <c r="AS204" s="58"/>
      <c r="AT204" s="58"/>
      <c r="AU204" s="58"/>
      <c r="AV204" s="58"/>
      <c r="AW204" s="58"/>
      <c r="AX204" s="58"/>
      <c r="AY204" s="58"/>
      <c r="AZ204" s="58"/>
    </row>
    <row r="205" spans="1:52" hidden="1" x14ac:dyDescent="0.25">
      <c r="A205" s="58"/>
      <c r="B205" s="58"/>
      <c r="C205" s="58"/>
      <c r="D205" s="58"/>
      <c r="E205" s="58"/>
      <c r="F205" s="58"/>
      <c r="G205" s="58"/>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c r="AE205" s="58"/>
      <c r="AF205" s="58"/>
      <c r="AG205" s="58"/>
      <c r="AH205" s="58"/>
      <c r="AI205" s="58"/>
      <c r="AJ205" s="58"/>
      <c r="AK205" s="58"/>
      <c r="AL205" s="58"/>
      <c r="AM205" s="58"/>
      <c r="AN205" s="58"/>
      <c r="AO205" s="58"/>
      <c r="AP205" s="58"/>
      <c r="AQ205" s="58"/>
      <c r="AR205" s="58"/>
      <c r="AS205" s="58"/>
      <c r="AT205" s="58"/>
      <c r="AU205" s="58"/>
      <c r="AV205" s="58"/>
      <c r="AW205" s="58"/>
      <c r="AX205" s="58"/>
      <c r="AY205" s="58"/>
      <c r="AZ205" s="58"/>
    </row>
    <row r="206" spans="1:52" hidden="1" x14ac:dyDescent="0.25">
      <c r="A206" s="58"/>
      <c r="B206" s="58"/>
      <c r="C206" s="58"/>
      <c r="D206" s="58"/>
      <c r="E206" s="58"/>
      <c r="F206" s="58"/>
      <c r="G206" s="58"/>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c r="AE206" s="58"/>
      <c r="AF206" s="58"/>
      <c r="AG206" s="58"/>
      <c r="AH206" s="58"/>
      <c r="AI206" s="58"/>
      <c r="AJ206" s="58"/>
      <c r="AK206" s="58"/>
      <c r="AL206" s="58"/>
      <c r="AM206" s="58"/>
      <c r="AN206" s="58"/>
      <c r="AO206" s="58"/>
      <c r="AP206" s="58"/>
      <c r="AQ206" s="58"/>
      <c r="AR206" s="58"/>
      <c r="AS206" s="58"/>
      <c r="AT206" s="58"/>
      <c r="AU206" s="58"/>
      <c r="AV206" s="58"/>
      <c r="AW206" s="58"/>
      <c r="AX206" s="58"/>
      <c r="AY206" s="58"/>
      <c r="AZ206" s="58"/>
    </row>
    <row r="207" spans="1:52" hidden="1" x14ac:dyDescent="0.25">
      <c r="A207" s="58"/>
      <c r="B207" s="58"/>
      <c r="C207" s="58"/>
      <c r="D207" s="58"/>
      <c r="E207" s="58"/>
      <c r="F207" s="58"/>
      <c r="G207" s="58"/>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c r="AE207" s="58"/>
      <c r="AF207" s="58"/>
      <c r="AG207" s="58"/>
      <c r="AH207" s="58"/>
      <c r="AI207" s="58"/>
      <c r="AJ207" s="58"/>
      <c r="AK207" s="58"/>
      <c r="AL207" s="58"/>
      <c r="AM207" s="58"/>
      <c r="AN207" s="58"/>
      <c r="AO207" s="58"/>
      <c r="AP207" s="58"/>
      <c r="AQ207" s="58"/>
      <c r="AR207" s="58"/>
      <c r="AS207" s="58"/>
      <c r="AT207" s="58"/>
      <c r="AU207" s="58"/>
      <c r="AV207" s="58"/>
      <c r="AW207" s="58"/>
      <c r="AX207" s="58"/>
      <c r="AY207" s="58"/>
      <c r="AZ207" s="58"/>
    </row>
    <row r="208" spans="1:52" hidden="1" x14ac:dyDescent="0.25">
      <c r="A208" s="58"/>
      <c r="B208" s="58"/>
      <c r="C208" s="58"/>
      <c r="D208" s="58"/>
      <c r="E208" s="58"/>
      <c r="F208" s="58"/>
      <c r="G208" s="58"/>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c r="AE208" s="58"/>
      <c r="AF208" s="58"/>
      <c r="AG208" s="58"/>
      <c r="AH208" s="58"/>
      <c r="AI208" s="58"/>
      <c r="AJ208" s="58"/>
      <c r="AK208" s="58"/>
      <c r="AL208" s="58"/>
      <c r="AM208" s="58"/>
      <c r="AN208" s="58"/>
      <c r="AO208" s="58"/>
      <c r="AP208" s="58"/>
      <c r="AQ208" s="58"/>
      <c r="AR208" s="58"/>
      <c r="AS208" s="58"/>
      <c r="AT208" s="58"/>
      <c r="AU208" s="58"/>
      <c r="AV208" s="58"/>
      <c r="AW208" s="58"/>
      <c r="AX208" s="58"/>
      <c r="AY208" s="58"/>
      <c r="AZ208" s="58"/>
    </row>
    <row r="209" spans="1:52" hidden="1" x14ac:dyDescent="0.25">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c r="AF209" s="58"/>
      <c r="AG209" s="58"/>
      <c r="AH209" s="58"/>
      <c r="AI209" s="58"/>
      <c r="AJ209" s="58"/>
      <c r="AK209" s="58"/>
      <c r="AL209" s="58"/>
      <c r="AM209" s="58"/>
      <c r="AN209" s="58"/>
      <c r="AO209" s="58"/>
      <c r="AP209" s="58"/>
      <c r="AQ209" s="58"/>
      <c r="AR209" s="58"/>
      <c r="AS209" s="58"/>
      <c r="AT209" s="58"/>
      <c r="AU209" s="58"/>
      <c r="AV209" s="58"/>
      <c r="AW209" s="58"/>
      <c r="AX209" s="58"/>
      <c r="AY209" s="58"/>
      <c r="AZ209" s="58"/>
    </row>
    <row r="210" spans="1:52" hidden="1" x14ac:dyDescent="0.25">
      <c r="A210" s="58"/>
      <c r="B210" s="58"/>
      <c r="C210" s="58"/>
      <c r="D210" s="58"/>
      <c r="E210" s="58"/>
      <c r="F210" s="58"/>
      <c r="G210" s="58"/>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c r="AE210" s="58"/>
      <c r="AF210" s="58"/>
      <c r="AG210" s="58"/>
      <c r="AH210" s="58"/>
      <c r="AI210" s="58"/>
      <c r="AJ210" s="58"/>
      <c r="AK210" s="58"/>
      <c r="AL210" s="58"/>
      <c r="AM210" s="58"/>
      <c r="AN210" s="58"/>
      <c r="AO210" s="58"/>
      <c r="AP210" s="58"/>
      <c r="AQ210" s="58"/>
      <c r="AR210" s="58"/>
      <c r="AS210" s="58"/>
      <c r="AT210" s="58"/>
      <c r="AU210" s="58"/>
      <c r="AV210" s="58"/>
      <c r="AW210" s="58"/>
      <c r="AX210" s="58"/>
      <c r="AY210" s="58"/>
      <c r="AZ210" s="58"/>
    </row>
    <row r="211" spans="1:52" hidden="1" x14ac:dyDescent="0.25">
      <c r="A211" s="58"/>
      <c r="B211" s="58"/>
      <c r="C211" s="58"/>
      <c r="D211" s="58"/>
      <c r="E211" s="58"/>
      <c r="F211" s="58"/>
      <c r="G211" s="58"/>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c r="AE211" s="58"/>
      <c r="AF211" s="58"/>
      <c r="AG211" s="58"/>
      <c r="AH211" s="58"/>
      <c r="AI211" s="58"/>
      <c r="AJ211" s="58"/>
      <c r="AK211" s="58"/>
      <c r="AL211" s="58"/>
      <c r="AM211" s="58"/>
      <c r="AN211" s="58"/>
      <c r="AO211" s="58"/>
      <c r="AP211" s="58"/>
      <c r="AQ211" s="58"/>
      <c r="AR211" s="58"/>
      <c r="AS211" s="58"/>
      <c r="AT211" s="58"/>
      <c r="AU211" s="58"/>
      <c r="AV211" s="58"/>
      <c r="AW211" s="58"/>
      <c r="AX211" s="58"/>
      <c r="AY211" s="58"/>
      <c r="AZ211" s="58"/>
    </row>
    <row r="212" spans="1:52" hidden="1" x14ac:dyDescent="0.25">
      <c r="A212" s="58"/>
      <c r="B212" s="58"/>
      <c r="C212" s="58"/>
      <c r="D212" s="58"/>
      <c r="E212" s="58"/>
      <c r="F212" s="58"/>
      <c r="G212" s="58"/>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c r="AE212" s="58"/>
      <c r="AF212" s="58"/>
      <c r="AG212" s="58"/>
      <c r="AH212" s="58"/>
      <c r="AI212" s="58"/>
      <c r="AJ212" s="58"/>
      <c r="AK212" s="58"/>
      <c r="AL212" s="58"/>
      <c r="AM212" s="58"/>
      <c r="AN212" s="58"/>
      <c r="AO212" s="58"/>
      <c r="AP212" s="58"/>
      <c r="AQ212" s="58"/>
      <c r="AR212" s="58"/>
      <c r="AS212" s="58"/>
      <c r="AT212" s="58"/>
      <c r="AU212" s="58"/>
      <c r="AV212" s="58"/>
      <c r="AW212" s="58"/>
      <c r="AX212" s="58"/>
      <c r="AY212" s="58"/>
      <c r="AZ212" s="58"/>
    </row>
    <row r="213" spans="1:52" hidden="1" x14ac:dyDescent="0.25">
      <c r="A213" s="58"/>
      <c r="B213" s="58"/>
      <c r="C213" s="58"/>
      <c r="D213" s="58"/>
      <c r="E213" s="58"/>
      <c r="F213" s="58"/>
      <c r="G213" s="58"/>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c r="AE213" s="58"/>
      <c r="AF213" s="58"/>
      <c r="AG213" s="58"/>
      <c r="AH213" s="58"/>
      <c r="AI213" s="58"/>
      <c r="AJ213" s="58"/>
      <c r="AK213" s="58"/>
      <c r="AL213" s="58"/>
      <c r="AM213" s="58"/>
      <c r="AN213" s="58"/>
      <c r="AO213" s="58"/>
      <c r="AP213" s="58"/>
      <c r="AQ213" s="58"/>
      <c r="AR213" s="58"/>
      <c r="AS213" s="58"/>
      <c r="AT213" s="58"/>
      <c r="AU213" s="58"/>
      <c r="AV213" s="58"/>
      <c r="AW213" s="58"/>
      <c r="AX213" s="58"/>
      <c r="AY213" s="58"/>
      <c r="AZ213" s="58"/>
    </row>
    <row r="214" spans="1:52" hidden="1" x14ac:dyDescent="0.25">
      <c r="A214" s="58"/>
      <c r="B214" s="58"/>
      <c r="C214" s="58"/>
      <c r="D214" s="58"/>
      <c r="E214" s="58"/>
      <c r="F214" s="58"/>
      <c r="G214" s="58"/>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c r="AE214" s="58"/>
      <c r="AF214" s="58"/>
      <c r="AG214" s="58"/>
      <c r="AH214" s="58"/>
      <c r="AI214" s="58"/>
      <c r="AJ214" s="58"/>
      <c r="AK214" s="58"/>
      <c r="AL214" s="58"/>
      <c r="AM214" s="58"/>
      <c r="AN214" s="58"/>
      <c r="AO214" s="58"/>
      <c r="AP214" s="58"/>
      <c r="AQ214" s="58"/>
      <c r="AR214" s="58"/>
      <c r="AS214" s="58"/>
      <c r="AT214" s="58"/>
      <c r="AU214" s="58"/>
      <c r="AV214" s="58"/>
      <c r="AW214" s="58"/>
      <c r="AX214" s="58"/>
      <c r="AY214" s="58"/>
      <c r="AZ214" s="58"/>
    </row>
    <row r="215" spans="1:52" hidden="1" x14ac:dyDescent="0.25">
      <c r="A215" s="58"/>
      <c r="B215" s="58"/>
      <c r="C215" s="58"/>
      <c r="D215" s="58"/>
      <c r="E215" s="58"/>
      <c r="F215" s="58"/>
      <c r="G215" s="58"/>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c r="AE215" s="58"/>
      <c r="AF215" s="58"/>
      <c r="AG215" s="58"/>
      <c r="AH215" s="58"/>
      <c r="AI215" s="58"/>
      <c r="AJ215" s="58"/>
      <c r="AK215" s="58"/>
      <c r="AL215" s="58"/>
      <c r="AM215" s="58"/>
      <c r="AN215" s="58"/>
      <c r="AO215" s="58"/>
      <c r="AP215" s="58"/>
      <c r="AQ215" s="58"/>
      <c r="AR215" s="58"/>
      <c r="AS215" s="58"/>
      <c r="AT215" s="58"/>
      <c r="AU215" s="58"/>
      <c r="AV215" s="58"/>
      <c r="AW215" s="58"/>
      <c r="AX215" s="58"/>
      <c r="AY215" s="58"/>
      <c r="AZ215" s="58"/>
    </row>
    <row r="216" spans="1:52" hidden="1" x14ac:dyDescent="0.25">
      <c r="A216" s="58"/>
      <c r="B216" s="58"/>
      <c r="C216" s="58"/>
      <c r="D216" s="58"/>
      <c r="E216" s="58"/>
      <c r="F216" s="58"/>
      <c r="G216" s="58"/>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c r="AE216" s="58"/>
      <c r="AF216" s="58"/>
      <c r="AG216" s="58"/>
      <c r="AH216" s="58"/>
      <c r="AI216" s="58"/>
      <c r="AJ216" s="58"/>
      <c r="AK216" s="58"/>
      <c r="AL216" s="58"/>
      <c r="AM216" s="58"/>
      <c r="AN216" s="58"/>
      <c r="AO216" s="58"/>
      <c r="AP216" s="58"/>
      <c r="AQ216" s="58"/>
      <c r="AR216" s="58"/>
      <c r="AS216" s="58"/>
      <c r="AT216" s="58"/>
      <c r="AU216" s="58"/>
      <c r="AV216" s="58"/>
      <c r="AW216" s="58"/>
      <c r="AX216" s="58"/>
      <c r="AY216" s="58"/>
      <c r="AZ216" s="58"/>
    </row>
    <row r="217" spans="1:52" hidden="1" x14ac:dyDescent="0.25">
      <c r="A217" s="58"/>
      <c r="B217" s="58"/>
      <c r="C217" s="58"/>
      <c r="D217" s="58"/>
      <c r="E217" s="58"/>
      <c r="F217" s="58"/>
      <c r="G217" s="58"/>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c r="AE217" s="58"/>
      <c r="AF217" s="58"/>
      <c r="AG217" s="58"/>
      <c r="AH217" s="58"/>
      <c r="AI217" s="58"/>
      <c r="AJ217" s="58"/>
      <c r="AK217" s="58"/>
      <c r="AL217" s="58"/>
      <c r="AM217" s="58"/>
      <c r="AN217" s="58"/>
      <c r="AO217" s="58"/>
      <c r="AP217" s="58"/>
      <c r="AQ217" s="58"/>
      <c r="AR217" s="58"/>
      <c r="AS217" s="58"/>
      <c r="AT217" s="58"/>
      <c r="AU217" s="58"/>
      <c r="AV217" s="58"/>
      <c r="AW217" s="58"/>
      <c r="AX217" s="58"/>
      <c r="AY217" s="58"/>
      <c r="AZ217" s="58"/>
    </row>
    <row r="218" spans="1:52" hidden="1" x14ac:dyDescent="0.25">
      <c r="A218" s="58"/>
      <c r="B218" s="58"/>
      <c r="C218" s="58"/>
      <c r="D218" s="58"/>
      <c r="E218" s="58"/>
      <c r="F218" s="58"/>
      <c r="G218" s="58"/>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c r="AE218" s="58"/>
      <c r="AF218" s="58"/>
      <c r="AG218" s="58"/>
      <c r="AH218" s="58"/>
      <c r="AI218" s="58"/>
      <c r="AJ218" s="58"/>
      <c r="AK218" s="58"/>
      <c r="AL218" s="58"/>
      <c r="AM218" s="58"/>
      <c r="AN218" s="58"/>
      <c r="AO218" s="58"/>
      <c r="AP218" s="58"/>
      <c r="AQ218" s="58"/>
      <c r="AR218" s="58"/>
      <c r="AS218" s="58"/>
      <c r="AT218" s="58"/>
      <c r="AU218" s="58"/>
      <c r="AV218" s="58"/>
      <c r="AW218" s="58"/>
      <c r="AX218" s="58"/>
      <c r="AY218" s="58"/>
      <c r="AZ218" s="58"/>
    </row>
    <row r="219" spans="1:52" hidden="1" x14ac:dyDescent="0.25">
      <c r="A219" s="58"/>
      <c r="B219" s="58"/>
      <c r="C219" s="58"/>
      <c r="D219" s="58"/>
      <c r="E219" s="58"/>
      <c r="F219" s="58"/>
      <c r="G219" s="58"/>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c r="AE219" s="58"/>
      <c r="AF219" s="58"/>
      <c r="AG219" s="58"/>
      <c r="AH219" s="58"/>
      <c r="AI219" s="58"/>
      <c r="AJ219" s="58"/>
      <c r="AK219" s="58"/>
      <c r="AL219" s="58"/>
      <c r="AM219" s="58"/>
      <c r="AN219" s="58"/>
      <c r="AO219" s="58"/>
      <c r="AP219" s="58"/>
      <c r="AQ219" s="58"/>
      <c r="AR219" s="58"/>
      <c r="AS219" s="58"/>
      <c r="AT219" s="58"/>
      <c r="AU219" s="58"/>
      <c r="AV219" s="58"/>
      <c r="AW219" s="58"/>
      <c r="AX219" s="58"/>
      <c r="AY219" s="58"/>
      <c r="AZ219" s="58"/>
    </row>
    <row r="220" spans="1:52" hidden="1" x14ac:dyDescent="0.25">
      <c r="A220" s="58"/>
      <c r="B220" s="58"/>
      <c r="C220" s="58"/>
      <c r="D220" s="58"/>
      <c r="E220" s="58"/>
      <c r="F220" s="58"/>
      <c r="G220" s="58"/>
      <c r="H220" s="58"/>
      <c r="I220" s="58"/>
      <c r="J220" s="58"/>
      <c r="K220" s="58"/>
      <c r="L220" s="58"/>
      <c r="M220" s="58"/>
      <c r="N220" s="58"/>
      <c r="O220" s="58"/>
      <c r="P220" s="58"/>
      <c r="Q220" s="58"/>
      <c r="R220" s="58"/>
      <c r="S220" s="58"/>
      <c r="T220" s="58"/>
      <c r="U220" s="58"/>
      <c r="V220" s="58"/>
      <c r="W220" s="58"/>
      <c r="X220" s="58"/>
      <c r="Y220" s="58"/>
      <c r="Z220" s="58"/>
      <c r="AA220" s="58"/>
      <c r="AB220" s="58"/>
      <c r="AC220" s="58"/>
      <c r="AD220" s="58"/>
      <c r="AE220" s="58"/>
      <c r="AF220" s="58"/>
      <c r="AG220" s="58"/>
      <c r="AH220" s="58"/>
      <c r="AI220" s="58"/>
      <c r="AJ220" s="58"/>
      <c r="AK220" s="58"/>
      <c r="AL220" s="58"/>
      <c r="AM220" s="58"/>
      <c r="AN220" s="58"/>
      <c r="AO220" s="58"/>
      <c r="AP220" s="58"/>
      <c r="AQ220" s="58"/>
      <c r="AR220" s="58"/>
      <c r="AS220" s="58"/>
      <c r="AT220" s="58"/>
      <c r="AU220" s="58"/>
      <c r="AV220" s="58"/>
      <c r="AW220" s="58"/>
      <c r="AX220" s="58"/>
      <c r="AY220" s="58"/>
      <c r="AZ220" s="58"/>
    </row>
  </sheetData>
  <sheetProtection sort="0" autoFilter="0" pivotTables="0"/>
  <mergeCells count="3">
    <mergeCell ref="A1:G1"/>
    <mergeCell ref="E3:G3"/>
    <mergeCell ref="A2:C2"/>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tabColor rgb="FF60A5FA"/>
  </sheetPr>
  <dimension ref="A1:J220"/>
  <sheetViews>
    <sheetView showGridLines="0" zoomScaleNormal="100" workbookViewId="0"/>
  </sheetViews>
  <sheetFormatPr defaultColWidth="0" defaultRowHeight="15" zeroHeight="1" x14ac:dyDescent="0.25"/>
  <cols>
    <col min="1" max="1" width="38.7109375" style="1" customWidth="1"/>
    <col min="2" max="3" width="19.7109375" style="1" customWidth="1"/>
    <col min="4" max="4" width="3.7109375" style="1" hidden="1" customWidth="1"/>
    <col min="5" max="5" width="22.7109375" style="1" hidden="1" customWidth="1"/>
    <col min="6" max="6" width="0.140625" style="1" customWidth="1"/>
    <col min="7" max="10" width="9.7109375" style="1" customWidth="1"/>
    <col min="11" max="16384" width="9.140625" style="1" hidden="1"/>
  </cols>
  <sheetData>
    <row r="1" spans="1:6" ht="21.95" customHeight="1" x14ac:dyDescent="0.45">
      <c r="A1" s="144" t="s">
        <v>2209</v>
      </c>
      <c r="B1" s="145"/>
      <c r="C1" s="145"/>
      <c r="D1" s="145"/>
      <c r="E1" s="145"/>
      <c r="F1" s="145"/>
    </row>
    <row r="2" spans="1:6" ht="21.95" customHeight="1" x14ac:dyDescent="0.25">
      <c r="A2" s="143" t="s">
        <v>2210</v>
      </c>
      <c r="B2" s="143" t="s">
        <v>90</v>
      </c>
      <c r="C2" s="143" t="s">
        <v>91</v>
      </c>
      <c r="D2" s="145"/>
      <c r="E2" s="143"/>
      <c r="F2" s="143"/>
    </row>
    <row r="3" spans="1:6" ht="21.95" customHeight="1" x14ac:dyDescent="0.25">
      <c r="A3" s="146" t="s">
        <v>2211</v>
      </c>
      <c r="B3" s="111">
        <v>0</v>
      </c>
      <c r="C3" s="111">
        <v>0</v>
      </c>
      <c r="D3" s="145"/>
      <c r="E3" s="146"/>
      <c r="F3" s="146"/>
    </row>
    <row r="4" spans="1:6" ht="21.95" customHeight="1" x14ac:dyDescent="0.25">
      <c r="A4" s="146" t="s">
        <v>2212</v>
      </c>
      <c r="B4" s="111">
        <v>0</v>
      </c>
      <c r="C4" s="111">
        <v>0</v>
      </c>
      <c r="D4" s="145"/>
      <c r="E4" s="146"/>
      <c r="F4" s="146"/>
    </row>
    <row r="5" spans="1:6" ht="8.1" customHeight="1" x14ac:dyDescent="0.25">
      <c r="A5" s="145"/>
      <c r="B5" s="145"/>
      <c r="C5" s="145"/>
      <c r="D5" s="145"/>
      <c r="E5" s="145"/>
      <c r="F5" s="145"/>
    </row>
    <row r="6" spans="1:6" ht="21.95" customHeight="1" x14ac:dyDescent="0.25">
      <c r="A6" s="143" t="s">
        <v>2213</v>
      </c>
      <c r="B6" s="104">
        <v>2</v>
      </c>
      <c r="C6" s="143"/>
      <c r="D6" s="145"/>
      <c r="E6" s="145"/>
      <c r="F6" s="145"/>
    </row>
    <row r="7" spans="1:6" ht="21.95" customHeight="1" x14ac:dyDescent="0.25">
      <c r="A7" s="146" t="s">
        <v>98</v>
      </c>
      <c r="B7" s="146" t="s">
        <v>2208</v>
      </c>
      <c r="C7" s="146"/>
      <c r="D7" s="145"/>
      <c r="E7" s="145"/>
      <c r="F7" s="145"/>
    </row>
    <row r="8" spans="1:6" ht="8.1" customHeight="1" x14ac:dyDescent="0.25">
      <c r="A8" s="145"/>
      <c r="B8" s="145"/>
      <c r="C8" s="145"/>
      <c r="D8" s="145"/>
      <c r="E8" s="145"/>
      <c r="F8" s="147">
        <f>YEAR(B9)</f>
        <v>2025</v>
      </c>
    </row>
    <row r="9" spans="1:6" ht="24" customHeight="1" x14ac:dyDescent="0.25">
      <c r="A9" s="145" t="s">
        <v>2223</v>
      </c>
      <c r="B9" s="150">
        <f>Despesas!C4</f>
        <v>45931</v>
      </c>
      <c r="C9" s="145"/>
      <c r="D9" s="145"/>
      <c r="E9" s="145"/>
      <c r="F9" s="145"/>
    </row>
    <row r="10" spans="1:6" ht="24" customHeight="1" x14ac:dyDescent="0.25">
      <c r="A10" s="145" t="s">
        <v>2224</v>
      </c>
      <c r="B10" s="151">
        <f>Despesas!N4</f>
        <v>46266</v>
      </c>
      <c r="C10" s="145"/>
      <c r="D10" s="145"/>
      <c r="E10" s="145"/>
      <c r="F10" s="147">
        <v>711</v>
      </c>
    </row>
    <row r="11" spans="1:6" ht="21.95" customHeight="1" x14ac:dyDescent="0.25">
      <c r="A11" s="145"/>
      <c r="B11" s="145"/>
      <c r="C11" s="145"/>
      <c r="D11" s="145"/>
      <c r="E11" s="145"/>
      <c r="F11" s="147">
        <v>57</v>
      </c>
    </row>
    <row r="12" spans="1:6" ht="21.95" customHeight="1" x14ac:dyDescent="0.25">
      <c r="A12" s="145"/>
      <c r="B12" s="145"/>
      <c r="C12" s="145"/>
      <c r="D12" s="145"/>
      <c r="E12" s="145"/>
      <c r="F12" s="145"/>
    </row>
    <row r="13" spans="1:6" ht="15" hidden="1" customHeight="1" x14ac:dyDescent="0.25">
      <c r="F13" s="142"/>
    </row>
    <row r="14" spans="1:6" ht="15" hidden="1" customHeight="1" x14ac:dyDescent="0.25"/>
    <row r="15" spans="1:6" ht="15" hidden="1" customHeight="1" x14ac:dyDescent="0.25"/>
    <row r="16" spans="1:6" ht="15" hidden="1" customHeight="1" x14ac:dyDescent="0.25"/>
    <row r="17" ht="15" hidden="1" customHeight="1" x14ac:dyDescent="0.25"/>
    <row r="18" ht="15" hidden="1" customHeight="1" x14ac:dyDescent="0.25"/>
    <row r="19" ht="15" hidden="1" customHeight="1" x14ac:dyDescent="0.25"/>
    <row r="20" ht="15" hidden="1" customHeight="1" x14ac:dyDescent="0.25"/>
    <row r="21" ht="15" hidden="1" customHeight="1" x14ac:dyDescent="0.25"/>
    <row r="22" ht="15" hidden="1" customHeight="1" x14ac:dyDescent="0.25"/>
    <row r="23" ht="15" hidden="1" customHeight="1" x14ac:dyDescent="0.25"/>
    <row r="24" ht="15" hidden="1" customHeight="1" x14ac:dyDescent="0.25"/>
    <row r="25" ht="15" hidden="1" customHeight="1" x14ac:dyDescent="0.25"/>
    <row r="26" ht="15" hidden="1" customHeight="1" x14ac:dyDescent="0.25"/>
    <row r="27" ht="15" hidden="1" customHeight="1" x14ac:dyDescent="0.25"/>
    <row r="28" ht="15" hidden="1" customHeight="1" x14ac:dyDescent="0.25"/>
    <row r="29" ht="15" hidden="1" customHeight="1" x14ac:dyDescent="0.25"/>
    <row r="30" ht="15" hidden="1" customHeight="1" x14ac:dyDescent="0.25"/>
    <row r="31" ht="15" hidden="1" customHeight="1" x14ac:dyDescent="0.25"/>
    <row r="32" ht="15" hidden="1" customHeight="1" x14ac:dyDescent="0.25"/>
    <row r="33" ht="15" hidden="1" customHeight="1" x14ac:dyDescent="0.25"/>
    <row r="34" ht="15" hidden="1" customHeight="1" x14ac:dyDescent="0.25"/>
    <row r="35" ht="15" hidden="1" customHeight="1" x14ac:dyDescent="0.25"/>
    <row r="36" ht="15" hidden="1" customHeight="1" x14ac:dyDescent="0.25"/>
    <row r="37" ht="15" hidden="1" customHeight="1" x14ac:dyDescent="0.25"/>
    <row r="38" ht="15" hidden="1" customHeight="1" x14ac:dyDescent="0.25"/>
    <row r="39" ht="15" hidden="1" customHeight="1" x14ac:dyDescent="0.25"/>
    <row r="40" ht="15" hidden="1" customHeight="1" x14ac:dyDescent="0.25"/>
    <row r="41" ht="15" hidden="1" customHeight="1" x14ac:dyDescent="0.25"/>
    <row r="42" ht="15" hidden="1" customHeight="1" x14ac:dyDescent="0.25"/>
    <row r="43" ht="15" hidden="1" customHeight="1" x14ac:dyDescent="0.25"/>
    <row r="44" ht="15" hidden="1" customHeight="1" x14ac:dyDescent="0.25"/>
    <row r="45" ht="15" hidden="1" customHeight="1" x14ac:dyDescent="0.25"/>
    <row r="46" ht="15" hidden="1" customHeight="1" x14ac:dyDescent="0.25"/>
    <row r="47" ht="15" hidden="1" customHeight="1" x14ac:dyDescent="0.25"/>
    <row r="48"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row r="170" ht="15" hidden="1" customHeight="1" x14ac:dyDescent="0.25"/>
    <row r="171" ht="15" hidden="1" customHeight="1" x14ac:dyDescent="0.25"/>
    <row r="172" ht="15" hidden="1" customHeight="1" x14ac:dyDescent="0.25"/>
    <row r="173" ht="15" hidden="1" customHeight="1" x14ac:dyDescent="0.25"/>
    <row r="174" ht="15" hidden="1" customHeight="1" x14ac:dyDescent="0.25"/>
    <row r="175" ht="15" hidden="1" customHeight="1" x14ac:dyDescent="0.25"/>
    <row r="176" ht="15" hidden="1" customHeight="1" x14ac:dyDescent="0.25"/>
    <row r="177" ht="15" hidden="1" customHeight="1" x14ac:dyDescent="0.25"/>
    <row r="178" ht="15" hidden="1" customHeight="1" x14ac:dyDescent="0.25"/>
    <row r="179" ht="15" hidden="1" customHeight="1" x14ac:dyDescent="0.25"/>
    <row r="180" ht="15" hidden="1" customHeight="1" x14ac:dyDescent="0.25"/>
    <row r="181" ht="15" hidden="1" customHeight="1" x14ac:dyDescent="0.25"/>
    <row r="182" ht="15" hidden="1" customHeight="1" x14ac:dyDescent="0.25"/>
    <row r="183" ht="15" hidden="1" customHeight="1" x14ac:dyDescent="0.25"/>
    <row r="184" ht="15" hidden="1" customHeight="1" x14ac:dyDescent="0.25"/>
    <row r="185" ht="15" hidden="1" customHeight="1" x14ac:dyDescent="0.25"/>
    <row r="186" ht="15" hidden="1" customHeight="1" x14ac:dyDescent="0.25"/>
    <row r="187" ht="15" hidden="1" customHeight="1" x14ac:dyDescent="0.25"/>
    <row r="188" ht="15" hidden="1" customHeight="1" x14ac:dyDescent="0.25"/>
    <row r="189" ht="15" hidden="1" customHeight="1" x14ac:dyDescent="0.25"/>
    <row r="190" ht="15" hidden="1" customHeight="1" x14ac:dyDescent="0.25"/>
    <row r="191" ht="15" hidden="1" customHeight="1" x14ac:dyDescent="0.25"/>
    <row r="192" ht="15" hidden="1" customHeight="1" x14ac:dyDescent="0.25"/>
    <row r="193" ht="15" hidden="1" customHeight="1" x14ac:dyDescent="0.25"/>
    <row r="194" ht="15" hidden="1" customHeight="1" x14ac:dyDescent="0.25"/>
    <row r="195" ht="15" hidden="1" customHeight="1" x14ac:dyDescent="0.25"/>
    <row r="196" ht="15" hidden="1" customHeight="1" x14ac:dyDescent="0.25"/>
    <row r="197" ht="15" hidden="1" customHeight="1" x14ac:dyDescent="0.25"/>
    <row r="198" ht="15" hidden="1" customHeight="1" x14ac:dyDescent="0.25"/>
    <row r="199" ht="15" hidden="1" customHeight="1" x14ac:dyDescent="0.25"/>
    <row r="200" ht="15" hidden="1" customHeight="1" x14ac:dyDescent="0.25"/>
    <row r="201" ht="15" hidden="1" customHeight="1" x14ac:dyDescent="0.25"/>
    <row r="202" ht="15" hidden="1" customHeight="1" x14ac:dyDescent="0.25"/>
    <row r="203" ht="15" hidden="1" customHeight="1" x14ac:dyDescent="0.25"/>
    <row r="204" ht="15" hidden="1" customHeight="1" x14ac:dyDescent="0.25"/>
    <row r="205" ht="15" hidden="1" customHeight="1" x14ac:dyDescent="0.25"/>
    <row r="206" ht="15" hidden="1" customHeight="1" x14ac:dyDescent="0.25"/>
    <row r="207" ht="15" hidden="1" customHeight="1" x14ac:dyDescent="0.25"/>
    <row r="208" ht="15" hidden="1" customHeight="1" x14ac:dyDescent="0.25"/>
    <row r="209" ht="15" hidden="1" customHeight="1" x14ac:dyDescent="0.25"/>
    <row r="210" ht="15" hidden="1" customHeight="1" x14ac:dyDescent="0.25"/>
    <row r="211" ht="15" hidden="1" customHeight="1" x14ac:dyDescent="0.25"/>
    <row r="212" ht="15" hidden="1" customHeight="1" x14ac:dyDescent="0.25"/>
    <row r="213" ht="15" hidden="1" customHeight="1" x14ac:dyDescent="0.25"/>
    <row r="214" ht="15" hidden="1" customHeight="1" x14ac:dyDescent="0.25"/>
    <row r="215" ht="15" hidden="1" customHeight="1" x14ac:dyDescent="0.25"/>
    <row r="216" ht="15" hidden="1" customHeight="1" x14ac:dyDescent="0.25"/>
    <row r="217" ht="15" hidden="1" customHeight="1" x14ac:dyDescent="0.25"/>
    <row r="218" ht="15" hidden="1" customHeight="1" x14ac:dyDescent="0.25"/>
    <row r="219" ht="15" hidden="1" customHeight="1" x14ac:dyDescent="0.25"/>
    <row r="220" ht="15" hidden="1" customHeight="1" x14ac:dyDescent="0.25"/>
  </sheetData>
  <sheetProtection sort="0" autoFilter="0" pivotTables="0"/>
  <pageMargins left="0.75" right="0.75" top="1" bottom="1" header="0.5" footer="0.5"/>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tabColor rgb="FF475569"/>
  </sheetPr>
  <dimension ref="A1:K34"/>
  <sheetViews>
    <sheetView showGridLines="0" showRowColHeaders="0" zoomScaleNormal="100" workbookViewId="0"/>
  </sheetViews>
  <sheetFormatPr defaultColWidth="9.140625" defaultRowHeight="15" x14ac:dyDescent="0.25"/>
  <cols>
    <col min="1" max="1" width="3.7109375" style="1" customWidth="1"/>
    <col min="2" max="7" width="16.7109375" style="1" customWidth="1"/>
    <col min="8" max="10" width="3.7109375" style="1" customWidth="1"/>
    <col min="11" max="11" width="3.28515625" style="1" customWidth="1"/>
    <col min="12" max="15" width="9.7109375" style="1" customWidth="1"/>
    <col min="16" max="16384" width="9.140625" style="1"/>
  </cols>
  <sheetData>
    <row r="1" spans="1:11" ht="21" customHeight="1" x14ac:dyDescent="0.25">
      <c r="A1" s="106"/>
      <c r="B1" s="106"/>
      <c r="C1" s="106"/>
      <c r="D1" s="106"/>
      <c r="E1" s="106"/>
      <c r="F1" s="106"/>
      <c r="G1" s="106"/>
      <c r="H1" s="106"/>
      <c r="I1" s="106"/>
      <c r="J1" s="106"/>
      <c r="K1" s="106"/>
    </row>
    <row r="2" spans="1:11" ht="21" customHeight="1" x14ac:dyDescent="0.25">
      <c r="A2" s="106"/>
      <c r="B2" s="215" t="s">
        <v>99</v>
      </c>
      <c r="C2" s="216"/>
      <c r="D2" s="216"/>
      <c r="E2" s="216"/>
      <c r="F2" s="216"/>
      <c r="G2" s="106"/>
      <c r="H2" s="106"/>
      <c r="I2" s="106"/>
      <c r="J2" s="106"/>
      <c r="K2" s="106"/>
    </row>
    <row r="3" spans="1:11" ht="21" customHeight="1" x14ac:dyDescent="0.25">
      <c r="A3" s="106"/>
      <c r="B3" s="106"/>
      <c r="C3" s="106"/>
      <c r="D3" s="106"/>
      <c r="E3" s="106"/>
      <c r="F3" s="106"/>
      <c r="G3" s="106"/>
      <c r="H3" s="106"/>
      <c r="I3" s="106"/>
      <c r="J3" s="106"/>
      <c r="K3" s="106"/>
    </row>
    <row r="4" spans="1:11" ht="21" customHeight="1" x14ac:dyDescent="0.25">
      <c r="A4" s="106"/>
      <c r="B4" s="107" t="s">
        <v>100</v>
      </c>
      <c r="C4" s="108"/>
      <c r="D4" s="108"/>
      <c r="E4" s="108"/>
      <c r="F4" s="108"/>
      <c r="G4" s="108"/>
      <c r="H4" s="108"/>
      <c r="I4" s="106"/>
      <c r="J4" s="106"/>
      <c r="K4" s="106"/>
    </row>
    <row r="5" spans="1:11" ht="21" customHeight="1" x14ac:dyDescent="0.25">
      <c r="A5" s="106"/>
      <c r="B5" s="106"/>
      <c r="C5" s="106"/>
      <c r="D5" s="106"/>
      <c r="E5" s="106"/>
      <c r="F5" s="106"/>
      <c r="G5" s="106"/>
      <c r="H5" s="106"/>
      <c r="I5" s="106"/>
      <c r="J5" s="106"/>
      <c r="K5" s="106"/>
    </row>
    <row r="6" spans="1:11" ht="21" customHeight="1" x14ac:dyDescent="0.25">
      <c r="A6" s="106"/>
      <c r="B6" s="106"/>
      <c r="C6" s="106"/>
      <c r="D6" s="106"/>
      <c r="E6" s="106"/>
      <c r="F6" s="106"/>
      <c r="G6" s="106"/>
      <c r="H6" s="106"/>
      <c r="I6" s="106"/>
      <c r="J6" s="106"/>
      <c r="K6" s="106"/>
    </row>
    <row r="7" spans="1:11" ht="21" customHeight="1" x14ac:dyDescent="0.25">
      <c r="A7" s="106"/>
      <c r="B7" s="106"/>
      <c r="C7" s="106"/>
      <c r="D7" s="106"/>
      <c r="E7" s="106"/>
      <c r="F7" s="106"/>
      <c r="G7" s="106"/>
      <c r="H7" s="106"/>
      <c r="I7" s="106"/>
      <c r="J7" s="106"/>
      <c r="K7" s="106"/>
    </row>
    <row r="8" spans="1:11" ht="21" customHeight="1" x14ac:dyDescent="0.25">
      <c r="A8" s="106"/>
      <c r="B8" s="107" t="s">
        <v>101</v>
      </c>
      <c r="C8" s="108"/>
      <c r="D8" s="108"/>
      <c r="E8" s="108"/>
      <c r="F8" s="108"/>
      <c r="G8" s="108"/>
      <c r="H8" s="108"/>
      <c r="I8" s="106"/>
      <c r="J8" s="106"/>
      <c r="K8" s="106"/>
    </row>
    <row r="9" spans="1:11" ht="21" customHeight="1" x14ac:dyDescent="0.25">
      <c r="A9" s="106"/>
      <c r="B9" s="106"/>
      <c r="C9" s="106"/>
      <c r="D9" s="106"/>
      <c r="E9" s="106"/>
      <c r="F9" s="106"/>
      <c r="G9" s="106"/>
      <c r="H9" s="106"/>
      <c r="I9" s="106"/>
      <c r="J9" s="106"/>
      <c r="K9" s="106"/>
    </row>
    <row r="10" spans="1:11" ht="21" customHeight="1" x14ac:dyDescent="0.25">
      <c r="A10" s="106"/>
      <c r="B10" s="106"/>
      <c r="C10" s="106"/>
      <c r="D10" s="106"/>
      <c r="E10" s="106"/>
      <c r="F10" s="106"/>
      <c r="G10" s="106"/>
      <c r="H10" s="106"/>
      <c r="I10" s="106"/>
      <c r="J10" s="106"/>
      <c r="K10" s="106"/>
    </row>
    <row r="11" spans="1:11" ht="21" customHeight="1" x14ac:dyDescent="0.25">
      <c r="A11" s="106"/>
      <c r="B11" s="106"/>
      <c r="C11" s="106"/>
      <c r="D11" s="106"/>
      <c r="E11" s="106"/>
      <c r="F11" s="106"/>
      <c r="G11" s="106"/>
      <c r="H11" s="106"/>
      <c r="I11" s="106"/>
      <c r="J11" s="106"/>
      <c r="K11" s="106"/>
    </row>
    <row r="12" spans="1:11" ht="21" customHeight="1" x14ac:dyDescent="0.25">
      <c r="A12" s="106"/>
      <c r="B12" s="107" t="s">
        <v>102</v>
      </c>
      <c r="C12" s="108"/>
      <c r="D12" s="108"/>
      <c r="E12" s="108"/>
      <c r="F12" s="108"/>
      <c r="G12" s="108"/>
      <c r="H12" s="108"/>
      <c r="I12" s="106"/>
      <c r="J12" s="106"/>
      <c r="K12" s="106"/>
    </row>
    <row r="13" spans="1:11" ht="21" customHeight="1" x14ac:dyDescent="0.25">
      <c r="A13" s="106"/>
      <c r="B13" s="106"/>
      <c r="C13" s="106"/>
      <c r="D13" s="106"/>
      <c r="E13" s="106"/>
      <c r="F13" s="106"/>
      <c r="G13" s="106"/>
      <c r="H13" s="106"/>
      <c r="I13" s="106"/>
      <c r="J13" s="106"/>
      <c r="K13" s="106"/>
    </row>
    <row r="14" spans="1:11" ht="21" customHeight="1" x14ac:dyDescent="0.25">
      <c r="A14" s="106"/>
      <c r="B14" s="106"/>
      <c r="C14" s="106"/>
      <c r="D14" s="106"/>
      <c r="E14" s="106"/>
      <c r="F14" s="106"/>
      <c r="G14" s="106"/>
      <c r="H14" s="106"/>
      <c r="I14" s="106"/>
      <c r="J14" s="106"/>
      <c r="K14" s="106"/>
    </row>
    <row r="15" spans="1:11" ht="21" customHeight="1" x14ac:dyDescent="0.25">
      <c r="A15" s="106"/>
      <c r="B15" s="106"/>
      <c r="C15" s="106"/>
      <c r="D15" s="106"/>
      <c r="E15" s="106"/>
      <c r="F15" s="106"/>
      <c r="G15" s="106"/>
      <c r="H15" s="106"/>
      <c r="I15" s="106"/>
      <c r="J15" s="106"/>
      <c r="K15" s="106"/>
    </row>
    <row r="16" spans="1:11" ht="21" customHeight="1" x14ac:dyDescent="0.25">
      <c r="A16" s="106"/>
      <c r="B16" s="107" t="s">
        <v>103</v>
      </c>
      <c r="C16" s="108"/>
      <c r="D16" s="108"/>
      <c r="E16" s="108"/>
      <c r="F16" s="108"/>
      <c r="G16" s="108"/>
      <c r="H16" s="108"/>
      <c r="I16" s="106"/>
      <c r="J16" s="106"/>
      <c r="K16" s="106"/>
    </row>
    <row r="17" spans="1:11" ht="21" customHeight="1" x14ac:dyDescent="0.25">
      <c r="A17" s="106"/>
      <c r="B17" s="106"/>
      <c r="C17" s="106"/>
      <c r="D17" s="106"/>
      <c r="E17" s="106"/>
      <c r="F17" s="106"/>
      <c r="G17" s="106"/>
      <c r="H17" s="106"/>
      <c r="I17" s="106"/>
      <c r="J17" s="106"/>
      <c r="K17" s="106"/>
    </row>
    <row r="18" spans="1:11" ht="21" customHeight="1" x14ac:dyDescent="0.25">
      <c r="A18" s="106"/>
      <c r="B18" s="106"/>
      <c r="C18" s="106"/>
      <c r="D18" s="106"/>
      <c r="E18" s="106"/>
      <c r="F18" s="106"/>
      <c r="G18" s="106"/>
      <c r="H18" s="106"/>
      <c r="I18" s="106"/>
      <c r="J18" s="106"/>
      <c r="K18" s="106"/>
    </row>
    <row r="19" spans="1:11" ht="21" customHeight="1" x14ac:dyDescent="0.25">
      <c r="A19" s="106"/>
      <c r="B19" s="106"/>
      <c r="C19" s="106"/>
      <c r="D19" s="106"/>
      <c r="E19" s="106"/>
      <c r="F19" s="106"/>
      <c r="G19" s="106"/>
      <c r="H19" s="106"/>
      <c r="I19" s="106"/>
      <c r="J19" s="106"/>
      <c r="K19" s="106"/>
    </row>
    <row r="20" spans="1:11" ht="21" customHeight="1" x14ac:dyDescent="0.25"/>
    <row r="21" spans="1:11" ht="21" customHeight="1" x14ac:dyDescent="0.25"/>
    <row r="22" spans="1:11" ht="21" customHeight="1" x14ac:dyDescent="0.25"/>
    <row r="23" spans="1:11" ht="21" customHeight="1" x14ac:dyDescent="0.25"/>
    <row r="24" spans="1:11" ht="21" customHeight="1" x14ac:dyDescent="0.25"/>
    <row r="25" spans="1:11" ht="21" customHeight="1" x14ac:dyDescent="0.25"/>
    <row r="26" spans="1:11" ht="21" customHeight="1" x14ac:dyDescent="0.25"/>
    <row r="27" spans="1:11" ht="21" customHeight="1" x14ac:dyDescent="0.25"/>
    <row r="28" spans="1:11" ht="21" customHeight="1" x14ac:dyDescent="0.25"/>
    <row r="29" spans="1:11" ht="21.95" customHeight="1" x14ac:dyDescent="0.25"/>
    <row r="30" spans="1:11" ht="21.95" customHeight="1" x14ac:dyDescent="0.25"/>
    <row r="31" spans="1:11" ht="21.95" customHeight="1" x14ac:dyDescent="0.25"/>
    <row r="32" spans="1:11" ht="21.95" customHeight="1" x14ac:dyDescent="0.25"/>
    <row r="33" ht="21.95" customHeight="1" x14ac:dyDescent="0.25"/>
    <row r="34" ht="21.95" customHeight="1" x14ac:dyDescent="0.25"/>
  </sheetData>
  <sheetProtection sort="0" autoFilter="0"/>
  <mergeCells count="1">
    <mergeCell ref="B2:F2"/>
  </mergeCells>
  <pageMargins left="0.75" right="0.75" top="1" bottom="1" header="0.5" footer="0.5"/>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rgb="FF2DD4BF"/>
  </sheetPr>
  <dimension ref="A1:N1"/>
  <sheetViews>
    <sheetView showGridLines="0" zoomScaleNormal="100" workbookViewId="0">
      <selection activeCell="M2" sqref="M2"/>
    </sheetView>
  </sheetViews>
  <sheetFormatPr defaultRowHeight="15" x14ac:dyDescent="0.25"/>
  <cols>
    <col min="1" max="1" width="2.7109375" style="126" bestFit="1" customWidth="1"/>
    <col min="2" max="2" width="6.28515625" bestFit="1" customWidth="1"/>
    <col min="3" max="3" width="9.140625" bestFit="1" customWidth="1"/>
    <col min="4" max="4" width="8.28515625" bestFit="1" customWidth="1"/>
    <col min="5" max="5" width="4.85546875" style="208" bestFit="1" customWidth="1"/>
    <col min="6" max="6" width="4.7109375" style="128" bestFit="1" customWidth="1"/>
    <col min="7" max="7" width="5.42578125" style="176" bestFit="1" customWidth="1"/>
    <col min="8" max="8" width="8.140625" bestFit="1" customWidth="1"/>
    <col min="9" max="9" width="10.140625" bestFit="1" customWidth="1"/>
    <col min="10" max="10" width="4.5703125" bestFit="1" customWidth="1"/>
    <col min="11" max="11" width="7.7109375" bestFit="1" customWidth="1"/>
    <col min="12" max="12" width="5.140625" bestFit="1" customWidth="1"/>
    <col min="13" max="13" width="13.42578125" bestFit="1" customWidth="1"/>
    <col min="14" max="14" width="9.42578125" bestFit="1" customWidth="1"/>
    <col min="15" max="18" width="9.7109375" customWidth="1"/>
  </cols>
  <sheetData>
    <row r="1" spans="1:14" ht="24" customHeight="1" x14ac:dyDescent="0.25">
      <c r="A1" s="125" t="s">
        <v>104</v>
      </c>
      <c r="B1" s="124" t="s">
        <v>105</v>
      </c>
      <c r="C1" s="124" t="s">
        <v>106</v>
      </c>
      <c r="D1" s="124" t="s">
        <v>107</v>
      </c>
      <c r="E1" s="207" t="s">
        <v>108</v>
      </c>
      <c r="F1" s="127" t="s">
        <v>109</v>
      </c>
      <c r="G1" s="209" t="s">
        <v>110</v>
      </c>
      <c r="H1" s="124" t="s">
        <v>111</v>
      </c>
      <c r="I1" s="124" t="s">
        <v>112</v>
      </c>
      <c r="J1" s="124" t="s">
        <v>113</v>
      </c>
      <c r="K1" s="124" t="s">
        <v>114</v>
      </c>
      <c r="L1" s="124" t="s">
        <v>115</v>
      </c>
      <c r="M1" s="124" t="s">
        <v>116</v>
      </c>
      <c r="N1" s="124" t="s">
        <v>117</v>
      </c>
    </row>
  </sheetData>
  <sheetProtection sort="0" autoFilter="0" pivotTables="0"/>
  <pageMargins left="0.75" right="0.75" top="1" bottom="1" header="0.5" footer="0.5"/>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rgb="FF93C5FD"/>
  </sheetPr>
  <dimension ref="A1:AZ220"/>
  <sheetViews>
    <sheetView showGridLines="0" zoomScaleNormal="100" workbookViewId="0">
      <selection activeCell="D17" sqref="D17"/>
    </sheetView>
  </sheetViews>
  <sheetFormatPr defaultRowHeight="14.25" x14ac:dyDescent="0.25"/>
  <cols>
    <col min="1" max="1" width="4.7109375" style="54" customWidth="1"/>
    <col min="2" max="2" width="20.7109375" style="54" customWidth="1"/>
    <col min="3" max="3" width="3.7109375" style="54" customWidth="1"/>
    <col min="4" max="4" width="26.7109375" style="54" customWidth="1"/>
    <col min="5" max="5" width="2.7109375" style="54" customWidth="1"/>
    <col min="6" max="7" width="18.7109375" style="54" customWidth="1"/>
    <col min="8" max="8" width="3.7109375" style="54" customWidth="1"/>
    <col min="9" max="9" width="9.140625" style="54" customWidth="1"/>
    <col min="10" max="12" width="9.140625" style="54"/>
    <col min="13" max="16" width="9.7109375" style="54" customWidth="1"/>
    <col min="17" max="16384" width="9.140625" style="54"/>
  </cols>
  <sheetData>
    <row r="1" spans="1:52" ht="20.100000000000001" customHeight="1" x14ac:dyDescent="0.25">
      <c r="A1" s="58"/>
      <c r="B1" s="58"/>
      <c r="C1" s="58"/>
      <c r="D1" s="58"/>
      <c r="E1" s="58"/>
      <c r="F1" s="58"/>
      <c r="G1" s="58"/>
      <c r="H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c r="AK1" s="58"/>
      <c r="AL1" s="58"/>
      <c r="AM1" s="58"/>
      <c r="AN1" s="58"/>
      <c r="AO1" s="58"/>
      <c r="AP1" s="58"/>
      <c r="AQ1" s="58"/>
      <c r="AR1" s="58"/>
      <c r="AS1" s="58"/>
      <c r="AT1" s="58"/>
      <c r="AU1" s="58"/>
      <c r="AV1" s="58"/>
      <c r="AW1" s="58"/>
      <c r="AX1" s="58"/>
      <c r="AY1" s="58"/>
      <c r="AZ1" s="58"/>
    </row>
    <row r="2" spans="1:52" ht="20.100000000000001" customHeight="1" x14ac:dyDescent="0.25">
      <c r="A2" s="58"/>
      <c r="B2" s="217" t="s">
        <v>119</v>
      </c>
      <c r="C2" s="218"/>
      <c r="D2" s="218"/>
      <c r="E2" s="58"/>
      <c r="F2" s="58"/>
      <c r="G2" s="58"/>
      <c r="H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c r="AK2" s="58"/>
      <c r="AL2" s="58"/>
      <c r="AM2" s="58"/>
      <c r="AN2" s="58"/>
      <c r="AO2" s="58"/>
      <c r="AP2" s="58"/>
      <c r="AQ2" s="58"/>
      <c r="AR2" s="58"/>
      <c r="AS2" s="58"/>
      <c r="AT2" s="58"/>
      <c r="AU2" s="58"/>
      <c r="AV2" s="58"/>
      <c r="AW2" s="58"/>
      <c r="AX2" s="58"/>
      <c r="AY2" s="58"/>
      <c r="AZ2" s="58"/>
    </row>
    <row r="3" spans="1:52" ht="20.100000000000001" customHeight="1" x14ac:dyDescent="0.25">
      <c r="A3" s="58"/>
      <c r="B3" s="58"/>
      <c r="C3" s="58"/>
      <c r="D3" s="58"/>
      <c r="E3" s="58"/>
      <c r="F3" s="58"/>
      <c r="G3" s="58"/>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row>
    <row r="4" spans="1:52" ht="20.100000000000001" customHeight="1" x14ac:dyDescent="0.25">
      <c r="A4" s="58"/>
      <c r="B4" s="59" t="s">
        <v>120</v>
      </c>
      <c r="C4" s="58"/>
      <c r="D4" s="59" t="s">
        <v>121</v>
      </c>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row>
    <row r="5" spans="1:52" ht="20.100000000000001" customHeight="1" x14ac:dyDescent="0.25">
      <c r="A5" s="58"/>
      <c r="B5" s="59" t="s">
        <v>122</v>
      </c>
      <c r="C5" s="58"/>
      <c r="D5" s="58">
        <v>2</v>
      </c>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row>
    <row r="6" spans="1:52" ht="20.100000000000001" customHeight="1" x14ac:dyDescent="0.25">
      <c r="A6" s="58"/>
      <c r="B6" s="59"/>
      <c r="C6" s="58"/>
      <c r="D6" s="58"/>
      <c r="E6" s="58"/>
      <c r="F6" s="58"/>
      <c r="G6" s="58"/>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row>
    <row r="7" spans="1:52" ht="20.100000000000001" customHeight="1" x14ac:dyDescent="0.25">
      <c r="A7" s="58"/>
      <c r="B7" s="59"/>
      <c r="C7" s="58"/>
      <c r="D7" s="58"/>
      <c r="E7" s="58"/>
      <c r="F7" s="58"/>
      <c r="G7" s="58"/>
      <c r="H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c r="AK7" s="58"/>
      <c r="AL7" s="58"/>
      <c r="AM7" s="58"/>
      <c r="AN7" s="58"/>
      <c r="AO7" s="58"/>
      <c r="AP7" s="58"/>
      <c r="AQ7" s="58"/>
      <c r="AR7" s="58"/>
      <c r="AS7" s="58"/>
      <c r="AT7" s="58"/>
      <c r="AU7" s="58"/>
      <c r="AV7" s="58"/>
      <c r="AW7" s="58"/>
      <c r="AX7" s="58"/>
      <c r="AY7" s="58"/>
      <c r="AZ7" s="58"/>
    </row>
    <row r="8" spans="1:52" ht="20.100000000000001" customHeight="1" x14ac:dyDescent="0.25">
      <c r="A8" s="58"/>
      <c r="B8" s="59" t="s">
        <v>1</v>
      </c>
      <c r="C8" s="58"/>
      <c r="D8" s="58"/>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S8" s="58"/>
      <c r="AT8" s="58"/>
      <c r="AU8" s="58"/>
      <c r="AV8" s="58"/>
      <c r="AW8" s="58"/>
      <c r="AX8" s="58"/>
      <c r="AY8" s="58"/>
      <c r="AZ8" s="58"/>
    </row>
    <row r="9" spans="1:52" ht="20.100000000000001" customHeight="1" x14ac:dyDescent="0.25">
      <c r="A9" s="58"/>
      <c r="B9" s="59" t="s">
        <v>123</v>
      </c>
      <c r="C9" s="58"/>
      <c r="D9" s="58"/>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R9" s="58"/>
      <c r="AS9" s="58"/>
      <c r="AT9" s="58"/>
      <c r="AU9" s="58"/>
      <c r="AV9" s="58"/>
      <c r="AW9" s="58"/>
      <c r="AX9" s="58"/>
      <c r="AY9" s="58"/>
      <c r="AZ9" s="58"/>
    </row>
    <row r="10" spans="1:52" ht="20.100000000000001" customHeight="1" x14ac:dyDescent="0.25">
      <c r="A10" s="58"/>
      <c r="B10" s="59" t="s">
        <v>124</v>
      </c>
      <c r="C10" s="58"/>
      <c r="D10" s="210"/>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ht="20.100000000000001" customHeight="1" x14ac:dyDescent="0.25">
      <c r="A11" s="58"/>
      <c r="B11" s="59" t="s">
        <v>125</v>
      </c>
      <c r="C11" s="58"/>
      <c r="D11" s="60"/>
      <c r="E11" s="58"/>
      <c r="F11" s="58"/>
      <c r="G11" s="58"/>
      <c r="H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c r="AX11" s="58"/>
      <c r="AY11" s="58"/>
      <c r="AZ11" s="58"/>
    </row>
    <row r="12" spans="1:52" ht="20.100000000000001" customHeight="1" x14ac:dyDescent="0.25">
      <c r="A12" s="58"/>
      <c r="B12" s="59" t="s">
        <v>126</v>
      </c>
      <c r="C12" s="58"/>
      <c r="D12" s="211"/>
      <c r="E12" s="58"/>
      <c r="F12" s="58"/>
      <c r="G12" s="58"/>
      <c r="H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c r="AK12" s="58"/>
      <c r="AL12" s="58"/>
      <c r="AM12" s="58"/>
      <c r="AN12" s="58"/>
      <c r="AO12" s="58"/>
      <c r="AP12" s="58"/>
      <c r="AQ12" s="58"/>
      <c r="AR12" s="58"/>
      <c r="AS12" s="58"/>
      <c r="AT12" s="58"/>
      <c r="AU12" s="58"/>
      <c r="AV12" s="58"/>
      <c r="AW12" s="58"/>
      <c r="AX12" s="58"/>
      <c r="AY12" s="58"/>
      <c r="AZ12" s="58"/>
    </row>
    <row r="13" spans="1:52" ht="20.100000000000001" customHeight="1" x14ac:dyDescent="0.25">
      <c r="A13" s="58"/>
      <c r="B13" s="59" t="s">
        <v>127</v>
      </c>
      <c r="C13" s="58"/>
      <c r="D13" s="58"/>
      <c r="E13" s="58"/>
      <c r="F13" s="58"/>
      <c r="G13" s="58"/>
      <c r="H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58"/>
      <c r="AZ13" s="58"/>
    </row>
    <row r="14" spans="1:52" ht="20.100000000000001" customHeight="1" x14ac:dyDescent="0.25">
      <c r="A14" s="58"/>
      <c r="B14" s="59" t="s">
        <v>128</v>
      </c>
      <c r="C14" s="58"/>
      <c r="D14" s="58"/>
      <c r="E14" s="58"/>
      <c r="F14" s="58"/>
      <c r="G14" s="58"/>
      <c r="H14" s="58"/>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c r="AX14" s="58"/>
      <c r="AY14" s="58"/>
      <c r="AZ14" s="58"/>
    </row>
    <row r="15" spans="1:52" ht="20.100000000000001" customHeight="1" x14ac:dyDescent="0.25">
      <c r="A15" s="58"/>
      <c r="B15" s="59" t="s">
        <v>129</v>
      </c>
      <c r="C15" s="58"/>
      <c r="D15" s="58"/>
      <c r="E15" s="58"/>
      <c r="F15" s="58"/>
      <c r="G15" s="58"/>
      <c r="H15" s="58"/>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c r="AX15" s="58"/>
      <c r="AY15" s="58"/>
      <c r="AZ15" s="58"/>
    </row>
    <row r="16" spans="1:52" ht="20.100000000000001" customHeight="1" x14ac:dyDescent="0.25">
      <c r="A16" s="58"/>
      <c r="B16" s="59" t="s">
        <v>130</v>
      </c>
      <c r="C16" s="58"/>
      <c r="D16" s="58"/>
      <c r="E16" s="58"/>
      <c r="F16" s="58"/>
      <c r="G16" s="58"/>
      <c r="H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c r="AX16" s="58"/>
      <c r="AY16" s="58"/>
      <c r="AZ16" s="58"/>
    </row>
    <row r="17" spans="1:52" ht="20.100000000000001" customHeight="1" x14ac:dyDescent="0.25">
      <c r="A17" s="58"/>
      <c r="B17" s="59" t="s">
        <v>131</v>
      </c>
      <c r="C17" s="58"/>
      <c r="D17" s="58"/>
      <c r="E17" s="58"/>
      <c r="F17" s="58"/>
      <c r="G17" s="58"/>
      <c r="H17" s="58"/>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c r="AK17" s="58"/>
      <c r="AL17" s="58"/>
      <c r="AM17" s="58"/>
      <c r="AN17" s="58"/>
      <c r="AO17" s="58"/>
      <c r="AP17" s="58"/>
      <c r="AQ17" s="58"/>
      <c r="AR17" s="58"/>
      <c r="AS17" s="58"/>
      <c r="AT17" s="58"/>
      <c r="AU17" s="58"/>
      <c r="AV17" s="58"/>
      <c r="AW17" s="58"/>
      <c r="AX17" s="58"/>
      <c r="AY17" s="58"/>
      <c r="AZ17" s="58"/>
    </row>
    <row r="18" spans="1:52" ht="20.100000000000001" customHeight="1" x14ac:dyDescent="0.25">
      <c r="A18" s="58"/>
      <c r="B18" s="59" t="s">
        <v>3</v>
      </c>
      <c r="C18" s="58"/>
      <c r="D18" s="58"/>
      <c r="E18" s="58"/>
      <c r="F18" s="58"/>
      <c r="G18" s="58"/>
      <c r="H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c r="AY18" s="58"/>
      <c r="AZ18" s="58"/>
    </row>
    <row r="19" spans="1:52" ht="20.100000000000001" customHeight="1" x14ac:dyDescent="0.25">
      <c r="A19" s="58"/>
      <c r="B19" s="58"/>
      <c r="C19" s="58"/>
      <c r="D19" s="58"/>
      <c r="E19" s="58"/>
      <c r="F19" s="58"/>
      <c r="G19" s="58"/>
      <c r="H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c r="AK19" s="58"/>
      <c r="AL19" s="58"/>
      <c r="AM19" s="58"/>
      <c r="AN19" s="58"/>
      <c r="AO19" s="58"/>
      <c r="AP19" s="58"/>
      <c r="AQ19" s="58"/>
      <c r="AR19" s="58"/>
      <c r="AS19" s="58"/>
      <c r="AT19" s="58"/>
      <c r="AU19" s="58"/>
      <c r="AV19" s="58"/>
      <c r="AW19" s="58"/>
      <c r="AX19" s="58"/>
      <c r="AY19" s="58"/>
      <c r="AZ19" s="58"/>
    </row>
    <row r="20" spans="1:52" ht="20.100000000000001" customHeight="1" x14ac:dyDescent="0.25">
      <c r="A20" s="58"/>
      <c r="B20" s="58"/>
      <c r="C20" s="58"/>
      <c r="D20" s="58"/>
      <c r="E20" s="58"/>
      <c r="F20" s="58"/>
      <c r="G20" s="58"/>
      <c r="H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8"/>
      <c r="AQ20" s="58"/>
      <c r="AR20" s="58"/>
      <c r="AS20" s="58"/>
      <c r="AT20" s="58"/>
      <c r="AU20" s="58"/>
      <c r="AV20" s="58"/>
      <c r="AW20" s="58"/>
      <c r="AX20" s="58"/>
      <c r="AY20" s="58"/>
      <c r="AZ20" s="58"/>
    </row>
    <row r="21" spans="1:52" ht="20.100000000000001" customHeight="1" x14ac:dyDescent="0.25">
      <c r="A21" s="58"/>
      <c r="B21" s="58"/>
      <c r="C21" s="58"/>
      <c r="D21" s="58"/>
      <c r="E21" s="58"/>
      <c r="F21" s="58"/>
      <c r="G21" s="58"/>
      <c r="H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c r="AK21" s="58"/>
      <c r="AL21" s="58"/>
      <c r="AM21" s="58"/>
      <c r="AN21" s="58"/>
      <c r="AO21" s="58"/>
      <c r="AP21" s="58"/>
      <c r="AQ21" s="58"/>
      <c r="AR21" s="58"/>
      <c r="AS21" s="58"/>
      <c r="AT21" s="58"/>
      <c r="AU21" s="58"/>
      <c r="AV21" s="58"/>
      <c r="AW21" s="58"/>
      <c r="AX21" s="58"/>
      <c r="AY21" s="58"/>
      <c r="AZ21" s="58"/>
    </row>
    <row r="22" spans="1:52" ht="20.100000000000001" customHeight="1" x14ac:dyDescent="0.25">
      <c r="A22" s="58"/>
      <c r="B22" s="58"/>
      <c r="C22" s="58"/>
      <c r="D22" s="58"/>
      <c r="E22" s="58"/>
      <c r="F22" s="58"/>
      <c r="G22" s="58"/>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row>
    <row r="23" spans="1:52" ht="20.100000000000001" customHeight="1" x14ac:dyDescent="0.25">
      <c r="A23" s="58"/>
      <c r="B23" s="58"/>
      <c r="C23" s="58"/>
      <c r="D23" s="58"/>
      <c r="E23" s="58"/>
      <c r="F23" s="58"/>
      <c r="G23" s="58"/>
      <c r="H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c r="AK23" s="58"/>
      <c r="AL23" s="58"/>
      <c r="AM23" s="58"/>
      <c r="AN23" s="58"/>
      <c r="AO23" s="58"/>
      <c r="AP23" s="58"/>
      <c r="AQ23" s="58"/>
      <c r="AR23" s="58"/>
      <c r="AS23" s="58"/>
      <c r="AT23" s="58"/>
      <c r="AU23" s="58"/>
      <c r="AV23" s="58"/>
      <c r="AW23" s="58"/>
      <c r="AX23" s="58"/>
      <c r="AY23" s="58"/>
      <c r="AZ23" s="58"/>
    </row>
    <row r="24" spans="1:52" ht="20.100000000000001" customHeight="1" x14ac:dyDescent="0.25">
      <c r="A24" s="58"/>
      <c r="B24" s="58"/>
      <c r="C24" s="58"/>
      <c r="D24" s="58"/>
      <c r="E24" s="58"/>
      <c r="F24" s="58"/>
      <c r="G24" s="58"/>
      <c r="H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c r="AK24" s="58"/>
      <c r="AL24" s="58"/>
      <c r="AM24" s="58"/>
      <c r="AN24" s="58"/>
      <c r="AO24" s="58"/>
      <c r="AP24" s="58"/>
      <c r="AQ24" s="58"/>
      <c r="AR24" s="58"/>
      <c r="AS24" s="58"/>
      <c r="AT24" s="58"/>
      <c r="AU24" s="58"/>
      <c r="AV24" s="58"/>
      <c r="AW24" s="58"/>
      <c r="AX24" s="58"/>
      <c r="AY24" s="58"/>
      <c r="AZ24" s="58"/>
    </row>
    <row r="25" spans="1:52" x14ac:dyDescent="0.25">
      <c r="A25" s="58"/>
      <c r="B25" s="58"/>
      <c r="C25" s="58"/>
      <c r="D25" s="58"/>
      <c r="E25" s="58"/>
      <c r="F25" s="58"/>
      <c r="G25" s="58"/>
      <c r="H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c r="AK25" s="58"/>
      <c r="AL25" s="58"/>
      <c r="AM25" s="58"/>
      <c r="AN25" s="58"/>
      <c r="AO25" s="58"/>
      <c r="AP25" s="58"/>
      <c r="AQ25" s="58"/>
      <c r="AR25" s="58"/>
      <c r="AS25" s="58"/>
      <c r="AT25" s="58"/>
      <c r="AU25" s="58"/>
      <c r="AV25" s="58"/>
      <c r="AW25" s="58"/>
      <c r="AX25" s="58"/>
      <c r="AY25" s="58"/>
      <c r="AZ25" s="58"/>
    </row>
    <row r="26" spans="1:52" x14ac:dyDescent="0.25">
      <c r="A26" s="58"/>
      <c r="B26" s="58"/>
      <c r="C26" s="58"/>
      <c r="D26" s="58"/>
      <c r="E26" s="58"/>
      <c r="F26" s="58"/>
      <c r="G26" s="58"/>
      <c r="H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8"/>
      <c r="AQ26" s="58"/>
      <c r="AR26" s="58"/>
      <c r="AS26" s="58"/>
      <c r="AT26" s="58"/>
      <c r="AU26" s="58"/>
      <c r="AV26" s="58"/>
      <c r="AW26" s="58"/>
      <c r="AX26" s="58"/>
      <c r="AY26" s="58"/>
      <c r="AZ26" s="58"/>
    </row>
    <row r="27" spans="1:52" x14ac:dyDescent="0.25">
      <c r="A27" s="58"/>
      <c r="B27" s="58"/>
      <c r="C27" s="58"/>
      <c r="D27" s="58"/>
      <c r="E27" s="58"/>
      <c r="F27" s="58"/>
      <c r="G27" s="58"/>
      <c r="H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c r="AK27" s="58"/>
      <c r="AL27" s="58"/>
      <c r="AM27" s="58"/>
      <c r="AN27" s="58"/>
      <c r="AO27" s="58"/>
      <c r="AP27" s="58"/>
      <c r="AQ27" s="58"/>
      <c r="AR27" s="58"/>
      <c r="AS27" s="58"/>
      <c r="AT27" s="58"/>
      <c r="AU27" s="58"/>
      <c r="AV27" s="58"/>
      <c r="AW27" s="58"/>
      <c r="AX27" s="58"/>
      <c r="AY27" s="58"/>
      <c r="AZ27" s="58"/>
    </row>
    <row r="28" spans="1:52" x14ac:dyDescent="0.25">
      <c r="A28" s="58"/>
      <c r="B28" s="58"/>
      <c r="C28" s="58"/>
      <c r="D28" s="58"/>
      <c r="E28" s="58"/>
      <c r="F28" s="58"/>
      <c r="G28" s="58"/>
      <c r="H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row>
    <row r="29" spans="1:52" x14ac:dyDescent="0.25">
      <c r="A29" s="58"/>
      <c r="B29" s="58"/>
      <c r="C29" s="58"/>
      <c r="D29" s="58"/>
      <c r="E29" s="58"/>
      <c r="F29" s="58"/>
      <c r="G29" s="58"/>
      <c r="H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c r="AK29" s="58"/>
      <c r="AL29" s="58"/>
      <c r="AM29" s="58"/>
      <c r="AN29" s="58"/>
      <c r="AO29" s="58"/>
      <c r="AP29" s="58"/>
      <c r="AQ29" s="58"/>
      <c r="AR29" s="58"/>
      <c r="AS29" s="58"/>
      <c r="AT29" s="58"/>
      <c r="AU29" s="58"/>
      <c r="AV29" s="58"/>
      <c r="AW29" s="58"/>
      <c r="AX29" s="58"/>
      <c r="AY29" s="58"/>
      <c r="AZ29" s="58"/>
    </row>
    <row r="30" spans="1:52" x14ac:dyDescent="0.25">
      <c r="A30" s="58"/>
      <c r="B30" s="58"/>
      <c r="C30" s="58"/>
      <c r="D30" s="58"/>
      <c r="E30" s="58"/>
      <c r="F30" s="58"/>
      <c r="G30" s="58"/>
      <c r="H30" s="58"/>
      <c r="I30" s="58"/>
      <c r="J30" s="58"/>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row>
    <row r="31" spans="1:52" x14ac:dyDescent="0.25">
      <c r="A31" s="58"/>
      <c r="B31" s="58"/>
      <c r="C31" s="58"/>
      <c r="D31" s="58"/>
      <c r="E31" s="58"/>
      <c r="F31" s="58"/>
      <c r="G31" s="58"/>
      <c r="H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row>
    <row r="32" spans="1:52" x14ac:dyDescent="0.25">
      <c r="A32" s="58"/>
      <c r="B32" s="58"/>
      <c r="C32" s="58"/>
      <c r="D32" s="58"/>
      <c r="E32" s="58"/>
      <c r="F32" s="58"/>
      <c r="G32" s="58"/>
      <c r="H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row>
    <row r="33" spans="1:52" x14ac:dyDescent="0.25">
      <c r="A33" s="58"/>
      <c r="B33" s="58"/>
      <c r="C33" s="58"/>
      <c r="D33" s="58"/>
      <c r="E33" s="58"/>
      <c r="F33" s="58"/>
      <c r="G33" s="58"/>
      <c r="H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8"/>
      <c r="AP33" s="58"/>
      <c r="AQ33" s="58"/>
      <c r="AR33" s="58"/>
      <c r="AS33" s="58"/>
      <c r="AT33" s="58"/>
      <c r="AU33" s="58"/>
      <c r="AV33" s="58"/>
      <c r="AW33" s="58"/>
      <c r="AX33" s="58"/>
      <c r="AY33" s="58"/>
      <c r="AZ33" s="58"/>
    </row>
    <row r="34" spans="1:52" x14ac:dyDescent="0.25">
      <c r="A34" s="58"/>
      <c r="B34" s="58"/>
      <c r="C34" s="58"/>
      <c r="D34" s="58"/>
      <c r="E34" s="58"/>
      <c r="F34" s="58"/>
      <c r="G34" s="58"/>
      <c r="H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row>
    <row r="35" spans="1:52" x14ac:dyDescent="0.25">
      <c r="A35" s="58"/>
      <c r="B35" s="58"/>
      <c r="C35" s="58"/>
      <c r="D35" s="58"/>
      <c r="E35" s="58"/>
      <c r="F35" s="58"/>
      <c r="G35" s="58"/>
      <c r="H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row>
    <row r="36" spans="1:52" x14ac:dyDescent="0.25">
      <c r="A36" s="58"/>
      <c r="B36" s="58"/>
      <c r="C36" s="58"/>
      <c r="D36" s="58"/>
      <c r="E36" s="58"/>
      <c r="F36" s="58"/>
      <c r="G36" s="58"/>
      <c r="H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c r="AX36" s="58"/>
      <c r="AY36" s="58"/>
      <c r="AZ36" s="58"/>
    </row>
    <row r="37" spans="1:52" x14ac:dyDescent="0.25">
      <c r="A37" s="58"/>
      <c r="B37" s="58"/>
      <c r="C37" s="58"/>
      <c r="D37" s="58"/>
      <c r="E37" s="58"/>
      <c r="F37" s="58"/>
      <c r="G37" s="58"/>
      <c r="H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c r="AK37" s="58"/>
      <c r="AL37" s="58"/>
      <c r="AM37" s="58"/>
      <c r="AN37" s="58"/>
      <c r="AO37" s="58"/>
      <c r="AP37" s="58"/>
      <c r="AQ37" s="58"/>
      <c r="AR37" s="58"/>
      <c r="AS37" s="58"/>
      <c r="AT37" s="58"/>
      <c r="AU37" s="58"/>
      <c r="AV37" s="58"/>
      <c r="AW37" s="58"/>
      <c r="AX37" s="58"/>
      <c r="AY37" s="58"/>
      <c r="AZ37" s="58"/>
    </row>
    <row r="38" spans="1:52" x14ac:dyDescent="0.25">
      <c r="A38" s="58"/>
      <c r="B38" s="58"/>
      <c r="C38" s="58"/>
      <c r="D38" s="58"/>
      <c r="E38" s="58"/>
      <c r="F38" s="58"/>
      <c r="G38" s="58"/>
      <c r="H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c r="AX38" s="58"/>
      <c r="AY38" s="58"/>
      <c r="AZ38" s="58"/>
    </row>
    <row r="39" spans="1:52" x14ac:dyDescent="0.25">
      <c r="A39" s="58"/>
      <c r="B39" s="58"/>
      <c r="C39" s="58"/>
      <c r="D39" s="58"/>
      <c r="E39" s="58"/>
      <c r="F39" s="58"/>
      <c r="G39" s="58"/>
      <c r="H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row>
    <row r="40" spans="1:52" x14ac:dyDescent="0.25">
      <c r="A40" s="58"/>
      <c r="B40" s="58"/>
      <c r="C40" s="58"/>
      <c r="D40" s="58"/>
      <c r="E40" s="58"/>
      <c r="F40" s="58"/>
      <c r="G40" s="58"/>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row>
    <row r="41" spans="1:52" x14ac:dyDescent="0.25">
      <c r="A41" s="58"/>
      <c r="B41" s="58"/>
      <c r="C41" s="58"/>
      <c r="D41" s="58"/>
      <c r="E41" s="58"/>
      <c r="F41" s="58"/>
      <c r="G41" s="58"/>
      <c r="H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c r="AX41" s="58"/>
      <c r="AY41" s="58"/>
      <c r="AZ41" s="58"/>
    </row>
    <row r="42" spans="1:52" x14ac:dyDescent="0.25">
      <c r="A42" s="58"/>
      <c r="B42" s="58"/>
      <c r="C42" s="58"/>
      <c r="D42" s="58"/>
      <c r="E42" s="58"/>
      <c r="F42" s="58"/>
      <c r="G42" s="58"/>
      <c r="H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8"/>
      <c r="AQ42" s="58"/>
      <c r="AR42" s="58"/>
      <c r="AS42" s="58"/>
      <c r="AT42" s="58"/>
      <c r="AU42" s="58"/>
      <c r="AV42" s="58"/>
      <c r="AW42" s="58"/>
      <c r="AX42" s="58"/>
      <c r="AY42" s="58"/>
      <c r="AZ42" s="58"/>
    </row>
    <row r="43" spans="1:52" x14ac:dyDescent="0.25">
      <c r="A43" s="58"/>
      <c r="B43" s="58"/>
      <c r="C43" s="58"/>
      <c r="D43" s="58"/>
      <c r="E43" s="58"/>
      <c r="F43" s="58"/>
      <c r="G43" s="58"/>
      <c r="H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c r="AK43" s="58"/>
      <c r="AL43" s="58"/>
      <c r="AM43" s="58"/>
      <c r="AN43" s="58"/>
      <c r="AO43" s="58"/>
      <c r="AP43" s="58"/>
      <c r="AQ43" s="58"/>
      <c r="AR43" s="58"/>
      <c r="AS43" s="58"/>
      <c r="AT43" s="58"/>
      <c r="AU43" s="58"/>
      <c r="AV43" s="58"/>
      <c r="AW43" s="58"/>
      <c r="AX43" s="58"/>
      <c r="AY43" s="58"/>
      <c r="AZ43" s="58"/>
    </row>
    <row r="44" spans="1:52" x14ac:dyDescent="0.25">
      <c r="A44" s="58"/>
      <c r="B44" s="58"/>
      <c r="C44" s="58"/>
      <c r="D44" s="58"/>
      <c r="E44" s="58"/>
      <c r="F44" s="58"/>
      <c r="G44" s="58"/>
      <c r="H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8"/>
      <c r="AQ44" s="58"/>
      <c r="AR44" s="58"/>
      <c r="AS44" s="58"/>
      <c r="AT44" s="58"/>
      <c r="AU44" s="58"/>
      <c r="AV44" s="58"/>
      <c r="AW44" s="58"/>
      <c r="AX44" s="58"/>
      <c r="AY44" s="58"/>
      <c r="AZ44" s="58"/>
    </row>
    <row r="45" spans="1:52" x14ac:dyDescent="0.25">
      <c r="A45" s="58"/>
      <c r="B45" s="58"/>
      <c r="C45" s="58"/>
      <c r="D45" s="58"/>
      <c r="E45" s="58"/>
      <c r="F45" s="58"/>
      <c r="G45" s="58"/>
      <c r="H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c r="AW45" s="58"/>
      <c r="AX45" s="58"/>
      <c r="AY45" s="58"/>
      <c r="AZ45" s="58"/>
    </row>
    <row r="46" spans="1:52" x14ac:dyDescent="0.25">
      <c r="A46" s="58"/>
      <c r="B46" s="58"/>
      <c r="C46" s="58"/>
      <c r="D46" s="58"/>
      <c r="E46" s="58"/>
      <c r="F46" s="58"/>
      <c r="G46" s="58"/>
      <c r="H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8"/>
      <c r="AQ46" s="58"/>
      <c r="AR46" s="58"/>
      <c r="AS46" s="58"/>
      <c r="AT46" s="58"/>
      <c r="AU46" s="58"/>
      <c r="AV46" s="58"/>
      <c r="AW46" s="58"/>
      <c r="AX46" s="58"/>
      <c r="AY46" s="58"/>
      <c r="AZ46" s="58"/>
    </row>
    <row r="47" spans="1:52" x14ac:dyDescent="0.25">
      <c r="A47" s="58"/>
      <c r="B47" s="58"/>
      <c r="C47" s="58"/>
      <c r="D47" s="58"/>
      <c r="E47" s="58"/>
      <c r="F47" s="58"/>
      <c r="G47" s="58"/>
      <c r="H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c r="AK47" s="58"/>
      <c r="AL47" s="58"/>
      <c r="AM47" s="58"/>
      <c r="AN47" s="58"/>
      <c r="AO47" s="58"/>
      <c r="AP47" s="58"/>
      <c r="AQ47" s="58"/>
      <c r="AR47" s="58"/>
      <c r="AS47" s="58"/>
      <c r="AT47" s="58"/>
      <c r="AU47" s="58"/>
      <c r="AV47" s="58"/>
      <c r="AW47" s="58"/>
      <c r="AX47" s="58"/>
      <c r="AY47" s="58"/>
      <c r="AZ47" s="58"/>
    </row>
    <row r="48" spans="1:52" x14ac:dyDescent="0.25">
      <c r="A48" s="58"/>
      <c r="B48" s="58"/>
      <c r="C48" s="58"/>
      <c r="D48" s="58"/>
      <c r="E48" s="58"/>
      <c r="F48" s="58"/>
      <c r="G48" s="58"/>
      <c r="H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8"/>
      <c r="AQ48" s="58"/>
      <c r="AR48" s="58"/>
      <c r="AS48" s="58"/>
      <c r="AT48" s="58"/>
      <c r="AU48" s="58"/>
      <c r="AV48" s="58"/>
      <c r="AW48" s="58"/>
      <c r="AX48" s="58"/>
      <c r="AY48" s="58"/>
      <c r="AZ48" s="58"/>
    </row>
    <row r="49" spans="1:52" x14ac:dyDescent="0.25">
      <c r="A49" s="58"/>
      <c r="B49" s="58"/>
      <c r="C49" s="58"/>
      <c r="D49" s="58"/>
      <c r="E49" s="58"/>
      <c r="F49" s="58"/>
      <c r="G49" s="58"/>
      <c r="H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c r="AK49" s="58"/>
      <c r="AL49" s="58"/>
      <c r="AM49" s="58"/>
      <c r="AN49" s="58"/>
      <c r="AO49" s="58"/>
      <c r="AP49" s="58"/>
      <c r="AQ49" s="58"/>
      <c r="AR49" s="58"/>
      <c r="AS49" s="58"/>
      <c r="AT49" s="58"/>
      <c r="AU49" s="58"/>
      <c r="AV49" s="58"/>
      <c r="AW49" s="58"/>
      <c r="AX49" s="58"/>
      <c r="AY49" s="58"/>
      <c r="AZ49" s="58"/>
    </row>
    <row r="50" spans="1:52" x14ac:dyDescent="0.25">
      <c r="A50" s="58"/>
      <c r="B50" s="58"/>
      <c r="C50" s="58"/>
      <c r="D50" s="58"/>
      <c r="E50" s="58"/>
      <c r="F50" s="58"/>
      <c r="G50" s="58"/>
      <c r="H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c r="AV50" s="58"/>
      <c r="AW50" s="58"/>
      <c r="AX50" s="58"/>
      <c r="AY50" s="58"/>
      <c r="AZ50" s="58"/>
    </row>
    <row r="51" spans="1:52" x14ac:dyDescent="0.25">
      <c r="A51" s="58"/>
      <c r="B51" s="58"/>
      <c r="C51" s="58"/>
      <c r="D51" s="58"/>
      <c r="E51" s="58"/>
      <c r="F51" s="58"/>
      <c r="G51" s="58"/>
      <c r="H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c r="AK51" s="58"/>
      <c r="AL51" s="58"/>
      <c r="AM51" s="58"/>
      <c r="AN51" s="58"/>
      <c r="AO51" s="58"/>
      <c r="AP51" s="58"/>
      <c r="AQ51" s="58"/>
      <c r="AR51" s="58"/>
      <c r="AS51" s="58"/>
      <c r="AT51" s="58"/>
      <c r="AU51" s="58"/>
      <c r="AV51" s="58"/>
      <c r="AW51" s="58"/>
      <c r="AX51" s="58"/>
      <c r="AY51" s="58"/>
      <c r="AZ51" s="58"/>
    </row>
    <row r="52" spans="1:52" x14ac:dyDescent="0.25">
      <c r="A52" s="58"/>
      <c r="B52" s="58"/>
      <c r="C52" s="58"/>
      <c r="D52" s="58"/>
      <c r="E52" s="58"/>
      <c r="F52" s="58"/>
      <c r="G52" s="58"/>
      <c r="H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8"/>
      <c r="AQ52" s="58"/>
      <c r="AR52" s="58"/>
      <c r="AS52" s="58"/>
      <c r="AT52" s="58"/>
      <c r="AU52" s="58"/>
      <c r="AV52" s="58"/>
      <c r="AW52" s="58"/>
      <c r="AX52" s="58"/>
      <c r="AY52" s="58"/>
      <c r="AZ52" s="58"/>
    </row>
    <row r="53" spans="1:52" x14ac:dyDescent="0.25">
      <c r="A53" s="58"/>
      <c r="B53" s="58"/>
      <c r="C53" s="58"/>
      <c r="D53" s="58"/>
      <c r="E53" s="58"/>
      <c r="F53" s="58"/>
      <c r="G53" s="58"/>
      <c r="H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c r="AK53" s="58"/>
      <c r="AL53" s="58"/>
      <c r="AM53" s="58"/>
      <c r="AN53" s="58"/>
      <c r="AO53" s="58"/>
      <c r="AP53" s="58"/>
      <c r="AQ53" s="58"/>
      <c r="AR53" s="58"/>
      <c r="AS53" s="58"/>
      <c r="AT53" s="58"/>
      <c r="AU53" s="58"/>
      <c r="AV53" s="58"/>
      <c r="AW53" s="58"/>
      <c r="AX53" s="58"/>
      <c r="AY53" s="58"/>
      <c r="AZ53" s="58"/>
    </row>
    <row r="54" spans="1:52" x14ac:dyDescent="0.25">
      <c r="A54" s="58"/>
      <c r="B54" s="58"/>
      <c r="C54" s="58"/>
      <c r="D54" s="58"/>
      <c r="E54" s="58"/>
      <c r="F54" s="58"/>
      <c r="G54" s="58"/>
      <c r="H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8"/>
      <c r="AQ54" s="58"/>
      <c r="AR54" s="58"/>
      <c r="AS54" s="58"/>
      <c r="AT54" s="58"/>
      <c r="AU54" s="58"/>
      <c r="AV54" s="58"/>
      <c r="AW54" s="58"/>
      <c r="AX54" s="58"/>
      <c r="AY54" s="58"/>
      <c r="AZ54" s="58"/>
    </row>
    <row r="55" spans="1:52" x14ac:dyDescent="0.25">
      <c r="A55" s="58"/>
      <c r="B55" s="58"/>
      <c r="C55" s="58"/>
      <c r="D55" s="58"/>
      <c r="E55" s="58"/>
      <c r="F55" s="58"/>
      <c r="G55" s="58"/>
      <c r="H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c r="AK55" s="58"/>
      <c r="AL55" s="58"/>
      <c r="AM55" s="58"/>
      <c r="AN55" s="58"/>
      <c r="AO55" s="58"/>
      <c r="AP55" s="58"/>
      <c r="AQ55" s="58"/>
      <c r="AR55" s="58"/>
      <c r="AS55" s="58"/>
      <c r="AT55" s="58"/>
      <c r="AU55" s="58"/>
      <c r="AV55" s="58"/>
      <c r="AW55" s="58"/>
      <c r="AX55" s="58"/>
      <c r="AY55" s="58"/>
      <c r="AZ55" s="58"/>
    </row>
    <row r="56" spans="1:52" x14ac:dyDescent="0.25">
      <c r="A56" s="58"/>
      <c r="B56" s="58"/>
      <c r="C56" s="58"/>
      <c r="D56" s="58"/>
      <c r="E56" s="58"/>
      <c r="F56" s="58"/>
      <c r="G56" s="58"/>
      <c r="H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8"/>
      <c r="AQ56" s="58"/>
      <c r="AR56" s="58"/>
      <c r="AS56" s="58"/>
      <c r="AT56" s="58"/>
      <c r="AU56" s="58"/>
      <c r="AV56" s="58"/>
      <c r="AW56" s="58"/>
      <c r="AX56" s="58"/>
      <c r="AY56" s="58"/>
      <c r="AZ56" s="58"/>
    </row>
    <row r="57" spans="1:52" x14ac:dyDescent="0.25">
      <c r="A57" s="58"/>
      <c r="B57" s="58"/>
      <c r="C57" s="58"/>
      <c r="D57" s="58"/>
      <c r="E57" s="58"/>
      <c r="F57" s="58"/>
      <c r="G57" s="58"/>
      <c r="H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c r="AV57" s="58"/>
      <c r="AW57" s="58"/>
      <c r="AX57" s="58"/>
      <c r="AY57" s="58"/>
      <c r="AZ57" s="58"/>
    </row>
    <row r="58" spans="1:52" x14ac:dyDescent="0.25">
      <c r="A58" s="58"/>
      <c r="B58" s="58"/>
      <c r="C58" s="58"/>
      <c r="D58" s="58"/>
      <c r="E58" s="58"/>
      <c r="F58" s="58"/>
      <c r="G58" s="58"/>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row>
    <row r="59" spans="1:52" x14ac:dyDescent="0.25">
      <c r="A59" s="58"/>
      <c r="B59" s="58"/>
      <c r="C59" s="58"/>
      <c r="D59" s="58"/>
      <c r="E59" s="58"/>
      <c r="F59" s="58"/>
      <c r="G59" s="58"/>
      <c r="H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c r="AO59" s="58"/>
      <c r="AP59" s="58"/>
      <c r="AQ59" s="58"/>
      <c r="AR59" s="58"/>
      <c r="AS59" s="58"/>
      <c r="AT59" s="58"/>
      <c r="AU59" s="58"/>
      <c r="AV59" s="58"/>
      <c r="AW59" s="58"/>
      <c r="AX59" s="58"/>
      <c r="AY59" s="58"/>
      <c r="AZ59" s="58"/>
    </row>
    <row r="60" spans="1:52" x14ac:dyDescent="0.25">
      <c r="A60" s="58"/>
      <c r="B60" s="58"/>
      <c r="C60" s="58"/>
      <c r="D60" s="58"/>
      <c r="E60" s="58"/>
      <c r="F60" s="58"/>
      <c r="G60" s="58"/>
      <c r="H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8"/>
      <c r="AQ60" s="58"/>
      <c r="AR60" s="58"/>
      <c r="AS60" s="58"/>
      <c r="AT60" s="58"/>
      <c r="AU60" s="58"/>
      <c r="AV60" s="58"/>
      <c r="AW60" s="58"/>
      <c r="AX60" s="58"/>
      <c r="AY60" s="58"/>
      <c r="AZ60" s="58"/>
    </row>
    <row r="61" spans="1:52" x14ac:dyDescent="0.25">
      <c r="A61" s="58"/>
      <c r="B61" s="58"/>
      <c r="C61" s="58"/>
      <c r="D61" s="58"/>
      <c r="E61" s="58"/>
      <c r="F61" s="58"/>
      <c r="G61" s="58"/>
      <c r="H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c r="AQ61" s="58"/>
      <c r="AR61" s="58"/>
      <c r="AS61" s="58"/>
      <c r="AT61" s="58"/>
      <c r="AU61" s="58"/>
      <c r="AV61" s="58"/>
      <c r="AW61" s="58"/>
      <c r="AX61" s="58"/>
      <c r="AY61" s="58"/>
      <c r="AZ61" s="58"/>
    </row>
    <row r="62" spans="1:52" x14ac:dyDescent="0.25">
      <c r="A62" s="58"/>
      <c r="B62" s="58"/>
      <c r="C62" s="58"/>
      <c r="D62" s="58"/>
      <c r="E62" s="58"/>
      <c r="F62" s="58"/>
      <c r="G62" s="58"/>
      <c r="H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8"/>
      <c r="AQ62" s="58"/>
      <c r="AR62" s="58"/>
      <c r="AS62" s="58"/>
      <c r="AT62" s="58"/>
      <c r="AU62" s="58"/>
      <c r="AV62" s="58"/>
      <c r="AW62" s="58"/>
      <c r="AX62" s="58"/>
      <c r="AY62" s="58"/>
      <c r="AZ62" s="58"/>
    </row>
    <row r="63" spans="1:52" x14ac:dyDescent="0.25">
      <c r="A63" s="58"/>
      <c r="B63" s="58"/>
      <c r="C63" s="58"/>
      <c r="D63" s="58"/>
      <c r="E63" s="58"/>
      <c r="F63" s="58"/>
      <c r="G63" s="58"/>
      <c r="H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c r="AK63" s="58"/>
      <c r="AL63" s="58"/>
      <c r="AM63" s="58"/>
      <c r="AN63" s="58"/>
      <c r="AO63" s="58"/>
      <c r="AP63" s="58"/>
      <c r="AQ63" s="58"/>
      <c r="AR63" s="58"/>
      <c r="AS63" s="58"/>
      <c r="AT63" s="58"/>
      <c r="AU63" s="58"/>
      <c r="AV63" s="58"/>
      <c r="AW63" s="58"/>
      <c r="AX63" s="58"/>
      <c r="AY63" s="58"/>
      <c r="AZ63" s="58"/>
    </row>
    <row r="64" spans="1:52" x14ac:dyDescent="0.25">
      <c r="A64" s="58"/>
      <c r="B64" s="58"/>
      <c r="C64" s="58"/>
      <c r="D64" s="58"/>
      <c r="E64" s="58"/>
      <c r="F64" s="58"/>
      <c r="G64" s="58"/>
      <c r="H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8"/>
      <c r="AQ64" s="58"/>
      <c r="AR64" s="58"/>
      <c r="AS64" s="58"/>
      <c r="AT64" s="58"/>
      <c r="AU64" s="58"/>
      <c r="AV64" s="58"/>
      <c r="AW64" s="58"/>
      <c r="AX64" s="58"/>
      <c r="AY64" s="58"/>
      <c r="AZ64" s="58"/>
    </row>
    <row r="65" spans="1:52" x14ac:dyDescent="0.25">
      <c r="A65" s="58"/>
      <c r="B65" s="58"/>
      <c r="C65" s="58"/>
      <c r="D65" s="58"/>
      <c r="E65" s="58"/>
      <c r="F65" s="58"/>
      <c r="G65" s="58"/>
      <c r="H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c r="AT65" s="58"/>
      <c r="AU65" s="58"/>
      <c r="AV65" s="58"/>
      <c r="AW65" s="58"/>
      <c r="AX65" s="58"/>
      <c r="AY65" s="58"/>
      <c r="AZ65" s="58"/>
    </row>
    <row r="66" spans="1:52" x14ac:dyDescent="0.25">
      <c r="A66" s="58"/>
      <c r="B66" s="58"/>
      <c r="C66" s="58"/>
      <c r="D66" s="58"/>
      <c r="E66" s="58"/>
      <c r="F66" s="58"/>
      <c r="G66" s="58"/>
      <c r="H66" s="58"/>
      <c r="I66" s="5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c r="AQ66" s="58"/>
      <c r="AR66" s="58"/>
      <c r="AS66" s="58"/>
      <c r="AT66" s="58"/>
      <c r="AU66" s="58"/>
      <c r="AV66" s="58"/>
      <c r="AW66" s="58"/>
      <c r="AX66" s="58"/>
      <c r="AY66" s="58"/>
      <c r="AZ66" s="58"/>
    </row>
    <row r="67" spans="1:52" x14ac:dyDescent="0.25">
      <c r="A67" s="58"/>
      <c r="B67" s="58"/>
      <c r="C67" s="58"/>
      <c r="D67" s="58"/>
      <c r="E67" s="58"/>
      <c r="F67" s="58"/>
      <c r="G67" s="58"/>
      <c r="H67" s="58"/>
      <c r="I67" s="5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c r="AQ67" s="58"/>
      <c r="AR67" s="58"/>
      <c r="AS67" s="58"/>
      <c r="AT67" s="58"/>
      <c r="AU67" s="58"/>
      <c r="AV67" s="58"/>
      <c r="AW67" s="58"/>
      <c r="AX67" s="58"/>
      <c r="AY67" s="58"/>
      <c r="AZ67" s="58"/>
    </row>
    <row r="68" spans="1:52" x14ac:dyDescent="0.25">
      <c r="A68" s="58"/>
      <c r="B68" s="58"/>
      <c r="C68" s="58"/>
      <c r="D68" s="58"/>
      <c r="E68" s="58"/>
      <c r="F68" s="58"/>
      <c r="G68" s="58"/>
      <c r="H68" s="58"/>
      <c r="I68" s="58"/>
      <c r="J68" s="58"/>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8"/>
      <c r="AQ68" s="58"/>
      <c r="AR68" s="58"/>
      <c r="AS68" s="58"/>
      <c r="AT68" s="58"/>
      <c r="AU68" s="58"/>
      <c r="AV68" s="58"/>
      <c r="AW68" s="58"/>
      <c r="AX68" s="58"/>
      <c r="AY68" s="58"/>
      <c r="AZ68" s="58"/>
    </row>
    <row r="69" spans="1:52" x14ac:dyDescent="0.25">
      <c r="A69" s="58"/>
      <c r="B69" s="58"/>
      <c r="C69" s="58"/>
      <c r="D69" s="58"/>
      <c r="E69" s="58"/>
      <c r="F69" s="58"/>
      <c r="G69" s="58"/>
      <c r="H69" s="58"/>
      <c r="I69" s="58"/>
      <c r="J69" s="58"/>
      <c r="K69" s="58"/>
      <c r="L69" s="58"/>
      <c r="M69" s="58"/>
      <c r="N69" s="58"/>
      <c r="O69" s="58"/>
      <c r="P69" s="58"/>
      <c r="Q69" s="58"/>
      <c r="R69" s="58"/>
      <c r="S69" s="58"/>
      <c r="T69" s="58"/>
      <c r="U69" s="58"/>
      <c r="V69" s="58"/>
      <c r="W69" s="58"/>
      <c r="X69" s="58"/>
      <c r="Y69" s="58"/>
      <c r="Z69" s="58"/>
      <c r="AA69" s="58"/>
      <c r="AB69" s="58"/>
      <c r="AC69" s="58"/>
      <c r="AD69" s="58"/>
      <c r="AE69" s="58"/>
      <c r="AF69" s="58"/>
      <c r="AG69" s="58"/>
      <c r="AH69" s="58"/>
      <c r="AI69" s="58"/>
      <c r="AJ69" s="58"/>
      <c r="AK69" s="58"/>
      <c r="AL69" s="58"/>
      <c r="AM69" s="58"/>
      <c r="AN69" s="58"/>
      <c r="AO69" s="58"/>
      <c r="AP69" s="58"/>
      <c r="AQ69" s="58"/>
      <c r="AR69" s="58"/>
      <c r="AS69" s="58"/>
      <c r="AT69" s="58"/>
      <c r="AU69" s="58"/>
      <c r="AV69" s="58"/>
      <c r="AW69" s="58"/>
      <c r="AX69" s="58"/>
      <c r="AY69" s="58"/>
      <c r="AZ69" s="58"/>
    </row>
    <row r="70" spans="1:52" x14ac:dyDescent="0.25">
      <c r="A70" s="58"/>
      <c r="B70" s="58"/>
      <c r="C70" s="58"/>
      <c r="D70" s="58"/>
      <c r="E70" s="58"/>
      <c r="F70" s="58"/>
      <c r="G70" s="58"/>
      <c r="H70" s="58"/>
      <c r="I70" s="58"/>
      <c r="J70" s="58"/>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row>
    <row r="71" spans="1:52" x14ac:dyDescent="0.25">
      <c r="A71" s="58"/>
      <c r="B71" s="58"/>
      <c r="C71" s="58"/>
      <c r="D71" s="58"/>
      <c r="E71" s="58"/>
      <c r="F71" s="58"/>
      <c r="G71" s="58"/>
      <c r="H71" s="58"/>
      <c r="I71" s="58"/>
      <c r="J71" s="58"/>
      <c r="K71" s="58"/>
      <c r="L71" s="58"/>
      <c r="M71" s="58"/>
      <c r="N71" s="58"/>
      <c r="O71" s="58"/>
      <c r="P71" s="58"/>
      <c r="Q71" s="58"/>
      <c r="R71" s="58"/>
      <c r="S71" s="58"/>
      <c r="T71" s="58"/>
      <c r="U71" s="58"/>
      <c r="V71" s="58"/>
      <c r="W71" s="58"/>
      <c r="X71" s="58"/>
      <c r="Y71" s="58"/>
      <c r="Z71" s="58"/>
      <c r="AA71" s="58"/>
      <c r="AB71" s="58"/>
      <c r="AC71" s="58"/>
      <c r="AD71" s="58"/>
      <c r="AE71" s="58"/>
      <c r="AF71" s="58"/>
      <c r="AG71" s="58"/>
      <c r="AH71" s="58"/>
      <c r="AI71" s="58"/>
      <c r="AJ71" s="58"/>
      <c r="AK71" s="58"/>
      <c r="AL71" s="58"/>
      <c r="AM71" s="58"/>
      <c r="AN71" s="58"/>
      <c r="AO71" s="58"/>
      <c r="AP71" s="58"/>
      <c r="AQ71" s="58"/>
      <c r="AR71" s="58"/>
      <c r="AS71" s="58"/>
      <c r="AT71" s="58"/>
      <c r="AU71" s="58"/>
      <c r="AV71" s="58"/>
      <c r="AW71" s="58"/>
      <c r="AX71" s="58"/>
      <c r="AY71" s="58"/>
      <c r="AZ71" s="58"/>
    </row>
    <row r="72" spans="1:52" x14ac:dyDescent="0.25">
      <c r="A72" s="58"/>
      <c r="B72" s="58"/>
      <c r="C72" s="58"/>
      <c r="D72" s="58"/>
      <c r="E72" s="58"/>
      <c r="F72" s="58"/>
      <c r="G72" s="58"/>
      <c r="H72" s="58"/>
      <c r="I72" s="58"/>
      <c r="J72" s="58"/>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8"/>
      <c r="AQ72" s="58"/>
      <c r="AR72" s="58"/>
      <c r="AS72" s="58"/>
      <c r="AT72" s="58"/>
      <c r="AU72" s="58"/>
      <c r="AV72" s="58"/>
      <c r="AW72" s="58"/>
      <c r="AX72" s="58"/>
      <c r="AY72" s="58"/>
      <c r="AZ72" s="58"/>
    </row>
    <row r="73" spans="1:52" x14ac:dyDescent="0.25">
      <c r="A73" s="58"/>
      <c r="B73" s="58"/>
      <c r="C73" s="58"/>
      <c r="D73" s="58"/>
      <c r="E73" s="58"/>
      <c r="F73" s="58"/>
      <c r="G73" s="58"/>
      <c r="H73" s="58"/>
      <c r="I73" s="58"/>
      <c r="J73" s="58"/>
      <c r="K73" s="58"/>
      <c r="L73" s="58"/>
      <c r="M73" s="58"/>
      <c r="N73" s="58"/>
      <c r="O73" s="58"/>
      <c r="P73" s="58"/>
      <c r="Q73" s="58"/>
      <c r="R73" s="58"/>
      <c r="S73" s="58"/>
      <c r="T73" s="58"/>
      <c r="U73" s="58"/>
      <c r="V73" s="58"/>
      <c r="W73" s="58"/>
      <c r="X73" s="58"/>
      <c r="Y73" s="58"/>
      <c r="Z73" s="58"/>
      <c r="AA73" s="58"/>
      <c r="AB73" s="58"/>
      <c r="AC73" s="58"/>
      <c r="AD73" s="58"/>
      <c r="AE73" s="58"/>
      <c r="AF73" s="58"/>
      <c r="AG73" s="58"/>
      <c r="AH73" s="58"/>
      <c r="AI73" s="58"/>
      <c r="AJ73" s="58"/>
      <c r="AK73" s="58"/>
      <c r="AL73" s="58"/>
      <c r="AM73" s="58"/>
      <c r="AN73" s="58"/>
      <c r="AO73" s="58"/>
      <c r="AP73" s="58"/>
      <c r="AQ73" s="58"/>
      <c r="AR73" s="58"/>
      <c r="AS73" s="58"/>
      <c r="AT73" s="58"/>
      <c r="AU73" s="58"/>
      <c r="AV73" s="58"/>
      <c r="AW73" s="58"/>
      <c r="AX73" s="58"/>
      <c r="AY73" s="58"/>
      <c r="AZ73" s="58"/>
    </row>
    <row r="74" spans="1:52" x14ac:dyDescent="0.25">
      <c r="A74" s="58"/>
      <c r="B74" s="58"/>
      <c r="C74" s="58"/>
      <c r="D74" s="58"/>
      <c r="E74" s="58"/>
      <c r="F74" s="58"/>
      <c r="G74" s="58"/>
      <c r="H74" s="58"/>
      <c r="I74" s="58"/>
      <c r="J74" s="58"/>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8"/>
      <c r="AQ74" s="58"/>
      <c r="AR74" s="58"/>
      <c r="AS74" s="58"/>
      <c r="AT74" s="58"/>
      <c r="AU74" s="58"/>
      <c r="AV74" s="58"/>
      <c r="AW74" s="58"/>
      <c r="AX74" s="58"/>
      <c r="AY74" s="58"/>
      <c r="AZ74" s="58"/>
    </row>
    <row r="75" spans="1:52" x14ac:dyDescent="0.25">
      <c r="A75" s="58"/>
      <c r="B75" s="58"/>
      <c r="C75" s="58"/>
      <c r="D75" s="58"/>
      <c r="E75" s="58"/>
      <c r="F75" s="58"/>
      <c r="G75" s="58"/>
      <c r="H75" s="58"/>
      <c r="I75" s="58"/>
      <c r="J75" s="58"/>
      <c r="K75" s="58"/>
      <c r="L75" s="58"/>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58"/>
      <c r="AS75" s="58"/>
      <c r="AT75" s="58"/>
      <c r="AU75" s="58"/>
      <c r="AV75" s="58"/>
      <c r="AW75" s="58"/>
      <c r="AX75" s="58"/>
      <c r="AY75" s="58"/>
      <c r="AZ75" s="58"/>
    </row>
    <row r="76" spans="1:52" x14ac:dyDescent="0.25">
      <c r="A76" s="58"/>
      <c r="B76" s="58"/>
      <c r="C76" s="58"/>
      <c r="D76" s="58"/>
      <c r="E76" s="58"/>
      <c r="F76" s="58"/>
      <c r="G76" s="58"/>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row>
    <row r="77" spans="1:52" x14ac:dyDescent="0.25">
      <c r="A77" s="58"/>
      <c r="B77" s="58"/>
      <c r="C77" s="58"/>
      <c r="D77" s="58"/>
      <c r="E77" s="58"/>
      <c r="F77" s="58"/>
      <c r="G77" s="58"/>
      <c r="H77" s="58"/>
      <c r="I77" s="58"/>
      <c r="J77" s="58"/>
      <c r="K77" s="58"/>
      <c r="L77" s="58"/>
      <c r="M77" s="58"/>
      <c r="N77" s="58"/>
      <c r="O77" s="58"/>
      <c r="P77" s="58"/>
      <c r="Q77" s="58"/>
      <c r="R77" s="58"/>
      <c r="S77" s="58"/>
      <c r="T77" s="58"/>
      <c r="U77" s="58"/>
      <c r="V77" s="58"/>
      <c r="W77" s="58"/>
      <c r="X77" s="58"/>
      <c r="Y77" s="58"/>
      <c r="Z77" s="58"/>
      <c r="AA77" s="58"/>
      <c r="AB77" s="58"/>
      <c r="AC77" s="58"/>
      <c r="AD77" s="58"/>
      <c r="AE77" s="58"/>
      <c r="AF77" s="58"/>
      <c r="AG77" s="58"/>
      <c r="AH77" s="58"/>
      <c r="AI77" s="58"/>
      <c r="AJ77" s="58"/>
      <c r="AK77" s="58"/>
      <c r="AL77" s="58"/>
      <c r="AM77" s="58"/>
      <c r="AN77" s="58"/>
      <c r="AO77" s="58"/>
      <c r="AP77" s="58"/>
      <c r="AQ77" s="58"/>
      <c r="AR77" s="58"/>
      <c r="AS77" s="58"/>
      <c r="AT77" s="58"/>
      <c r="AU77" s="58"/>
      <c r="AV77" s="58"/>
      <c r="AW77" s="58"/>
      <c r="AX77" s="58"/>
      <c r="AY77" s="58"/>
      <c r="AZ77" s="58"/>
    </row>
    <row r="78" spans="1:52" x14ac:dyDescent="0.25">
      <c r="A78" s="58"/>
      <c r="B78" s="58"/>
      <c r="C78" s="58"/>
      <c r="D78" s="58"/>
      <c r="E78" s="58"/>
      <c r="F78" s="58"/>
      <c r="G78" s="58"/>
      <c r="H78" s="58"/>
      <c r="I78" s="58"/>
      <c r="J78" s="58"/>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8"/>
      <c r="AQ78" s="58"/>
      <c r="AR78" s="58"/>
      <c r="AS78" s="58"/>
      <c r="AT78" s="58"/>
      <c r="AU78" s="58"/>
      <c r="AV78" s="58"/>
      <c r="AW78" s="58"/>
      <c r="AX78" s="58"/>
      <c r="AY78" s="58"/>
      <c r="AZ78" s="58"/>
    </row>
    <row r="79" spans="1:52" x14ac:dyDescent="0.25">
      <c r="A79" s="58"/>
      <c r="B79" s="58"/>
      <c r="C79" s="58"/>
      <c r="D79" s="58"/>
      <c r="E79" s="58"/>
      <c r="F79" s="58"/>
      <c r="G79" s="58"/>
      <c r="H79" s="58"/>
      <c r="I79" s="58"/>
      <c r="J79" s="58"/>
      <c r="K79" s="58"/>
      <c r="L79" s="58"/>
      <c r="M79" s="58"/>
      <c r="N79" s="58"/>
      <c r="O79" s="58"/>
      <c r="P79" s="58"/>
      <c r="Q79" s="58"/>
      <c r="R79" s="58"/>
      <c r="S79" s="58"/>
      <c r="T79" s="58"/>
      <c r="U79" s="58"/>
      <c r="V79" s="58"/>
      <c r="W79" s="58"/>
      <c r="X79" s="58"/>
      <c r="Y79" s="58"/>
      <c r="Z79" s="58"/>
      <c r="AA79" s="58"/>
      <c r="AB79" s="58"/>
      <c r="AC79" s="58"/>
      <c r="AD79" s="58"/>
      <c r="AE79" s="58"/>
      <c r="AF79" s="58"/>
      <c r="AG79" s="58"/>
      <c r="AH79" s="58"/>
      <c r="AI79" s="58"/>
      <c r="AJ79" s="58"/>
      <c r="AK79" s="58"/>
      <c r="AL79" s="58"/>
      <c r="AM79" s="58"/>
      <c r="AN79" s="58"/>
      <c r="AO79" s="58"/>
      <c r="AP79" s="58"/>
      <c r="AQ79" s="58"/>
      <c r="AR79" s="58"/>
      <c r="AS79" s="58"/>
      <c r="AT79" s="58"/>
      <c r="AU79" s="58"/>
      <c r="AV79" s="58"/>
      <c r="AW79" s="58"/>
      <c r="AX79" s="58"/>
      <c r="AY79" s="58"/>
      <c r="AZ79" s="58"/>
    </row>
    <row r="80" spans="1:52" x14ac:dyDescent="0.25">
      <c r="A80" s="58"/>
      <c r="B80" s="58"/>
      <c r="C80" s="58"/>
      <c r="D80" s="58"/>
      <c r="E80" s="58"/>
      <c r="F80" s="58"/>
      <c r="G80" s="58"/>
      <c r="H80" s="58"/>
      <c r="I80" s="58"/>
      <c r="J80" s="58"/>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8"/>
      <c r="AQ80" s="58"/>
      <c r="AR80" s="58"/>
      <c r="AS80" s="58"/>
      <c r="AT80" s="58"/>
      <c r="AU80" s="58"/>
      <c r="AV80" s="58"/>
      <c r="AW80" s="58"/>
      <c r="AX80" s="58"/>
      <c r="AY80" s="58"/>
      <c r="AZ80" s="58"/>
    </row>
    <row r="81" spans="1:52" x14ac:dyDescent="0.25">
      <c r="A81" s="58"/>
      <c r="B81" s="58"/>
      <c r="C81" s="58"/>
      <c r="D81" s="58"/>
      <c r="E81" s="58"/>
      <c r="F81" s="58"/>
      <c r="G81" s="58"/>
      <c r="H81" s="58"/>
      <c r="I81" s="58"/>
      <c r="J81" s="58"/>
      <c r="K81" s="58"/>
      <c r="L81" s="58"/>
      <c r="M81" s="58"/>
      <c r="N81" s="58"/>
      <c r="O81" s="58"/>
      <c r="P81" s="58"/>
      <c r="Q81" s="58"/>
      <c r="R81" s="58"/>
      <c r="S81" s="58"/>
      <c r="T81" s="58"/>
      <c r="U81" s="58"/>
      <c r="V81" s="58"/>
      <c r="W81" s="58"/>
      <c r="X81" s="58"/>
      <c r="Y81" s="58"/>
      <c r="Z81" s="58"/>
      <c r="AA81" s="58"/>
      <c r="AB81" s="58"/>
      <c r="AC81" s="58"/>
      <c r="AD81" s="58"/>
      <c r="AE81" s="58"/>
      <c r="AF81" s="58"/>
      <c r="AG81" s="58"/>
      <c r="AH81" s="58"/>
      <c r="AI81" s="58"/>
      <c r="AJ81" s="58"/>
      <c r="AK81" s="58"/>
      <c r="AL81" s="58"/>
      <c r="AM81" s="58"/>
      <c r="AN81" s="58"/>
      <c r="AO81" s="58"/>
      <c r="AP81" s="58"/>
      <c r="AQ81" s="58"/>
      <c r="AR81" s="58"/>
      <c r="AS81" s="58"/>
      <c r="AT81" s="58"/>
      <c r="AU81" s="58"/>
      <c r="AV81" s="58"/>
      <c r="AW81" s="58"/>
      <c r="AX81" s="58"/>
      <c r="AY81" s="58"/>
      <c r="AZ81" s="58"/>
    </row>
    <row r="82" spans="1:52" x14ac:dyDescent="0.25">
      <c r="A82" s="58"/>
      <c r="B82" s="58"/>
      <c r="C82" s="58"/>
      <c r="D82" s="58"/>
      <c r="E82" s="58"/>
      <c r="F82" s="58"/>
      <c r="G82" s="58"/>
      <c r="H82" s="58"/>
      <c r="I82" s="58"/>
      <c r="J82" s="58"/>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8"/>
      <c r="AQ82" s="58"/>
      <c r="AR82" s="58"/>
      <c r="AS82" s="58"/>
      <c r="AT82" s="58"/>
      <c r="AU82" s="58"/>
      <c r="AV82" s="58"/>
      <c r="AW82" s="58"/>
      <c r="AX82" s="58"/>
      <c r="AY82" s="58"/>
      <c r="AZ82" s="58"/>
    </row>
    <row r="83" spans="1:52" x14ac:dyDescent="0.25">
      <c r="A83" s="58"/>
      <c r="B83" s="58"/>
      <c r="C83" s="58"/>
      <c r="D83" s="58"/>
      <c r="E83" s="58"/>
      <c r="F83" s="58"/>
      <c r="G83" s="58"/>
      <c r="H83" s="58"/>
      <c r="I83" s="58"/>
      <c r="J83" s="58"/>
      <c r="K83" s="58"/>
      <c r="L83" s="58"/>
      <c r="M83" s="58"/>
      <c r="N83" s="58"/>
      <c r="O83" s="58"/>
      <c r="P83" s="58"/>
      <c r="Q83" s="58"/>
      <c r="R83" s="58"/>
      <c r="S83" s="58"/>
      <c r="T83" s="58"/>
      <c r="U83" s="58"/>
      <c r="V83" s="58"/>
      <c r="W83" s="58"/>
      <c r="X83" s="58"/>
      <c r="Y83" s="58"/>
      <c r="Z83" s="58"/>
      <c r="AA83" s="58"/>
      <c r="AB83" s="58"/>
      <c r="AC83" s="58"/>
      <c r="AD83" s="58"/>
      <c r="AE83" s="58"/>
      <c r="AF83" s="58"/>
      <c r="AG83" s="58"/>
      <c r="AH83" s="58"/>
      <c r="AI83" s="58"/>
      <c r="AJ83" s="58"/>
      <c r="AK83" s="58"/>
      <c r="AL83" s="58"/>
      <c r="AM83" s="58"/>
      <c r="AN83" s="58"/>
      <c r="AO83" s="58"/>
      <c r="AP83" s="58"/>
      <c r="AQ83" s="58"/>
      <c r="AR83" s="58"/>
      <c r="AS83" s="58"/>
      <c r="AT83" s="58"/>
      <c r="AU83" s="58"/>
      <c r="AV83" s="58"/>
      <c r="AW83" s="58"/>
      <c r="AX83" s="58"/>
      <c r="AY83" s="58"/>
      <c r="AZ83" s="58"/>
    </row>
    <row r="84" spans="1:52" x14ac:dyDescent="0.25">
      <c r="A84" s="58"/>
      <c r="B84" s="58"/>
      <c r="C84" s="58"/>
      <c r="D84" s="58"/>
      <c r="E84" s="58"/>
      <c r="F84" s="58"/>
      <c r="G84" s="58"/>
      <c r="H84" s="58"/>
      <c r="I84" s="58"/>
      <c r="J84" s="58"/>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8"/>
      <c r="AQ84" s="58"/>
      <c r="AR84" s="58"/>
      <c r="AS84" s="58"/>
      <c r="AT84" s="58"/>
      <c r="AU84" s="58"/>
      <c r="AV84" s="58"/>
      <c r="AW84" s="58"/>
      <c r="AX84" s="58"/>
      <c r="AY84" s="58"/>
      <c r="AZ84" s="58"/>
    </row>
    <row r="85" spans="1:52" x14ac:dyDescent="0.25">
      <c r="A85" s="58"/>
      <c r="B85" s="58"/>
      <c r="C85" s="58"/>
      <c r="D85" s="58"/>
      <c r="E85" s="58"/>
      <c r="F85" s="58"/>
      <c r="G85" s="58"/>
      <c r="H85" s="58"/>
      <c r="I85" s="58"/>
      <c r="J85" s="58"/>
      <c r="K85" s="58"/>
      <c r="L85" s="58"/>
      <c r="M85" s="58"/>
      <c r="N85" s="58"/>
      <c r="O85" s="58"/>
      <c r="P85" s="58"/>
      <c r="Q85" s="58"/>
      <c r="R85" s="58"/>
      <c r="S85" s="58"/>
      <c r="T85" s="58"/>
      <c r="U85" s="58"/>
      <c r="V85" s="58"/>
      <c r="W85" s="58"/>
      <c r="X85" s="58"/>
      <c r="Y85" s="58"/>
      <c r="Z85" s="58"/>
      <c r="AA85" s="58"/>
      <c r="AB85" s="58"/>
      <c r="AC85" s="58"/>
      <c r="AD85" s="58"/>
      <c r="AE85" s="58"/>
      <c r="AF85" s="58"/>
      <c r="AG85" s="58"/>
      <c r="AH85" s="58"/>
      <c r="AI85" s="58"/>
      <c r="AJ85" s="58"/>
      <c r="AK85" s="58"/>
      <c r="AL85" s="58"/>
      <c r="AM85" s="58"/>
      <c r="AN85" s="58"/>
      <c r="AO85" s="58"/>
      <c r="AP85" s="58"/>
      <c r="AQ85" s="58"/>
      <c r="AR85" s="58"/>
      <c r="AS85" s="58"/>
      <c r="AT85" s="58"/>
      <c r="AU85" s="58"/>
      <c r="AV85" s="58"/>
      <c r="AW85" s="58"/>
      <c r="AX85" s="58"/>
      <c r="AY85" s="58"/>
      <c r="AZ85" s="58"/>
    </row>
    <row r="86" spans="1:52" x14ac:dyDescent="0.25">
      <c r="A86" s="58"/>
      <c r="B86" s="58"/>
      <c r="C86" s="58"/>
      <c r="D86" s="58"/>
      <c r="E86" s="58"/>
      <c r="F86" s="58"/>
      <c r="G86" s="58"/>
      <c r="H86" s="58"/>
      <c r="I86" s="58"/>
      <c r="J86" s="58"/>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8"/>
      <c r="AQ86" s="58"/>
      <c r="AR86" s="58"/>
      <c r="AS86" s="58"/>
      <c r="AT86" s="58"/>
      <c r="AU86" s="58"/>
      <c r="AV86" s="58"/>
      <c r="AW86" s="58"/>
      <c r="AX86" s="58"/>
      <c r="AY86" s="58"/>
      <c r="AZ86" s="58"/>
    </row>
    <row r="87" spans="1:52" x14ac:dyDescent="0.25">
      <c r="A87" s="58"/>
      <c r="B87" s="58"/>
      <c r="C87" s="58"/>
      <c r="D87" s="58"/>
      <c r="E87" s="58"/>
      <c r="F87" s="58"/>
      <c r="G87" s="58"/>
      <c r="H87" s="58"/>
      <c r="I87" s="58"/>
      <c r="J87" s="58"/>
      <c r="K87" s="58"/>
      <c r="L87" s="58"/>
      <c r="M87" s="58"/>
      <c r="N87" s="58"/>
      <c r="O87" s="58"/>
      <c r="P87" s="58"/>
      <c r="Q87" s="58"/>
      <c r="R87" s="58"/>
      <c r="S87" s="58"/>
      <c r="T87" s="58"/>
      <c r="U87" s="58"/>
      <c r="V87" s="58"/>
      <c r="W87" s="58"/>
      <c r="X87" s="58"/>
      <c r="Y87" s="58"/>
      <c r="Z87" s="58"/>
      <c r="AA87" s="58"/>
      <c r="AB87" s="58"/>
      <c r="AC87" s="58"/>
      <c r="AD87" s="58"/>
      <c r="AE87" s="58"/>
      <c r="AF87" s="58"/>
      <c r="AG87" s="58"/>
      <c r="AH87" s="58"/>
      <c r="AI87" s="58"/>
      <c r="AJ87" s="58"/>
      <c r="AK87" s="58"/>
      <c r="AL87" s="58"/>
      <c r="AM87" s="58"/>
      <c r="AN87" s="58"/>
      <c r="AO87" s="58"/>
      <c r="AP87" s="58"/>
      <c r="AQ87" s="58"/>
      <c r="AR87" s="58"/>
      <c r="AS87" s="58"/>
      <c r="AT87" s="58"/>
      <c r="AU87" s="58"/>
      <c r="AV87" s="58"/>
      <c r="AW87" s="58"/>
      <c r="AX87" s="58"/>
      <c r="AY87" s="58"/>
      <c r="AZ87" s="58"/>
    </row>
    <row r="88" spans="1:52" x14ac:dyDescent="0.25">
      <c r="A88" s="58"/>
      <c r="B88" s="58"/>
      <c r="C88" s="58"/>
      <c r="D88" s="58"/>
      <c r="E88" s="58"/>
      <c r="F88" s="58"/>
      <c r="G88" s="58"/>
      <c r="H88" s="58"/>
      <c r="I88" s="58"/>
      <c r="J88" s="58"/>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row>
    <row r="89" spans="1:52" x14ac:dyDescent="0.25">
      <c r="A89" s="58"/>
      <c r="B89" s="58"/>
      <c r="C89" s="58"/>
      <c r="D89" s="58"/>
      <c r="E89" s="58"/>
      <c r="F89" s="58"/>
      <c r="G89" s="58"/>
      <c r="H89" s="58"/>
      <c r="I89" s="58"/>
      <c r="J89" s="58"/>
      <c r="K89" s="58"/>
      <c r="L89" s="58"/>
      <c r="M89" s="58"/>
      <c r="N89" s="58"/>
      <c r="O89" s="58"/>
      <c r="P89" s="58"/>
      <c r="Q89" s="58"/>
      <c r="R89" s="58"/>
      <c r="S89" s="58"/>
      <c r="T89" s="58"/>
      <c r="U89" s="58"/>
      <c r="V89" s="58"/>
      <c r="W89" s="58"/>
      <c r="X89" s="58"/>
      <c r="Y89" s="58"/>
      <c r="Z89" s="58"/>
      <c r="AA89" s="58"/>
      <c r="AB89" s="58"/>
      <c r="AC89" s="58"/>
      <c r="AD89" s="58"/>
      <c r="AE89" s="58"/>
      <c r="AF89" s="58"/>
      <c r="AG89" s="58"/>
      <c r="AH89" s="58"/>
      <c r="AI89" s="58"/>
      <c r="AJ89" s="58"/>
      <c r="AK89" s="58"/>
      <c r="AL89" s="58"/>
      <c r="AM89" s="58"/>
      <c r="AN89" s="58"/>
      <c r="AO89" s="58"/>
      <c r="AP89" s="58"/>
      <c r="AQ89" s="58"/>
      <c r="AR89" s="58"/>
      <c r="AS89" s="58"/>
      <c r="AT89" s="58"/>
      <c r="AU89" s="58"/>
      <c r="AV89" s="58"/>
      <c r="AW89" s="58"/>
      <c r="AX89" s="58"/>
      <c r="AY89" s="58"/>
      <c r="AZ89" s="58"/>
    </row>
    <row r="90" spans="1:52" x14ac:dyDescent="0.25">
      <c r="A90" s="58"/>
      <c r="B90" s="58"/>
      <c r="C90" s="58"/>
      <c r="D90" s="58"/>
      <c r="E90" s="58"/>
      <c r="F90" s="58"/>
      <c r="G90" s="58"/>
      <c r="H90" s="58"/>
      <c r="I90" s="58"/>
      <c r="J90" s="58"/>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row>
    <row r="91" spans="1:52" x14ac:dyDescent="0.25">
      <c r="A91" s="58"/>
      <c r="B91" s="58"/>
      <c r="C91" s="58"/>
      <c r="D91" s="58"/>
      <c r="E91" s="58"/>
      <c r="F91" s="58"/>
      <c r="G91" s="58"/>
      <c r="H91" s="58"/>
      <c r="I91" s="58"/>
      <c r="J91" s="58"/>
      <c r="K91" s="58"/>
      <c r="L91" s="58"/>
      <c r="M91" s="58"/>
      <c r="N91" s="58"/>
      <c r="O91" s="58"/>
      <c r="P91" s="58"/>
      <c r="Q91" s="58"/>
      <c r="R91" s="58"/>
      <c r="S91" s="58"/>
      <c r="T91" s="58"/>
      <c r="U91" s="58"/>
      <c r="V91" s="58"/>
      <c r="W91" s="58"/>
      <c r="X91" s="58"/>
      <c r="Y91" s="58"/>
      <c r="Z91" s="58"/>
      <c r="AA91" s="58"/>
      <c r="AB91" s="58"/>
      <c r="AC91" s="58"/>
      <c r="AD91" s="58"/>
      <c r="AE91" s="58"/>
      <c r="AF91" s="58"/>
      <c r="AG91" s="58"/>
      <c r="AH91" s="58"/>
      <c r="AI91" s="58"/>
      <c r="AJ91" s="58"/>
      <c r="AK91" s="58"/>
      <c r="AL91" s="58"/>
      <c r="AM91" s="58"/>
      <c r="AN91" s="58"/>
      <c r="AO91" s="58"/>
      <c r="AP91" s="58"/>
      <c r="AQ91" s="58"/>
      <c r="AR91" s="58"/>
      <c r="AS91" s="58"/>
      <c r="AT91" s="58"/>
      <c r="AU91" s="58"/>
      <c r="AV91" s="58"/>
      <c r="AW91" s="58"/>
      <c r="AX91" s="58"/>
      <c r="AY91" s="58"/>
      <c r="AZ91" s="58"/>
    </row>
    <row r="92" spans="1:52" x14ac:dyDescent="0.25">
      <c r="A92" s="58"/>
      <c r="B92" s="58"/>
      <c r="C92" s="58"/>
      <c r="D92" s="58"/>
      <c r="E92" s="58"/>
      <c r="F92" s="58"/>
      <c r="G92" s="58"/>
      <c r="H92" s="58"/>
      <c r="I92" s="58"/>
      <c r="J92" s="58"/>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8"/>
      <c r="AQ92" s="58"/>
      <c r="AR92" s="58"/>
      <c r="AS92" s="58"/>
      <c r="AT92" s="58"/>
      <c r="AU92" s="58"/>
      <c r="AV92" s="58"/>
      <c r="AW92" s="58"/>
      <c r="AX92" s="58"/>
      <c r="AY92" s="58"/>
      <c r="AZ92" s="58"/>
    </row>
    <row r="93" spans="1:52" x14ac:dyDescent="0.25">
      <c r="A93" s="58"/>
      <c r="B93" s="58"/>
      <c r="C93" s="58"/>
      <c r="D93" s="58"/>
      <c r="E93" s="58"/>
      <c r="F93" s="58"/>
      <c r="G93" s="58"/>
      <c r="H93" s="58"/>
      <c r="I93" s="58"/>
      <c r="J93" s="58"/>
      <c r="K93" s="58"/>
      <c r="L93" s="58"/>
      <c r="M93" s="58"/>
      <c r="N93" s="58"/>
      <c r="O93" s="58"/>
      <c r="P93" s="58"/>
      <c r="Q93" s="58"/>
      <c r="R93" s="58"/>
      <c r="S93" s="58"/>
      <c r="T93" s="58"/>
      <c r="U93" s="58"/>
      <c r="V93" s="58"/>
      <c r="W93" s="58"/>
      <c r="X93" s="58"/>
      <c r="Y93" s="58"/>
      <c r="Z93" s="58"/>
      <c r="AA93" s="58"/>
      <c r="AB93" s="58"/>
      <c r="AC93" s="58"/>
      <c r="AD93" s="58"/>
      <c r="AE93" s="58"/>
      <c r="AF93" s="58"/>
      <c r="AG93" s="58"/>
      <c r="AH93" s="58"/>
      <c r="AI93" s="58"/>
      <c r="AJ93" s="58"/>
      <c r="AK93" s="58"/>
      <c r="AL93" s="58"/>
      <c r="AM93" s="58"/>
      <c r="AN93" s="58"/>
      <c r="AO93" s="58"/>
      <c r="AP93" s="58"/>
      <c r="AQ93" s="58"/>
      <c r="AR93" s="58"/>
      <c r="AS93" s="58"/>
      <c r="AT93" s="58"/>
      <c r="AU93" s="58"/>
      <c r="AV93" s="58"/>
      <c r="AW93" s="58"/>
      <c r="AX93" s="58"/>
      <c r="AY93" s="58"/>
      <c r="AZ93" s="58"/>
    </row>
    <row r="94" spans="1:52" x14ac:dyDescent="0.25">
      <c r="A94" s="58"/>
      <c r="B94" s="58"/>
      <c r="C94" s="58"/>
      <c r="D94" s="58"/>
      <c r="E94" s="58"/>
      <c r="F94" s="58"/>
      <c r="G94" s="58"/>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row>
    <row r="95" spans="1:52" x14ac:dyDescent="0.25">
      <c r="A95" s="58"/>
      <c r="B95" s="58"/>
      <c r="C95" s="58"/>
      <c r="D95" s="58"/>
      <c r="E95" s="58"/>
      <c r="F95" s="58"/>
      <c r="G95" s="58"/>
      <c r="H95" s="58"/>
      <c r="I95" s="58"/>
      <c r="J95" s="58"/>
      <c r="K95" s="58"/>
      <c r="L95" s="58"/>
      <c r="M95" s="58"/>
      <c r="N95" s="58"/>
      <c r="O95" s="58"/>
      <c r="P95" s="58"/>
      <c r="Q95" s="58"/>
      <c r="R95" s="58"/>
      <c r="S95" s="58"/>
      <c r="T95" s="58"/>
      <c r="U95" s="58"/>
      <c r="V95" s="58"/>
      <c r="W95" s="58"/>
      <c r="X95" s="58"/>
      <c r="Y95" s="58"/>
      <c r="Z95" s="58"/>
      <c r="AA95" s="58"/>
      <c r="AB95" s="58"/>
      <c r="AC95" s="58"/>
      <c r="AD95" s="58"/>
      <c r="AE95" s="58"/>
      <c r="AF95" s="58"/>
      <c r="AG95" s="58"/>
      <c r="AH95" s="58"/>
      <c r="AI95" s="58"/>
      <c r="AJ95" s="58"/>
      <c r="AK95" s="58"/>
      <c r="AL95" s="58"/>
      <c r="AM95" s="58"/>
      <c r="AN95" s="58"/>
      <c r="AO95" s="58"/>
      <c r="AP95" s="58"/>
      <c r="AQ95" s="58"/>
      <c r="AR95" s="58"/>
      <c r="AS95" s="58"/>
      <c r="AT95" s="58"/>
      <c r="AU95" s="58"/>
      <c r="AV95" s="58"/>
      <c r="AW95" s="58"/>
      <c r="AX95" s="58"/>
      <c r="AY95" s="58"/>
      <c r="AZ95" s="58"/>
    </row>
    <row r="96" spans="1:52" x14ac:dyDescent="0.25">
      <c r="A96" s="58"/>
      <c r="B96" s="58"/>
      <c r="C96" s="58"/>
      <c r="D96" s="58"/>
      <c r="E96" s="58"/>
      <c r="F96" s="58"/>
      <c r="G96" s="58"/>
      <c r="H96" s="58"/>
      <c r="I96" s="58"/>
      <c r="J96" s="58"/>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8"/>
      <c r="AQ96" s="58"/>
      <c r="AR96" s="58"/>
      <c r="AS96" s="58"/>
      <c r="AT96" s="58"/>
      <c r="AU96" s="58"/>
      <c r="AV96" s="58"/>
      <c r="AW96" s="58"/>
      <c r="AX96" s="58"/>
      <c r="AY96" s="58"/>
      <c r="AZ96" s="58"/>
    </row>
    <row r="97" spans="1:52" x14ac:dyDescent="0.25">
      <c r="A97" s="58"/>
      <c r="B97" s="58"/>
      <c r="C97" s="58"/>
      <c r="D97" s="58"/>
      <c r="E97" s="58"/>
      <c r="F97" s="58"/>
      <c r="G97" s="58"/>
      <c r="H97" s="58"/>
      <c r="I97" s="58"/>
      <c r="J97" s="58"/>
      <c r="K97" s="58"/>
      <c r="L97" s="58"/>
      <c r="M97" s="58"/>
      <c r="N97" s="58"/>
      <c r="O97" s="58"/>
      <c r="P97" s="58"/>
      <c r="Q97" s="58"/>
      <c r="R97" s="58"/>
      <c r="S97" s="58"/>
      <c r="T97" s="58"/>
      <c r="U97" s="58"/>
      <c r="V97" s="58"/>
      <c r="W97" s="58"/>
      <c r="X97" s="58"/>
      <c r="Y97" s="58"/>
      <c r="Z97" s="58"/>
      <c r="AA97" s="58"/>
      <c r="AB97" s="58"/>
      <c r="AC97" s="58"/>
      <c r="AD97" s="58"/>
      <c r="AE97" s="58"/>
      <c r="AF97" s="58"/>
      <c r="AG97" s="58"/>
      <c r="AH97" s="58"/>
      <c r="AI97" s="58"/>
      <c r="AJ97" s="58"/>
      <c r="AK97" s="58"/>
      <c r="AL97" s="58"/>
      <c r="AM97" s="58"/>
      <c r="AN97" s="58"/>
      <c r="AO97" s="58"/>
      <c r="AP97" s="58"/>
      <c r="AQ97" s="58"/>
      <c r="AR97" s="58"/>
      <c r="AS97" s="58"/>
      <c r="AT97" s="58"/>
      <c r="AU97" s="58"/>
      <c r="AV97" s="58"/>
      <c r="AW97" s="58"/>
      <c r="AX97" s="58"/>
      <c r="AY97" s="58"/>
      <c r="AZ97" s="58"/>
    </row>
    <row r="98" spans="1:52" x14ac:dyDescent="0.25">
      <c r="A98" s="58"/>
      <c r="B98" s="58"/>
      <c r="C98" s="58"/>
      <c r="D98" s="58"/>
      <c r="E98" s="58"/>
      <c r="F98" s="58"/>
      <c r="G98" s="58"/>
      <c r="H98" s="58"/>
      <c r="I98" s="58"/>
      <c r="J98" s="58"/>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8"/>
      <c r="AQ98" s="58"/>
      <c r="AR98" s="58"/>
      <c r="AS98" s="58"/>
      <c r="AT98" s="58"/>
      <c r="AU98" s="58"/>
      <c r="AV98" s="58"/>
      <c r="AW98" s="58"/>
      <c r="AX98" s="58"/>
      <c r="AY98" s="58"/>
      <c r="AZ98" s="58"/>
    </row>
    <row r="99" spans="1:52" x14ac:dyDescent="0.25">
      <c r="A99" s="58"/>
      <c r="B99" s="58"/>
      <c r="C99" s="58"/>
      <c r="D99" s="58"/>
      <c r="E99" s="58"/>
      <c r="F99" s="58"/>
      <c r="G99" s="58"/>
      <c r="H99" s="58"/>
      <c r="I99" s="58"/>
      <c r="J99" s="58"/>
      <c r="K99" s="58"/>
      <c r="L99" s="58"/>
      <c r="M99" s="58"/>
      <c r="N99" s="58"/>
      <c r="O99" s="58"/>
      <c r="P99" s="58"/>
      <c r="Q99" s="58"/>
      <c r="R99" s="58"/>
      <c r="S99" s="58"/>
      <c r="T99" s="58"/>
      <c r="U99" s="58"/>
      <c r="V99" s="58"/>
      <c r="W99" s="58"/>
      <c r="X99" s="58"/>
      <c r="Y99" s="58"/>
      <c r="Z99" s="58"/>
      <c r="AA99" s="58"/>
      <c r="AB99" s="58"/>
      <c r="AC99" s="58"/>
      <c r="AD99" s="58"/>
      <c r="AE99" s="58"/>
      <c r="AF99" s="58"/>
      <c r="AG99" s="58"/>
      <c r="AH99" s="58"/>
      <c r="AI99" s="58"/>
      <c r="AJ99" s="58"/>
      <c r="AK99" s="58"/>
      <c r="AL99" s="58"/>
      <c r="AM99" s="58"/>
      <c r="AN99" s="58"/>
      <c r="AO99" s="58"/>
      <c r="AP99" s="58"/>
      <c r="AQ99" s="58"/>
      <c r="AR99" s="58"/>
      <c r="AS99" s="58"/>
      <c r="AT99" s="58"/>
      <c r="AU99" s="58"/>
      <c r="AV99" s="58"/>
      <c r="AW99" s="58"/>
      <c r="AX99" s="58"/>
      <c r="AY99" s="58"/>
      <c r="AZ99" s="58"/>
    </row>
    <row r="100" spans="1:52" x14ac:dyDescent="0.25">
      <c r="A100" s="58"/>
      <c r="B100" s="58"/>
      <c r="C100" s="58"/>
      <c r="D100" s="58"/>
      <c r="E100" s="58"/>
      <c r="F100" s="58"/>
      <c r="G100" s="58"/>
      <c r="H100" s="58"/>
      <c r="I100" s="58"/>
      <c r="J100" s="58"/>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8"/>
      <c r="AQ100" s="58"/>
      <c r="AR100" s="58"/>
      <c r="AS100" s="58"/>
      <c r="AT100" s="58"/>
      <c r="AU100" s="58"/>
      <c r="AV100" s="58"/>
      <c r="AW100" s="58"/>
      <c r="AX100" s="58"/>
      <c r="AY100" s="58"/>
      <c r="AZ100" s="58"/>
    </row>
    <row r="101" spans="1:52" x14ac:dyDescent="0.25">
      <c r="A101" s="58"/>
      <c r="B101" s="58"/>
      <c r="C101" s="58"/>
      <c r="D101" s="58"/>
      <c r="E101" s="58"/>
      <c r="F101" s="58"/>
      <c r="G101" s="58"/>
      <c r="H101" s="58"/>
      <c r="I101" s="58"/>
      <c r="J101" s="58"/>
      <c r="K101" s="58"/>
      <c r="L101" s="58"/>
      <c r="M101" s="58"/>
      <c r="N101" s="58"/>
      <c r="O101" s="58"/>
      <c r="P101" s="58"/>
      <c r="Q101" s="58"/>
      <c r="R101" s="58"/>
      <c r="S101" s="58"/>
      <c r="T101" s="58"/>
      <c r="U101" s="58"/>
      <c r="V101" s="58"/>
      <c r="W101" s="58"/>
      <c r="X101" s="58"/>
      <c r="Y101" s="58"/>
      <c r="Z101" s="58"/>
      <c r="AA101" s="58"/>
      <c r="AB101" s="58"/>
      <c r="AC101" s="58"/>
      <c r="AD101" s="58"/>
      <c r="AE101" s="58"/>
      <c r="AF101" s="58"/>
      <c r="AG101" s="58"/>
      <c r="AH101" s="58"/>
      <c r="AI101" s="58"/>
      <c r="AJ101" s="58"/>
      <c r="AK101" s="58"/>
      <c r="AL101" s="58"/>
      <c r="AM101" s="58"/>
      <c r="AN101" s="58"/>
      <c r="AO101" s="58"/>
      <c r="AP101" s="58"/>
      <c r="AQ101" s="58"/>
      <c r="AR101" s="58"/>
      <c r="AS101" s="58"/>
      <c r="AT101" s="58"/>
      <c r="AU101" s="58"/>
      <c r="AV101" s="58"/>
      <c r="AW101" s="58"/>
      <c r="AX101" s="58"/>
      <c r="AY101" s="58"/>
      <c r="AZ101" s="58"/>
    </row>
    <row r="102" spans="1:52" x14ac:dyDescent="0.25">
      <c r="A102" s="58"/>
      <c r="B102" s="58"/>
      <c r="C102" s="58"/>
      <c r="D102" s="58"/>
      <c r="E102" s="58"/>
      <c r="F102" s="58"/>
      <c r="G102" s="58"/>
      <c r="H102" s="58"/>
      <c r="I102" s="58"/>
      <c r="J102" s="58"/>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8"/>
      <c r="AQ102" s="58"/>
      <c r="AR102" s="58"/>
      <c r="AS102" s="58"/>
      <c r="AT102" s="58"/>
      <c r="AU102" s="58"/>
      <c r="AV102" s="58"/>
      <c r="AW102" s="58"/>
      <c r="AX102" s="58"/>
      <c r="AY102" s="58"/>
      <c r="AZ102" s="58"/>
    </row>
    <row r="103" spans="1:52" x14ac:dyDescent="0.25">
      <c r="A103" s="58"/>
      <c r="B103" s="58"/>
      <c r="C103" s="58"/>
      <c r="D103" s="58"/>
      <c r="E103" s="58"/>
      <c r="F103" s="58"/>
      <c r="G103" s="58"/>
      <c r="H103" s="58"/>
      <c r="I103" s="58"/>
      <c r="J103" s="58"/>
      <c r="K103" s="58"/>
      <c r="L103" s="58"/>
      <c r="M103" s="58"/>
      <c r="N103" s="58"/>
      <c r="O103" s="58"/>
      <c r="P103" s="58"/>
      <c r="Q103" s="58"/>
      <c r="R103" s="58"/>
      <c r="S103" s="58"/>
      <c r="T103" s="58"/>
      <c r="U103" s="58"/>
      <c r="V103" s="58"/>
      <c r="W103" s="58"/>
      <c r="X103" s="58"/>
      <c r="Y103" s="58"/>
      <c r="Z103" s="58"/>
      <c r="AA103" s="58"/>
      <c r="AB103" s="58"/>
      <c r="AC103" s="58"/>
      <c r="AD103" s="58"/>
      <c r="AE103" s="58"/>
      <c r="AF103" s="58"/>
      <c r="AG103" s="58"/>
      <c r="AH103" s="58"/>
      <c r="AI103" s="58"/>
      <c r="AJ103" s="58"/>
      <c r="AK103" s="58"/>
      <c r="AL103" s="58"/>
      <c r="AM103" s="58"/>
      <c r="AN103" s="58"/>
      <c r="AO103" s="58"/>
      <c r="AP103" s="58"/>
      <c r="AQ103" s="58"/>
      <c r="AR103" s="58"/>
      <c r="AS103" s="58"/>
      <c r="AT103" s="58"/>
      <c r="AU103" s="58"/>
      <c r="AV103" s="58"/>
      <c r="AW103" s="58"/>
      <c r="AX103" s="58"/>
      <c r="AY103" s="58"/>
      <c r="AZ103" s="58"/>
    </row>
    <row r="104" spans="1:52" x14ac:dyDescent="0.25">
      <c r="A104" s="58"/>
      <c r="B104" s="58"/>
      <c r="C104" s="58"/>
      <c r="D104" s="58"/>
      <c r="E104" s="58"/>
      <c r="F104" s="58"/>
      <c r="G104" s="58"/>
      <c r="H104" s="58"/>
      <c r="I104" s="58"/>
      <c r="J104" s="58"/>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8"/>
      <c r="AQ104" s="58"/>
      <c r="AR104" s="58"/>
      <c r="AS104" s="58"/>
      <c r="AT104" s="58"/>
      <c r="AU104" s="58"/>
      <c r="AV104" s="58"/>
      <c r="AW104" s="58"/>
      <c r="AX104" s="58"/>
      <c r="AY104" s="58"/>
      <c r="AZ104" s="58"/>
    </row>
    <row r="105" spans="1:52" x14ac:dyDescent="0.25">
      <c r="A105" s="58"/>
      <c r="B105" s="58"/>
      <c r="C105" s="58"/>
      <c r="D105" s="58"/>
      <c r="E105" s="58"/>
      <c r="F105" s="58"/>
      <c r="G105" s="58"/>
      <c r="H105" s="58"/>
      <c r="I105" s="58"/>
      <c r="J105" s="58"/>
      <c r="K105" s="58"/>
      <c r="L105" s="58"/>
      <c r="M105" s="58"/>
      <c r="N105" s="58"/>
      <c r="O105" s="58"/>
      <c r="P105" s="58"/>
      <c r="Q105" s="58"/>
      <c r="R105" s="58"/>
      <c r="S105" s="58"/>
      <c r="T105" s="58"/>
      <c r="U105" s="58"/>
      <c r="V105" s="58"/>
      <c r="W105" s="58"/>
      <c r="X105" s="58"/>
      <c r="Y105" s="58"/>
      <c r="Z105" s="58"/>
      <c r="AA105" s="58"/>
      <c r="AB105" s="58"/>
      <c r="AC105" s="58"/>
      <c r="AD105" s="58"/>
      <c r="AE105" s="58"/>
      <c r="AF105" s="58"/>
      <c r="AG105" s="58"/>
      <c r="AH105" s="58"/>
      <c r="AI105" s="58"/>
      <c r="AJ105" s="58"/>
      <c r="AK105" s="58"/>
      <c r="AL105" s="58"/>
      <c r="AM105" s="58"/>
      <c r="AN105" s="58"/>
      <c r="AO105" s="58"/>
      <c r="AP105" s="58"/>
      <c r="AQ105" s="58"/>
      <c r="AR105" s="58"/>
      <c r="AS105" s="58"/>
      <c r="AT105" s="58"/>
      <c r="AU105" s="58"/>
      <c r="AV105" s="58"/>
      <c r="AW105" s="58"/>
      <c r="AX105" s="58"/>
      <c r="AY105" s="58"/>
      <c r="AZ105" s="58"/>
    </row>
    <row r="106" spans="1:52" x14ac:dyDescent="0.25">
      <c r="A106" s="58"/>
      <c r="B106" s="58"/>
      <c r="C106" s="58"/>
      <c r="D106" s="58"/>
      <c r="E106" s="58"/>
      <c r="F106" s="58"/>
      <c r="G106" s="58"/>
      <c r="H106" s="58"/>
      <c r="I106" s="58"/>
      <c r="J106" s="58"/>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8"/>
      <c r="AQ106" s="58"/>
      <c r="AR106" s="58"/>
      <c r="AS106" s="58"/>
      <c r="AT106" s="58"/>
      <c r="AU106" s="58"/>
      <c r="AV106" s="58"/>
      <c r="AW106" s="58"/>
      <c r="AX106" s="58"/>
      <c r="AY106" s="58"/>
      <c r="AZ106" s="58"/>
    </row>
    <row r="107" spans="1:52" x14ac:dyDescent="0.25">
      <c r="A107" s="58"/>
      <c r="B107" s="58"/>
      <c r="C107" s="58"/>
      <c r="D107" s="58"/>
      <c r="E107" s="58"/>
      <c r="F107" s="58"/>
      <c r="G107" s="58"/>
      <c r="H107" s="58"/>
      <c r="I107" s="58"/>
      <c r="J107" s="58"/>
      <c r="K107" s="58"/>
      <c r="L107" s="58"/>
      <c r="M107" s="58"/>
      <c r="N107" s="58"/>
      <c r="O107" s="58"/>
      <c r="P107" s="58"/>
      <c r="Q107" s="58"/>
      <c r="R107" s="58"/>
      <c r="S107" s="58"/>
      <c r="T107" s="58"/>
      <c r="U107" s="58"/>
      <c r="V107" s="58"/>
      <c r="W107" s="58"/>
      <c r="X107" s="58"/>
      <c r="Y107" s="58"/>
      <c r="Z107" s="58"/>
      <c r="AA107" s="58"/>
      <c r="AB107" s="58"/>
      <c r="AC107" s="58"/>
      <c r="AD107" s="58"/>
      <c r="AE107" s="58"/>
      <c r="AF107" s="58"/>
      <c r="AG107" s="58"/>
      <c r="AH107" s="58"/>
      <c r="AI107" s="58"/>
      <c r="AJ107" s="58"/>
      <c r="AK107" s="58"/>
      <c r="AL107" s="58"/>
      <c r="AM107" s="58"/>
      <c r="AN107" s="58"/>
      <c r="AO107" s="58"/>
      <c r="AP107" s="58"/>
      <c r="AQ107" s="58"/>
      <c r="AR107" s="58"/>
      <c r="AS107" s="58"/>
      <c r="AT107" s="58"/>
      <c r="AU107" s="58"/>
      <c r="AV107" s="58"/>
      <c r="AW107" s="58"/>
      <c r="AX107" s="58"/>
      <c r="AY107" s="58"/>
      <c r="AZ107" s="58"/>
    </row>
    <row r="108" spans="1:52" x14ac:dyDescent="0.25">
      <c r="A108" s="58"/>
      <c r="B108" s="58"/>
      <c r="C108" s="58"/>
      <c r="D108" s="58"/>
      <c r="E108" s="58"/>
      <c r="F108" s="58"/>
      <c r="G108" s="58"/>
      <c r="H108" s="58"/>
      <c r="I108" s="58"/>
      <c r="J108" s="58"/>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8"/>
      <c r="AQ108" s="58"/>
      <c r="AR108" s="58"/>
      <c r="AS108" s="58"/>
      <c r="AT108" s="58"/>
      <c r="AU108" s="58"/>
      <c r="AV108" s="58"/>
      <c r="AW108" s="58"/>
      <c r="AX108" s="58"/>
      <c r="AY108" s="58"/>
      <c r="AZ108" s="58"/>
    </row>
    <row r="109" spans="1:52" x14ac:dyDescent="0.25">
      <c r="A109" s="58"/>
      <c r="B109" s="58"/>
      <c r="C109" s="58"/>
      <c r="D109" s="58"/>
      <c r="E109" s="58"/>
      <c r="F109" s="58"/>
      <c r="G109" s="58"/>
      <c r="H109" s="58"/>
      <c r="I109" s="58"/>
      <c r="J109" s="58"/>
      <c r="K109" s="58"/>
      <c r="L109" s="58"/>
      <c r="M109" s="58"/>
      <c r="N109" s="58"/>
      <c r="O109" s="58"/>
      <c r="P109" s="58"/>
      <c r="Q109" s="58"/>
      <c r="R109" s="58"/>
      <c r="S109" s="58"/>
      <c r="T109" s="58"/>
      <c r="U109" s="58"/>
      <c r="V109" s="58"/>
      <c r="W109" s="58"/>
      <c r="X109" s="58"/>
      <c r="Y109" s="58"/>
      <c r="Z109" s="58"/>
      <c r="AA109" s="58"/>
      <c r="AB109" s="58"/>
      <c r="AC109" s="58"/>
      <c r="AD109" s="58"/>
      <c r="AE109" s="58"/>
      <c r="AF109" s="58"/>
      <c r="AG109" s="58"/>
      <c r="AH109" s="58"/>
      <c r="AI109" s="58"/>
      <c r="AJ109" s="58"/>
      <c r="AK109" s="58"/>
      <c r="AL109" s="58"/>
      <c r="AM109" s="58"/>
      <c r="AN109" s="58"/>
      <c r="AO109" s="58"/>
      <c r="AP109" s="58"/>
      <c r="AQ109" s="58"/>
      <c r="AR109" s="58"/>
      <c r="AS109" s="58"/>
      <c r="AT109" s="58"/>
      <c r="AU109" s="58"/>
      <c r="AV109" s="58"/>
      <c r="AW109" s="58"/>
      <c r="AX109" s="58"/>
      <c r="AY109" s="58"/>
      <c r="AZ109" s="58"/>
    </row>
    <row r="110" spans="1:52" x14ac:dyDescent="0.25">
      <c r="A110" s="58"/>
      <c r="B110" s="58"/>
      <c r="C110" s="58"/>
      <c r="D110" s="58"/>
      <c r="E110" s="58"/>
      <c r="F110" s="58"/>
      <c r="G110" s="58"/>
      <c r="H110" s="58"/>
      <c r="I110" s="58"/>
      <c r="J110" s="58"/>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row>
    <row r="111" spans="1:52" x14ac:dyDescent="0.25">
      <c r="A111" s="58"/>
      <c r="B111" s="58"/>
      <c r="C111" s="58"/>
      <c r="D111" s="58"/>
      <c r="E111" s="58"/>
      <c r="F111" s="58"/>
      <c r="G111" s="58"/>
      <c r="H111" s="58"/>
      <c r="I111" s="58"/>
      <c r="J111" s="58"/>
      <c r="K111" s="58"/>
      <c r="L111" s="58"/>
      <c r="M111" s="58"/>
      <c r="N111" s="58"/>
      <c r="O111" s="58"/>
      <c r="P111" s="58"/>
      <c r="Q111" s="58"/>
      <c r="R111" s="58"/>
      <c r="S111" s="58"/>
      <c r="T111" s="58"/>
      <c r="U111" s="58"/>
      <c r="V111" s="58"/>
      <c r="W111" s="58"/>
      <c r="X111" s="58"/>
      <c r="Y111" s="58"/>
      <c r="Z111" s="58"/>
      <c r="AA111" s="58"/>
      <c r="AB111" s="58"/>
      <c r="AC111" s="58"/>
      <c r="AD111" s="58"/>
      <c r="AE111" s="58"/>
      <c r="AF111" s="58"/>
      <c r="AG111" s="58"/>
      <c r="AH111" s="58"/>
      <c r="AI111" s="58"/>
      <c r="AJ111" s="58"/>
      <c r="AK111" s="58"/>
      <c r="AL111" s="58"/>
      <c r="AM111" s="58"/>
      <c r="AN111" s="58"/>
      <c r="AO111" s="58"/>
      <c r="AP111" s="58"/>
      <c r="AQ111" s="58"/>
      <c r="AR111" s="58"/>
      <c r="AS111" s="58"/>
      <c r="AT111" s="58"/>
      <c r="AU111" s="58"/>
      <c r="AV111" s="58"/>
      <c r="AW111" s="58"/>
      <c r="AX111" s="58"/>
      <c r="AY111" s="58"/>
      <c r="AZ111" s="58"/>
    </row>
    <row r="112" spans="1:52" x14ac:dyDescent="0.25">
      <c r="A112" s="58"/>
      <c r="B112" s="58"/>
      <c r="C112" s="58"/>
      <c r="D112" s="58"/>
      <c r="E112" s="58"/>
      <c r="F112" s="58"/>
      <c r="G112" s="58"/>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row>
    <row r="113" spans="1:52" x14ac:dyDescent="0.25">
      <c r="A113" s="58"/>
      <c r="B113" s="58"/>
      <c r="C113" s="58"/>
      <c r="D113" s="58"/>
      <c r="E113" s="58"/>
      <c r="F113" s="58"/>
      <c r="G113" s="58"/>
      <c r="H113" s="58"/>
      <c r="I113" s="58"/>
      <c r="J113" s="58"/>
      <c r="K113" s="58"/>
      <c r="L113" s="58"/>
      <c r="M113" s="58"/>
      <c r="N113" s="58"/>
      <c r="O113" s="58"/>
      <c r="P113" s="58"/>
      <c r="Q113" s="58"/>
      <c r="R113" s="58"/>
      <c r="S113" s="58"/>
      <c r="T113" s="58"/>
      <c r="U113" s="58"/>
      <c r="V113" s="58"/>
      <c r="W113" s="58"/>
      <c r="X113" s="58"/>
      <c r="Y113" s="58"/>
      <c r="Z113" s="58"/>
      <c r="AA113" s="58"/>
      <c r="AB113" s="58"/>
      <c r="AC113" s="58"/>
      <c r="AD113" s="58"/>
      <c r="AE113" s="58"/>
      <c r="AF113" s="58"/>
      <c r="AG113" s="58"/>
      <c r="AH113" s="58"/>
      <c r="AI113" s="58"/>
      <c r="AJ113" s="58"/>
      <c r="AK113" s="58"/>
      <c r="AL113" s="58"/>
      <c r="AM113" s="58"/>
      <c r="AN113" s="58"/>
      <c r="AO113" s="58"/>
      <c r="AP113" s="58"/>
      <c r="AQ113" s="58"/>
      <c r="AR113" s="58"/>
      <c r="AS113" s="58"/>
      <c r="AT113" s="58"/>
      <c r="AU113" s="58"/>
      <c r="AV113" s="58"/>
      <c r="AW113" s="58"/>
      <c r="AX113" s="58"/>
      <c r="AY113" s="58"/>
      <c r="AZ113" s="58"/>
    </row>
    <row r="114" spans="1:52" x14ac:dyDescent="0.25">
      <c r="A114" s="58"/>
      <c r="B114" s="58"/>
      <c r="C114" s="58"/>
      <c r="D114" s="58"/>
      <c r="E114" s="58"/>
      <c r="F114" s="58"/>
      <c r="G114" s="58"/>
      <c r="H114" s="58"/>
      <c r="I114" s="58"/>
      <c r="J114" s="58"/>
      <c r="K114" s="58"/>
      <c r="L114" s="58"/>
      <c r="M114" s="58"/>
      <c r="N114" s="58"/>
      <c r="O114" s="58"/>
      <c r="P114" s="58"/>
      <c r="Q114" s="58"/>
      <c r="R114" s="58"/>
      <c r="S114" s="58"/>
      <c r="T114" s="58"/>
      <c r="U114" s="58"/>
      <c r="V114" s="58"/>
      <c r="W114" s="58"/>
      <c r="X114" s="58"/>
      <c r="Y114" s="58"/>
      <c r="Z114" s="58"/>
      <c r="AA114" s="58"/>
      <c r="AB114" s="58"/>
      <c r="AC114" s="58"/>
      <c r="AD114" s="58"/>
      <c r="AE114" s="58"/>
      <c r="AF114" s="58"/>
      <c r="AG114" s="58"/>
      <c r="AH114" s="58"/>
      <c r="AI114" s="58"/>
      <c r="AJ114" s="58"/>
      <c r="AK114" s="58"/>
      <c r="AL114" s="58"/>
      <c r="AM114" s="58"/>
      <c r="AN114" s="58"/>
      <c r="AO114" s="58"/>
      <c r="AP114" s="58"/>
      <c r="AQ114" s="58"/>
      <c r="AR114" s="58"/>
      <c r="AS114" s="58"/>
      <c r="AT114" s="58"/>
      <c r="AU114" s="58"/>
      <c r="AV114" s="58"/>
      <c r="AW114" s="58"/>
      <c r="AX114" s="58"/>
      <c r="AY114" s="58"/>
      <c r="AZ114" s="58"/>
    </row>
    <row r="115" spans="1:52" x14ac:dyDescent="0.25">
      <c r="A115" s="58"/>
      <c r="B115" s="58"/>
      <c r="C115" s="58"/>
      <c r="D115" s="58"/>
      <c r="E115" s="58"/>
      <c r="F115" s="58"/>
      <c r="G115" s="58"/>
      <c r="H115" s="58"/>
      <c r="I115" s="58"/>
      <c r="J115" s="58"/>
      <c r="K115" s="58"/>
      <c r="L115" s="58"/>
      <c r="M115" s="58"/>
      <c r="N115" s="58"/>
      <c r="O115" s="58"/>
      <c r="P115" s="58"/>
      <c r="Q115" s="58"/>
      <c r="R115" s="58"/>
      <c r="S115" s="58"/>
      <c r="T115" s="58"/>
      <c r="U115" s="58"/>
      <c r="V115" s="58"/>
      <c r="W115" s="58"/>
      <c r="X115" s="58"/>
      <c r="Y115" s="58"/>
      <c r="Z115" s="58"/>
      <c r="AA115" s="58"/>
      <c r="AB115" s="58"/>
      <c r="AC115" s="58"/>
      <c r="AD115" s="58"/>
      <c r="AE115" s="58"/>
      <c r="AF115" s="58"/>
      <c r="AG115" s="58"/>
      <c r="AH115" s="58"/>
      <c r="AI115" s="58"/>
      <c r="AJ115" s="58"/>
      <c r="AK115" s="58"/>
      <c r="AL115" s="58"/>
      <c r="AM115" s="58"/>
      <c r="AN115" s="58"/>
      <c r="AO115" s="58"/>
      <c r="AP115" s="58"/>
      <c r="AQ115" s="58"/>
      <c r="AR115" s="58"/>
      <c r="AS115" s="58"/>
      <c r="AT115" s="58"/>
      <c r="AU115" s="58"/>
      <c r="AV115" s="58"/>
      <c r="AW115" s="58"/>
      <c r="AX115" s="58"/>
      <c r="AY115" s="58"/>
      <c r="AZ115" s="58"/>
    </row>
    <row r="116" spans="1:52" x14ac:dyDescent="0.25">
      <c r="A116" s="58"/>
      <c r="B116" s="58"/>
      <c r="C116" s="58"/>
      <c r="D116" s="58"/>
      <c r="E116" s="58"/>
      <c r="F116" s="58"/>
      <c r="G116" s="58"/>
      <c r="H116" s="58"/>
      <c r="I116" s="58"/>
      <c r="J116" s="58"/>
      <c r="K116" s="58"/>
      <c r="L116" s="58"/>
      <c r="M116" s="58"/>
      <c r="N116" s="58"/>
      <c r="O116" s="58"/>
      <c r="P116" s="58"/>
      <c r="Q116" s="58"/>
      <c r="R116" s="58"/>
      <c r="S116" s="58"/>
      <c r="T116" s="58"/>
      <c r="U116" s="58"/>
      <c r="V116" s="58"/>
      <c r="W116" s="58"/>
      <c r="X116" s="58"/>
      <c r="Y116" s="58"/>
      <c r="Z116" s="58"/>
      <c r="AA116" s="58"/>
      <c r="AB116" s="58"/>
      <c r="AC116" s="58"/>
      <c r="AD116" s="58"/>
      <c r="AE116" s="58"/>
      <c r="AF116" s="58"/>
      <c r="AG116" s="58"/>
      <c r="AH116" s="58"/>
      <c r="AI116" s="58"/>
      <c r="AJ116" s="58"/>
      <c r="AK116" s="58"/>
      <c r="AL116" s="58"/>
      <c r="AM116" s="58"/>
      <c r="AN116" s="58"/>
      <c r="AO116" s="58"/>
      <c r="AP116" s="58"/>
      <c r="AQ116" s="58"/>
      <c r="AR116" s="58"/>
      <c r="AS116" s="58"/>
      <c r="AT116" s="58"/>
      <c r="AU116" s="58"/>
      <c r="AV116" s="58"/>
      <c r="AW116" s="58"/>
      <c r="AX116" s="58"/>
      <c r="AY116" s="58"/>
      <c r="AZ116" s="58"/>
    </row>
    <row r="117" spans="1:52" x14ac:dyDescent="0.25">
      <c r="A117" s="58"/>
      <c r="B117" s="58"/>
      <c r="C117" s="58"/>
      <c r="D117" s="58"/>
      <c r="E117" s="58"/>
      <c r="F117" s="58"/>
      <c r="G117" s="58"/>
      <c r="H117" s="58"/>
      <c r="I117" s="58"/>
      <c r="J117" s="58"/>
      <c r="K117" s="58"/>
      <c r="L117" s="58"/>
      <c r="M117" s="58"/>
      <c r="N117" s="58"/>
      <c r="O117" s="58"/>
      <c r="P117" s="58"/>
      <c r="Q117" s="58"/>
      <c r="R117" s="58"/>
      <c r="S117" s="58"/>
      <c r="T117" s="58"/>
      <c r="U117" s="58"/>
      <c r="V117" s="58"/>
      <c r="W117" s="58"/>
      <c r="X117" s="58"/>
      <c r="Y117" s="58"/>
      <c r="Z117" s="58"/>
      <c r="AA117" s="58"/>
      <c r="AB117" s="58"/>
      <c r="AC117" s="58"/>
      <c r="AD117" s="58"/>
      <c r="AE117" s="58"/>
      <c r="AF117" s="58"/>
      <c r="AG117" s="58"/>
      <c r="AH117" s="58"/>
      <c r="AI117" s="58"/>
      <c r="AJ117" s="58"/>
      <c r="AK117" s="58"/>
      <c r="AL117" s="58"/>
      <c r="AM117" s="58"/>
      <c r="AN117" s="58"/>
      <c r="AO117" s="58"/>
      <c r="AP117" s="58"/>
      <c r="AQ117" s="58"/>
      <c r="AR117" s="58"/>
      <c r="AS117" s="58"/>
      <c r="AT117" s="58"/>
      <c r="AU117" s="58"/>
      <c r="AV117" s="58"/>
      <c r="AW117" s="58"/>
      <c r="AX117" s="58"/>
      <c r="AY117" s="58"/>
      <c r="AZ117" s="58"/>
    </row>
    <row r="118" spans="1:52" x14ac:dyDescent="0.25">
      <c r="A118" s="58"/>
      <c r="B118" s="58"/>
      <c r="C118" s="58"/>
      <c r="D118" s="58"/>
      <c r="E118" s="58"/>
      <c r="F118" s="58"/>
      <c r="G118" s="58"/>
      <c r="H118" s="58"/>
      <c r="I118" s="58"/>
      <c r="J118" s="58"/>
      <c r="K118" s="58"/>
      <c r="L118" s="58"/>
      <c r="M118" s="58"/>
      <c r="N118" s="58"/>
      <c r="O118" s="58"/>
      <c r="P118" s="58"/>
      <c r="Q118" s="58"/>
      <c r="R118" s="58"/>
      <c r="S118" s="58"/>
      <c r="T118" s="58"/>
      <c r="U118" s="58"/>
      <c r="V118" s="58"/>
      <c r="W118" s="58"/>
      <c r="X118" s="58"/>
      <c r="Y118" s="58"/>
      <c r="Z118" s="58"/>
      <c r="AA118" s="58"/>
      <c r="AB118" s="58"/>
      <c r="AC118" s="58"/>
      <c r="AD118" s="58"/>
      <c r="AE118" s="58"/>
      <c r="AF118" s="58"/>
      <c r="AG118" s="58"/>
      <c r="AH118" s="58"/>
      <c r="AI118" s="58"/>
      <c r="AJ118" s="58"/>
      <c r="AK118" s="58"/>
      <c r="AL118" s="58"/>
      <c r="AM118" s="58"/>
      <c r="AN118" s="58"/>
      <c r="AO118" s="58"/>
      <c r="AP118" s="58"/>
      <c r="AQ118" s="58"/>
      <c r="AR118" s="58"/>
      <c r="AS118" s="58"/>
      <c r="AT118" s="58"/>
      <c r="AU118" s="58"/>
      <c r="AV118" s="58"/>
      <c r="AW118" s="58"/>
      <c r="AX118" s="58"/>
      <c r="AY118" s="58"/>
      <c r="AZ118" s="58"/>
    </row>
    <row r="119" spans="1:52" x14ac:dyDescent="0.25">
      <c r="A119" s="58"/>
      <c r="B119" s="58"/>
      <c r="C119" s="58"/>
      <c r="D119" s="58"/>
      <c r="E119" s="58"/>
      <c r="F119" s="58"/>
      <c r="G119" s="58"/>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c r="AE119" s="58"/>
      <c r="AF119" s="58"/>
      <c r="AG119" s="58"/>
      <c r="AH119" s="58"/>
      <c r="AI119" s="58"/>
      <c r="AJ119" s="58"/>
      <c r="AK119" s="58"/>
      <c r="AL119" s="58"/>
      <c r="AM119" s="58"/>
      <c r="AN119" s="58"/>
      <c r="AO119" s="58"/>
      <c r="AP119" s="58"/>
      <c r="AQ119" s="58"/>
      <c r="AR119" s="58"/>
      <c r="AS119" s="58"/>
      <c r="AT119" s="58"/>
      <c r="AU119" s="58"/>
      <c r="AV119" s="58"/>
      <c r="AW119" s="58"/>
      <c r="AX119" s="58"/>
      <c r="AY119" s="58"/>
      <c r="AZ119" s="58"/>
    </row>
    <row r="120" spans="1:52" x14ac:dyDescent="0.25">
      <c r="A120" s="58"/>
      <c r="B120" s="58"/>
      <c r="C120" s="58"/>
      <c r="D120" s="58"/>
      <c r="E120" s="58"/>
      <c r="F120" s="58"/>
      <c r="G120" s="58"/>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c r="AE120" s="58"/>
      <c r="AF120" s="58"/>
      <c r="AG120" s="58"/>
      <c r="AH120" s="58"/>
      <c r="AI120" s="58"/>
      <c r="AJ120" s="58"/>
      <c r="AK120" s="58"/>
      <c r="AL120" s="58"/>
      <c r="AM120" s="58"/>
      <c r="AN120" s="58"/>
      <c r="AO120" s="58"/>
      <c r="AP120" s="58"/>
      <c r="AQ120" s="58"/>
      <c r="AR120" s="58"/>
      <c r="AS120" s="58"/>
      <c r="AT120" s="58"/>
      <c r="AU120" s="58"/>
      <c r="AV120" s="58"/>
      <c r="AW120" s="58"/>
      <c r="AX120" s="58"/>
      <c r="AY120" s="58"/>
      <c r="AZ120" s="58"/>
    </row>
    <row r="121" spans="1:52" x14ac:dyDescent="0.25">
      <c r="A121" s="58"/>
      <c r="B121" s="58"/>
      <c r="C121" s="58"/>
      <c r="D121" s="58"/>
      <c r="E121" s="58"/>
      <c r="F121" s="58"/>
      <c r="G121" s="58"/>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c r="AE121" s="58"/>
      <c r="AF121" s="58"/>
      <c r="AG121" s="58"/>
      <c r="AH121" s="58"/>
      <c r="AI121" s="58"/>
      <c r="AJ121" s="58"/>
      <c r="AK121" s="58"/>
      <c r="AL121" s="58"/>
      <c r="AM121" s="58"/>
      <c r="AN121" s="58"/>
      <c r="AO121" s="58"/>
      <c r="AP121" s="58"/>
      <c r="AQ121" s="58"/>
      <c r="AR121" s="58"/>
      <c r="AS121" s="58"/>
      <c r="AT121" s="58"/>
      <c r="AU121" s="58"/>
      <c r="AV121" s="58"/>
      <c r="AW121" s="58"/>
      <c r="AX121" s="58"/>
      <c r="AY121" s="58"/>
      <c r="AZ121" s="58"/>
    </row>
    <row r="122" spans="1:52" x14ac:dyDescent="0.25">
      <c r="A122" s="58"/>
      <c r="B122" s="58"/>
      <c r="C122" s="58"/>
      <c r="D122" s="58"/>
      <c r="E122" s="58"/>
      <c r="F122" s="58"/>
      <c r="G122" s="58"/>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c r="AE122" s="58"/>
      <c r="AF122" s="58"/>
      <c r="AG122" s="58"/>
      <c r="AH122" s="58"/>
      <c r="AI122" s="58"/>
      <c r="AJ122" s="58"/>
      <c r="AK122" s="58"/>
      <c r="AL122" s="58"/>
      <c r="AM122" s="58"/>
      <c r="AN122" s="58"/>
      <c r="AO122" s="58"/>
      <c r="AP122" s="58"/>
      <c r="AQ122" s="58"/>
      <c r="AR122" s="58"/>
      <c r="AS122" s="58"/>
      <c r="AT122" s="58"/>
      <c r="AU122" s="58"/>
      <c r="AV122" s="58"/>
      <c r="AW122" s="58"/>
      <c r="AX122" s="58"/>
      <c r="AY122" s="58"/>
      <c r="AZ122" s="58"/>
    </row>
    <row r="123" spans="1:52" x14ac:dyDescent="0.25">
      <c r="A123" s="58"/>
      <c r="B123" s="58"/>
      <c r="C123" s="58"/>
      <c r="D123" s="58"/>
      <c r="E123" s="58"/>
      <c r="F123" s="58"/>
      <c r="G123" s="58"/>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c r="AE123" s="58"/>
      <c r="AF123" s="58"/>
      <c r="AG123" s="58"/>
      <c r="AH123" s="58"/>
      <c r="AI123" s="58"/>
      <c r="AJ123" s="58"/>
      <c r="AK123" s="58"/>
      <c r="AL123" s="58"/>
      <c r="AM123" s="58"/>
      <c r="AN123" s="58"/>
      <c r="AO123" s="58"/>
      <c r="AP123" s="58"/>
      <c r="AQ123" s="58"/>
      <c r="AR123" s="58"/>
      <c r="AS123" s="58"/>
      <c r="AT123" s="58"/>
      <c r="AU123" s="58"/>
      <c r="AV123" s="58"/>
      <c r="AW123" s="58"/>
      <c r="AX123" s="58"/>
      <c r="AY123" s="58"/>
      <c r="AZ123" s="58"/>
    </row>
    <row r="124" spans="1:52" x14ac:dyDescent="0.25">
      <c r="A124" s="58"/>
      <c r="B124" s="58"/>
      <c r="C124" s="58"/>
      <c r="D124" s="58"/>
      <c r="E124" s="58"/>
      <c r="F124" s="58"/>
      <c r="G124" s="58"/>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c r="AE124" s="58"/>
      <c r="AF124" s="58"/>
      <c r="AG124" s="58"/>
      <c r="AH124" s="58"/>
      <c r="AI124" s="58"/>
      <c r="AJ124" s="58"/>
      <c r="AK124" s="58"/>
      <c r="AL124" s="58"/>
      <c r="AM124" s="58"/>
      <c r="AN124" s="58"/>
      <c r="AO124" s="58"/>
      <c r="AP124" s="58"/>
      <c r="AQ124" s="58"/>
      <c r="AR124" s="58"/>
      <c r="AS124" s="58"/>
      <c r="AT124" s="58"/>
      <c r="AU124" s="58"/>
      <c r="AV124" s="58"/>
      <c r="AW124" s="58"/>
      <c r="AX124" s="58"/>
      <c r="AY124" s="58"/>
      <c r="AZ124" s="58"/>
    </row>
    <row r="125" spans="1:52" x14ac:dyDescent="0.25">
      <c r="A125" s="58"/>
      <c r="B125" s="58"/>
      <c r="C125" s="58"/>
      <c r="D125" s="58"/>
      <c r="E125" s="58"/>
      <c r="F125" s="58"/>
      <c r="G125" s="58"/>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c r="AE125" s="58"/>
      <c r="AF125" s="58"/>
      <c r="AG125" s="58"/>
      <c r="AH125" s="58"/>
      <c r="AI125" s="58"/>
      <c r="AJ125" s="58"/>
      <c r="AK125" s="58"/>
      <c r="AL125" s="58"/>
      <c r="AM125" s="58"/>
      <c r="AN125" s="58"/>
      <c r="AO125" s="58"/>
      <c r="AP125" s="58"/>
      <c r="AQ125" s="58"/>
      <c r="AR125" s="58"/>
      <c r="AS125" s="58"/>
      <c r="AT125" s="58"/>
      <c r="AU125" s="58"/>
      <c r="AV125" s="58"/>
      <c r="AW125" s="58"/>
      <c r="AX125" s="58"/>
      <c r="AY125" s="58"/>
      <c r="AZ125" s="58"/>
    </row>
    <row r="126" spans="1:52" x14ac:dyDescent="0.25">
      <c r="A126" s="58"/>
      <c r="B126" s="58"/>
      <c r="C126" s="58"/>
      <c r="D126" s="58"/>
      <c r="E126" s="58"/>
      <c r="F126" s="58"/>
      <c r="G126" s="58"/>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c r="AE126" s="58"/>
      <c r="AF126" s="58"/>
      <c r="AG126" s="58"/>
      <c r="AH126" s="58"/>
      <c r="AI126" s="58"/>
      <c r="AJ126" s="58"/>
      <c r="AK126" s="58"/>
      <c r="AL126" s="58"/>
      <c r="AM126" s="58"/>
      <c r="AN126" s="58"/>
      <c r="AO126" s="58"/>
      <c r="AP126" s="58"/>
      <c r="AQ126" s="58"/>
      <c r="AR126" s="58"/>
      <c r="AS126" s="58"/>
      <c r="AT126" s="58"/>
      <c r="AU126" s="58"/>
      <c r="AV126" s="58"/>
      <c r="AW126" s="58"/>
      <c r="AX126" s="58"/>
      <c r="AY126" s="58"/>
      <c r="AZ126" s="58"/>
    </row>
    <row r="127" spans="1:52" x14ac:dyDescent="0.25">
      <c r="A127" s="58"/>
      <c r="B127" s="58"/>
      <c r="C127" s="58"/>
      <c r="D127" s="58"/>
      <c r="E127" s="58"/>
      <c r="F127" s="58"/>
      <c r="G127" s="58"/>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58"/>
      <c r="AH127" s="58"/>
      <c r="AI127" s="58"/>
      <c r="AJ127" s="58"/>
      <c r="AK127" s="58"/>
      <c r="AL127" s="58"/>
      <c r="AM127" s="58"/>
      <c r="AN127" s="58"/>
      <c r="AO127" s="58"/>
      <c r="AP127" s="58"/>
      <c r="AQ127" s="58"/>
      <c r="AR127" s="58"/>
      <c r="AS127" s="58"/>
      <c r="AT127" s="58"/>
      <c r="AU127" s="58"/>
      <c r="AV127" s="58"/>
      <c r="AW127" s="58"/>
      <c r="AX127" s="58"/>
      <c r="AY127" s="58"/>
      <c r="AZ127" s="58"/>
    </row>
    <row r="128" spans="1:52" x14ac:dyDescent="0.25">
      <c r="A128" s="58"/>
      <c r="B128" s="58"/>
      <c r="C128" s="58"/>
      <c r="D128" s="58"/>
      <c r="E128" s="58"/>
      <c r="F128" s="58"/>
      <c r="G128" s="58"/>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c r="AE128" s="58"/>
      <c r="AF128" s="58"/>
      <c r="AG128" s="58"/>
      <c r="AH128" s="58"/>
      <c r="AI128" s="58"/>
      <c r="AJ128" s="58"/>
      <c r="AK128" s="58"/>
      <c r="AL128" s="58"/>
      <c r="AM128" s="58"/>
      <c r="AN128" s="58"/>
      <c r="AO128" s="58"/>
      <c r="AP128" s="58"/>
      <c r="AQ128" s="58"/>
      <c r="AR128" s="58"/>
      <c r="AS128" s="58"/>
      <c r="AT128" s="58"/>
      <c r="AU128" s="58"/>
      <c r="AV128" s="58"/>
      <c r="AW128" s="58"/>
      <c r="AX128" s="58"/>
      <c r="AY128" s="58"/>
      <c r="AZ128" s="58"/>
    </row>
    <row r="129" spans="1:52" x14ac:dyDescent="0.25">
      <c r="A129" s="58"/>
      <c r="B129" s="58"/>
      <c r="C129" s="58"/>
      <c r="D129" s="58"/>
      <c r="E129" s="58"/>
      <c r="F129" s="58"/>
      <c r="G129" s="58"/>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c r="AE129" s="58"/>
      <c r="AF129" s="58"/>
      <c r="AG129" s="58"/>
      <c r="AH129" s="58"/>
      <c r="AI129" s="58"/>
      <c r="AJ129" s="58"/>
      <c r="AK129" s="58"/>
      <c r="AL129" s="58"/>
      <c r="AM129" s="58"/>
      <c r="AN129" s="58"/>
      <c r="AO129" s="58"/>
      <c r="AP129" s="58"/>
      <c r="AQ129" s="58"/>
      <c r="AR129" s="58"/>
      <c r="AS129" s="58"/>
      <c r="AT129" s="58"/>
      <c r="AU129" s="58"/>
      <c r="AV129" s="58"/>
      <c r="AW129" s="58"/>
      <c r="AX129" s="58"/>
      <c r="AY129" s="58"/>
      <c r="AZ129" s="58"/>
    </row>
    <row r="130" spans="1:52" x14ac:dyDescent="0.25">
      <c r="A130" s="58"/>
      <c r="B130" s="58"/>
      <c r="C130" s="58"/>
      <c r="D130" s="58"/>
      <c r="E130" s="58"/>
      <c r="F130" s="58"/>
      <c r="G130" s="58"/>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58"/>
      <c r="AW130" s="58"/>
      <c r="AX130" s="58"/>
      <c r="AY130" s="58"/>
      <c r="AZ130" s="58"/>
    </row>
    <row r="131" spans="1:52" x14ac:dyDescent="0.25">
      <c r="A131" s="58"/>
      <c r="B131" s="58"/>
      <c r="C131" s="58"/>
      <c r="D131" s="58"/>
      <c r="E131" s="58"/>
      <c r="F131" s="58"/>
      <c r="G131" s="58"/>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c r="AE131" s="58"/>
      <c r="AF131" s="58"/>
      <c r="AG131" s="58"/>
      <c r="AH131" s="58"/>
      <c r="AI131" s="58"/>
      <c r="AJ131" s="58"/>
      <c r="AK131" s="58"/>
      <c r="AL131" s="58"/>
      <c r="AM131" s="58"/>
      <c r="AN131" s="58"/>
      <c r="AO131" s="58"/>
      <c r="AP131" s="58"/>
      <c r="AQ131" s="58"/>
      <c r="AR131" s="58"/>
      <c r="AS131" s="58"/>
      <c r="AT131" s="58"/>
      <c r="AU131" s="58"/>
      <c r="AV131" s="58"/>
      <c r="AW131" s="58"/>
      <c r="AX131" s="58"/>
      <c r="AY131" s="58"/>
      <c r="AZ131" s="58"/>
    </row>
    <row r="132" spans="1:52" x14ac:dyDescent="0.25">
      <c r="A132" s="58"/>
      <c r="B132" s="58"/>
      <c r="C132" s="58"/>
      <c r="D132" s="58"/>
      <c r="E132" s="58"/>
      <c r="F132" s="58"/>
      <c r="G132" s="58"/>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c r="AE132" s="58"/>
      <c r="AF132" s="58"/>
      <c r="AG132" s="58"/>
      <c r="AH132" s="58"/>
      <c r="AI132" s="58"/>
      <c r="AJ132" s="58"/>
      <c r="AK132" s="58"/>
      <c r="AL132" s="58"/>
      <c r="AM132" s="58"/>
      <c r="AN132" s="58"/>
      <c r="AO132" s="58"/>
      <c r="AP132" s="58"/>
      <c r="AQ132" s="58"/>
      <c r="AR132" s="58"/>
      <c r="AS132" s="58"/>
      <c r="AT132" s="58"/>
      <c r="AU132" s="58"/>
      <c r="AV132" s="58"/>
      <c r="AW132" s="58"/>
      <c r="AX132" s="58"/>
      <c r="AY132" s="58"/>
      <c r="AZ132" s="58"/>
    </row>
    <row r="133" spans="1:52" x14ac:dyDescent="0.25">
      <c r="A133" s="58"/>
      <c r="B133" s="58"/>
      <c r="C133" s="58"/>
      <c r="D133" s="58"/>
      <c r="E133" s="58"/>
      <c r="F133" s="58"/>
      <c r="G133" s="58"/>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c r="AE133" s="58"/>
      <c r="AF133" s="58"/>
      <c r="AG133" s="58"/>
      <c r="AH133" s="58"/>
      <c r="AI133" s="58"/>
      <c r="AJ133" s="58"/>
      <c r="AK133" s="58"/>
      <c r="AL133" s="58"/>
      <c r="AM133" s="58"/>
      <c r="AN133" s="58"/>
      <c r="AO133" s="58"/>
      <c r="AP133" s="58"/>
      <c r="AQ133" s="58"/>
      <c r="AR133" s="58"/>
      <c r="AS133" s="58"/>
      <c r="AT133" s="58"/>
      <c r="AU133" s="58"/>
      <c r="AV133" s="58"/>
      <c r="AW133" s="58"/>
      <c r="AX133" s="58"/>
      <c r="AY133" s="58"/>
      <c r="AZ133" s="58"/>
    </row>
    <row r="134" spans="1:52" x14ac:dyDescent="0.25">
      <c r="A134" s="58"/>
      <c r="B134" s="58"/>
      <c r="C134" s="58"/>
      <c r="D134" s="58"/>
      <c r="E134" s="58"/>
      <c r="F134" s="58"/>
      <c r="G134" s="58"/>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c r="AE134" s="58"/>
      <c r="AF134" s="58"/>
      <c r="AG134" s="58"/>
      <c r="AH134" s="58"/>
      <c r="AI134" s="58"/>
      <c r="AJ134" s="58"/>
      <c r="AK134" s="58"/>
      <c r="AL134" s="58"/>
      <c r="AM134" s="58"/>
      <c r="AN134" s="58"/>
      <c r="AO134" s="58"/>
      <c r="AP134" s="58"/>
      <c r="AQ134" s="58"/>
      <c r="AR134" s="58"/>
      <c r="AS134" s="58"/>
      <c r="AT134" s="58"/>
      <c r="AU134" s="58"/>
      <c r="AV134" s="58"/>
      <c r="AW134" s="58"/>
      <c r="AX134" s="58"/>
      <c r="AY134" s="58"/>
      <c r="AZ134" s="58"/>
    </row>
    <row r="135" spans="1:52" x14ac:dyDescent="0.25">
      <c r="A135" s="58"/>
      <c r="B135" s="58"/>
      <c r="C135" s="58"/>
      <c r="D135" s="58"/>
      <c r="E135" s="58"/>
      <c r="F135" s="58"/>
      <c r="G135" s="58"/>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c r="AE135" s="58"/>
      <c r="AF135" s="58"/>
      <c r="AG135" s="58"/>
      <c r="AH135" s="58"/>
      <c r="AI135" s="58"/>
      <c r="AJ135" s="58"/>
      <c r="AK135" s="58"/>
      <c r="AL135" s="58"/>
      <c r="AM135" s="58"/>
      <c r="AN135" s="58"/>
      <c r="AO135" s="58"/>
      <c r="AP135" s="58"/>
      <c r="AQ135" s="58"/>
      <c r="AR135" s="58"/>
      <c r="AS135" s="58"/>
      <c r="AT135" s="58"/>
      <c r="AU135" s="58"/>
      <c r="AV135" s="58"/>
      <c r="AW135" s="58"/>
      <c r="AX135" s="58"/>
      <c r="AY135" s="58"/>
      <c r="AZ135" s="58"/>
    </row>
    <row r="136" spans="1:52" x14ac:dyDescent="0.25">
      <c r="A136" s="58"/>
      <c r="B136" s="58"/>
      <c r="C136" s="58"/>
      <c r="D136" s="58"/>
      <c r="E136" s="58"/>
      <c r="F136" s="58"/>
      <c r="G136" s="58"/>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c r="AE136" s="58"/>
      <c r="AF136" s="58"/>
      <c r="AG136" s="58"/>
      <c r="AH136" s="58"/>
      <c r="AI136" s="58"/>
      <c r="AJ136" s="58"/>
      <c r="AK136" s="58"/>
      <c r="AL136" s="58"/>
      <c r="AM136" s="58"/>
      <c r="AN136" s="58"/>
      <c r="AO136" s="58"/>
      <c r="AP136" s="58"/>
      <c r="AQ136" s="58"/>
      <c r="AR136" s="58"/>
      <c r="AS136" s="58"/>
      <c r="AT136" s="58"/>
      <c r="AU136" s="58"/>
      <c r="AV136" s="58"/>
      <c r="AW136" s="58"/>
      <c r="AX136" s="58"/>
      <c r="AY136" s="58"/>
      <c r="AZ136" s="58"/>
    </row>
    <row r="137" spans="1:52" x14ac:dyDescent="0.25">
      <c r="A137" s="58"/>
      <c r="B137" s="58"/>
      <c r="C137" s="58"/>
      <c r="D137" s="58"/>
      <c r="E137" s="58"/>
      <c r="F137" s="58"/>
      <c r="G137" s="58"/>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c r="AE137" s="58"/>
      <c r="AF137" s="58"/>
      <c r="AG137" s="58"/>
      <c r="AH137" s="58"/>
      <c r="AI137" s="58"/>
      <c r="AJ137" s="58"/>
      <c r="AK137" s="58"/>
      <c r="AL137" s="58"/>
      <c r="AM137" s="58"/>
      <c r="AN137" s="58"/>
      <c r="AO137" s="58"/>
      <c r="AP137" s="58"/>
      <c r="AQ137" s="58"/>
      <c r="AR137" s="58"/>
      <c r="AS137" s="58"/>
      <c r="AT137" s="58"/>
      <c r="AU137" s="58"/>
      <c r="AV137" s="58"/>
      <c r="AW137" s="58"/>
      <c r="AX137" s="58"/>
      <c r="AY137" s="58"/>
      <c r="AZ137" s="58"/>
    </row>
    <row r="138" spans="1:52" x14ac:dyDescent="0.25">
      <c r="A138" s="58"/>
      <c r="B138" s="58"/>
      <c r="C138" s="58"/>
      <c r="D138" s="58"/>
      <c r="E138" s="58"/>
      <c r="F138" s="58"/>
      <c r="G138" s="58"/>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c r="AE138" s="58"/>
      <c r="AF138" s="58"/>
      <c r="AG138" s="58"/>
      <c r="AH138" s="58"/>
      <c r="AI138" s="58"/>
      <c r="AJ138" s="58"/>
      <c r="AK138" s="58"/>
      <c r="AL138" s="58"/>
      <c r="AM138" s="58"/>
      <c r="AN138" s="58"/>
      <c r="AO138" s="58"/>
      <c r="AP138" s="58"/>
      <c r="AQ138" s="58"/>
      <c r="AR138" s="58"/>
      <c r="AS138" s="58"/>
      <c r="AT138" s="58"/>
      <c r="AU138" s="58"/>
      <c r="AV138" s="58"/>
      <c r="AW138" s="58"/>
      <c r="AX138" s="58"/>
      <c r="AY138" s="58"/>
      <c r="AZ138" s="58"/>
    </row>
    <row r="139" spans="1:52" x14ac:dyDescent="0.25">
      <c r="A139" s="58"/>
      <c r="B139" s="58"/>
      <c r="C139" s="58"/>
      <c r="D139" s="58"/>
      <c r="E139" s="58"/>
      <c r="F139" s="58"/>
      <c r="G139" s="58"/>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c r="AE139" s="58"/>
      <c r="AF139" s="58"/>
      <c r="AG139" s="58"/>
      <c r="AH139" s="58"/>
      <c r="AI139" s="58"/>
      <c r="AJ139" s="58"/>
      <c r="AK139" s="58"/>
      <c r="AL139" s="58"/>
      <c r="AM139" s="58"/>
      <c r="AN139" s="58"/>
      <c r="AO139" s="58"/>
      <c r="AP139" s="58"/>
      <c r="AQ139" s="58"/>
      <c r="AR139" s="58"/>
      <c r="AS139" s="58"/>
      <c r="AT139" s="58"/>
      <c r="AU139" s="58"/>
      <c r="AV139" s="58"/>
      <c r="AW139" s="58"/>
      <c r="AX139" s="58"/>
      <c r="AY139" s="58"/>
      <c r="AZ139" s="58"/>
    </row>
    <row r="140" spans="1:52" x14ac:dyDescent="0.25">
      <c r="A140" s="58"/>
      <c r="B140" s="58"/>
      <c r="C140" s="58"/>
      <c r="D140" s="58"/>
      <c r="E140" s="58"/>
      <c r="F140" s="58"/>
      <c r="G140" s="58"/>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c r="AE140" s="58"/>
      <c r="AF140" s="58"/>
      <c r="AG140" s="58"/>
      <c r="AH140" s="58"/>
      <c r="AI140" s="58"/>
      <c r="AJ140" s="58"/>
      <c r="AK140" s="58"/>
      <c r="AL140" s="58"/>
      <c r="AM140" s="58"/>
      <c r="AN140" s="58"/>
      <c r="AO140" s="58"/>
      <c r="AP140" s="58"/>
      <c r="AQ140" s="58"/>
      <c r="AR140" s="58"/>
      <c r="AS140" s="58"/>
      <c r="AT140" s="58"/>
      <c r="AU140" s="58"/>
      <c r="AV140" s="58"/>
      <c r="AW140" s="58"/>
      <c r="AX140" s="58"/>
      <c r="AY140" s="58"/>
      <c r="AZ140" s="58"/>
    </row>
    <row r="141" spans="1:52" x14ac:dyDescent="0.25">
      <c r="A141" s="58"/>
      <c r="B141" s="58"/>
      <c r="C141" s="58"/>
      <c r="D141" s="58"/>
      <c r="E141" s="58"/>
      <c r="F141" s="58"/>
      <c r="G141" s="58"/>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c r="AE141" s="58"/>
      <c r="AF141" s="58"/>
      <c r="AG141" s="58"/>
      <c r="AH141" s="58"/>
      <c r="AI141" s="58"/>
      <c r="AJ141" s="58"/>
      <c r="AK141" s="58"/>
      <c r="AL141" s="58"/>
      <c r="AM141" s="58"/>
      <c r="AN141" s="58"/>
      <c r="AO141" s="58"/>
      <c r="AP141" s="58"/>
      <c r="AQ141" s="58"/>
      <c r="AR141" s="58"/>
      <c r="AS141" s="58"/>
      <c r="AT141" s="58"/>
      <c r="AU141" s="58"/>
      <c r="AV141" s="58"/>
      <c r="AW141" s="58"/>
      <c r="AX141" s="58"/>
      <c r="AY141" s="58"/>
      <c r="AZ141" s="58"/>
    </row>
    <row r="142" spans="1:52" x14ac:dyDescent="0.25">
      <c r="A142" s="58"/>
      <c r="B142" s="58"/>
      <c r="C142" s="58"/>
      <c r="D142" s="58"/>
      <c r="E142" s="58"/>
      <c r="F142" s="58"/>
      <c r="G142" s="58"/>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c r="AE142" s="58"/>
      <c r="AF142" s="58"/>
      <c r="AG142" s="58"/>
      <c r="AH142" s="58"/>
      <c r="AI142" s="58"/>
      <c r="AJ142" s="58"/>
      <c r="AK142" s="58"/>
      <c r="AL142" s="58"/>
      <c r="AM142" s="58"/>
      <c r="AN142" s="58"/>
      <c r="AO142" s="58"/>
      <c r="AP142" s="58"/>
      <c r="AQ142" s="58"/>
      <c r="AR142" s="58"/>
      <c r="AS142" s="58"/>
      <c r="AT142" s="58"/>
      <c r="AU142" s="58"/>
      <c r="AV142" s="58"/>
      <c r="AW142" s="58"/>
      <c r="AX142" s="58"/>
      <c r="AY142" s="58"/>
      <c r="AZ142" s="58"/>
    </row>
    <row r="143" spans="1:52" x14ac:dyDescent="0.25">
      <c r="A143" s="58"/>
      <c r="B143" s="58"/>
      <c r="C143" s="58"/>
      <c r="D143" s="58"/>
      <c r="E143" s="58"/>
      <c r="F143" s="58"/>
      <c r="G143" s="58"/>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c r="AE143" s="58"/>
      <c r="AF143" s="58"/>
      <c r="AG143" s="58"/>
      <c r="AH143" s="58"/>
      <c r="AI143" s="58"/>
      <c r="AJ143" s="58"/>
      <c r="AK143" s="58"/>
      <c r="AL143" s="58"/>
      <c r="AM143" s="58"/>
      <c r="AN143" s="58"/>
      <c r="AO143" s="58"/>
      <c r="AP143" s="58"/>
      <c r="AQ143" s="58"/>
      <c r="AR143" s="58"/>
      <c r="AS143" s="58"/>
      <c r="AT143" s="58"/>
      <c r="AU143" s="58"/>
      <c r="AV143" s="58"/>
      <c r="AW143" s="58"/>
      <c r="AX143" s="58"/>
      <c r="AY143" s="58"/>
      <c r="AZ143" s="58"/>
    </row>
    <row r="144" spans="1:52" x14ac:dyDescent="0.25">
      <c r="A144" s="58"/>
      <c r="B144" s="58"/>
      <c r="C144" s="58"/>
      <c r="D144" s="58"/>
      <c r="E144" s="58"/>
      <c r="F144" s="58"/>
      <c r="G144" s="58"/>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c r="AE144" s="58"/>
      <c r="AF144" s="58"/>
      <c r="AG144" s="58"/>
      <c r="AH144" s="58"/>
      <c r="AI144" s="58"/>
      <c r="AJ144" s="58"/>
      <c r="AK144" s="58"/>
      <c r="AL144" s="58"/>
      <c r="AM144" s="58"/>
      <c r="AN144" s="58"/>
      <c r="AO144" s="58"/>
      <c r="AP144" s="58"/>
      <c r="AQ144" s="58"/>
      <c r="AR144" s="58"/>
      <c r="AS144" s="58"/>
      <c r="AT144" s="58"/>
      <c r="AU144" s="58"/>
      <c r="AV144" s="58"/>
      <c r="AW144" s="58"/>
      <c r="AX144" s="58"/>
      <c r="AY144" s="58"/>
      <c r="AZ144" s="58"/>
    </row>
    <row r="145" spans="1:52" x14ac:dyDescent="0.25">
      <c r="A145" s="58"/>
      <c r="B145" s="58"/>
      <c r="C145" s="58"/>
      <c r="D145" s="58"/>
      <c r="E145" s="58"/>
      <c r="F145" s="58"/>
      <c r="G145" s="58"/>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c r="AE145" s="58"/>
      <c r="AF145" s="58"/>
      <c r="AG145" s="58"/>
      <c r="AH145" s="58"/>
      <c r="AI145" s="58"/>
      <c r="AJ145" s="58"/>
      <c r="AK145" s="58"/>
      <c r="AL145" s="58"/>
      <c r="AM145" s="58"/>
      <c r="AN145" s="58"/>
      <c r="AO145" s="58"/>
      <c r="AP145" s="58"/>
      <c r="AQ145" s="58"/>
      <c r="AR145" s="58"/>
      <c r="AS145" s="58"/>
      <c r="AT145" s="58"/>
      <c r="AU145" s="58"/>
      <c r="AV145" s="58"/>
      <c r="AW145" s="58"/>
      <c r="AX145" s="58"/>
      <c r="AY145" s="58"/>
      <c r="AZ145" s="58"/>
    </row>
    <row r="146" spans="1:52" x14ac:dyDescent="0.25">
      <c r="A146" s="58"/>
      <c r="B146" s="58"/>
      <c r="C146" s="58"/>
      <c r="D146" s="58"/>
      <c r="E146" s="58"/>
      <c r="F146" s="58"/>
      <c r="G146" s="58"/>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c r="AE146" s="58"/>
      <c r="AF146" s="58"/>
      <c r="AG146" s="58"/>
      <c r="AH146" s="58"/>
      <c r="AI146" s="58"/>
      <c r="AJ146" s="58"/>
      <c r="AK146" s="58"/>
      <c r="AL146" s="58"/>
      <c r="AM146" s="58"/>
      <c r="AN146" s="58"/>
      <c r="AO146" s="58"/>
      <c r="AP146" s="58"/>
      <c r="AQ146" s="58"/>
      <c r="AR146" s="58"/>
      <c r="AS146" s="58"/>
      <c r="AT146" s="58"/>
      <c r="AU146" s="58"/>
      <c r="AV146" s="58"/>
      <c r="AW146" s="58"/>
      <c r="AX146" s="58"/>
      <c r="AY146" s="58"/>
      <c r="AZ146" s="58"/>
    </row>
    <row r="147" spans="1:52" x14ac:dyDescent="0.25">
      <c r="A147" s="58"/>
      <c r="B147" s="58"/>
      <c r="C147" s="58"/>
      <c r="D147" s="58"/>
      <c r="E147" s="58"/>
      <c r="F147" s="58"/>
      <c r="G147" s="58"/>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c r="AE147" s="58"/>
      <c r="AF147" s="58"/>
      <c r="AG147" s="58"/>
      <c r="AH147" s="58"/>
      <c r="AI147" s="58"/>
      <c r="AJ147" s="58"/>
      <c r="AK147" s="58"/>
      <c r="AL147" s="58"/>
      <c r="AM147" s="58"/>
      <c r="AN147" s="58"/>
      <c r="AO147" s="58"/>
      <c r="AP147" s="58"/>
      <c r="AQ147" s="58"/>
      <c r="AR147" s="58"/>
      <c r="AS147" s="58"/>
      <c r="AT147" s="58"/>
      <c r="AU147" s="58"/>
      <c r="AV147" s="58"/>
      <c r="AW147" s="58"/>
      <c r="AX147" s="58"/>
      <c r="AY147" s="58"/>
      <c r="AZ147" s="58"/>
    </row>
    <row r="148" spans="1:52" x14ac:dyDescent="0.25">
      <c r="A148" s="58"/>
      <c r="B148" s="58"/>
      <c r="C148" s="58"/>
      <c r="D148" s="58"/>
      <c r="E148" s="58"/>
      <c r="F148" s="58"/>
      <c r="G148" s="58"/>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c r="AE148" s="58"/>
      <c r="AF148" s="58"/>
      <c r="AG148" s="58"/>
      <c r="AH148" s="58"/>
      <c r="AI148" s="58"/>
      <c r="AJ148" s="58"/>
      <c r="AK148" s="58"/>
      <c r="AL148" s="58"/>
      <c r="AM148" s="58"/>
      <c r="AN148" s="58"/>
      <c r="AO148" s="58"/>
      <c r="AP148" s="58"/>
      <c r="AQ148" s="58"/>
      <c r="AR148" s="58"/>
      <c r="AS148" s="58"/>
      <c r="AT148" s="58"/>
      <c r="AU148" s="58"/>
      <c r="AV148" s="58"/>
      <c r="AW148" s="58"/>
      <c r="AX148" s="58"/>
      <c r="AY148" s="58"/>
      <c r="AZ148" s="58"/>
    </row>
    <row r="149" spans="1:52" x14ac:dyDescent="0.25">
      <c r="A149" s="58"/>
      <c r="B149" s="58"/>
      <c r="C149" s="58"/>
      <c r="D149" s="58"/>
      <c r="E149" s="58"/>
      <c r="F149" s="58"/>
      <c r="G149" s="58"/>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c r="AE149" s="58"/>
      <c r="AF149" s="58"/>
      <c r="AG149" s="58"/>
      <c r="AH149" s="58"/>
      <c r="AI149" s="58"/>
      <c r="AJ149" s="58"/>
      <c r="AK149" s="58"/>
      <c r="AL149" s="58"/>
      <c r="AM149" s="58"/>
      <c r="AN149" s="58"/>
      <c r="AO149" s="58"/>
      <c r="AP149" s="58"/>
      <c r="AQ149" s="58"/>
      <c r="AR149" s="58"/>
      <c r="AS149" s="58"/>
      <c r="AT149" s="58"/>
      <c r="AU149" s="58"/>
      <c r="AV149" s="58"/>
      <c r="AW149" s="58"/>
      <c r="AX149" s="58"/>
      <c r="AY149" s="58"/>
      <c r="AZ149" s="58"/>
    </row>
    <row r="150" spans="1:52" x14ac:dyDescent="0.25">
      <c r="A150" s="58"/>
      <c r="B150" s="58"/>
      <c r="C150" s="58"/>
      <c r="D150" s="58"/>
      <c r="E150" s="58"/>
      <c r="F150" s="58"/>
      <c r="G150" s="58"/>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c r="AE150" s="58"/>
      <c r="AF150" s="58"/>
      <c r="AG150" s="58"/>
      <c r="AH150" s="58"/>
      <c r="AI150" s="58"/>
      <c r="AJ150" s="58"/>
      <c r="AK150" s="58"/>
      <c r="AL150" s="58"/>
      <c r="AM150" s="58"/>
      <c r="AN150" s="58"/>
      <c r="AO150" s="58"/>
      <c r="AP150" s="58"/>
      <c r="AQ150" s="58"/>
      <c r="AR150" s="58"/>
      <c r="AS150" s="58"/>
      <c r="AT150" s="58"/>
      <c r="AU150" s="58"/>
      <c r="AV150" s="58"/>
      <c r="AW150" s="58"/>
      <c r="AX150" s="58"/>
      <c r="AY150" s="58"/>
      <c r="AZ150" s="58"/>
    </row>
    <row r="151" spans="1:52" x14ac:dyDescent="0.25">
      <c r="A151" s="58"/>
      <c r="B151" s="58"/>
      <c r="C151" s="58"/>
      <c r="D151" s="58"/>
      <c r="E151" s="58"/>
      <c r="F151" s="58"/>
      <c r="G151" s="58"/>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c r="AE151" s="58"/>
      <c r="AF151" s="58"/>
      <c r="AG151" s="58"/>
      <c r="AH151" s="58"/>
      <c r="AI151" s="58"/>
      <c r="AJ151" s="58"/>
      <c r="AK151" s="58"/>
      <c r="AL151" s="58"/>
      <c r="AM151" s="58"/>
      <c r="AN151" s="58"/>
      <c r="AO151" s="58"/>
      <c r="AP151" s="58"/>
      <c r="AQ151" s="58"/>
      <c r="AR151" s="58"/>
      <c r="AS151" s="58"/>
      <c r="AT151" s="58"/>
      <c r="AU151" s="58"/>
      <c r="AV151" s="58"/>
      <c r="AW151" s="58"/>
      <c r="AX151" s="58"/>
      <c r="AY151" s="58"/>
      <c r="AZ151" s="58"/>
    </row>
    <row r="152" spans="1:52" x14ac:dyDescent="0.25">
      <c r="A152" s="58"/>
      <c r="B152" s="58"/>
      <c r="C152" s="58"/>
      <c r="D152" s="58"/>
      <c r="E152" s="58"/>
      <c r="F152" s="58"/>
      <c r="G152" s="58"/>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c r="AE152" s="58"/>
      <c r="AF152" s="58"/>
      <c r="AG152" s="58"/>
      <c r="AH152" s="58"/>
      <c r="AI152" s="58"/>
      <c r="AJ152" s="58"/>
      <c r="AK152" s="58"/>
      <c r="AL152" s="58"/>
      <c r="AM152" s="58"/>
      <c r="AN152" s="58"/>
      <c r="AO152" s="58"/>
      <c r="AP152" s="58"/>
      <c r="AQ152" s="58"/>
      <c r="AR152" s="58"/>
      <c r="AS152" s="58"/>
      <c r="AT152" s="58"/>
      <c r="AU152" s="58"/>
      <c r="AV152" s="58"/>
      <c r="AW152" s="58"/>
      <c r="AX152" s="58"/>
      <c r="AY152" s="58"/>
      <c r="AZ152" s="58"/>
    </row>
    <row r="153" spans="1:52" x14ac:dyDescent="0.25">
      <c r="A153" s="58"/>
      <c r="B153" s="58"/>
      <c r="C153" s="58"/>
      <c r="D153" s="58"/>
      <c r="E153" s="58"/>
      <c r="F153" s="58"/>
      <c r="G153" s="58"/>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c r="AE153" s="58"/>
      <c r="AF153" s="58"/>
      <c r="AG153" s="58"/>
      <c r="AH153" s="58"/>
      <c r="AI153" s="58"/>
      <c r="AJ153" s="58"/>
      <c r="AK153" s="58"/>
      <c r="AL153" s="58"/>
      <c r="AM153" s="58"/>
      <c r="AN153" s="58"/>
      <c r="AO153" s="58"/>
      <c r="AP153" s="58"/>
      <c r="AQ153" s="58"/>
      <c r="AR153" s="58"/>
      <c r="AS153" s="58"/>
      <c r="AT153" s="58"/>
      <c r="AU153" s="58"/>
      <c r="AV153" s="58"/>
      <c r="AW153" s="58"/>
      <c r="AX153" s="58"/>
      <c r="AY153" s="58"/>
      <c r="AZ153" s="58"/>
    </row>
    <row r="154" spans="1:52" x14ac:dyDescent="0.25">
      <c r="A154" s="58"/>
      <c r="B154" s="58"/>
      <c r="C154" s="58"/>
      <c r="D154" s="58"/>
      <c r="E154" s="58"/>
      <c r="F154" s="58"/>
      <c r="G154" s="58"/>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c r="AE154" s="58"/>
      <c r="AF154" s="58"/>
      <c r="AG154" s="58"/>
      <c r="AH154" s="58"/>
      <c r="AI154" s="58"/>
      <c r="AJ154" s="58"/>
      <c r="AK154" s="58"/>
      <c r="AL154" s="58"/>
      <c r="AM154" s="58"/>
      <c r="AN154" s="58"/>
      <c r="AO154" s="58"/>
      <c r="AP154" s="58"/>
      <c r="AQ154" s="58"/>
      <c r="AR154" s="58"/>
      <c r="AS154" s="58"/>
      <c r="AT154" s="58"/>
      <c r="AU154" s="58"/>
      <c r="AV154" s="58"/>
      <c r="AW154" s="58"/>
      <c r="AX154" s="58"/>
      <c r="AY154" s="58"/>
      <c r="AZ154" s="58"/>
    </row>
    <row r="155" spans="1:52" x14ac:dyDescent="0.25">
      <c r="A155" s="58"/>
      <c r="B155" s="58"/>
      <c r="C155" s="58"/>
      <c r="D155" s="58"/>
      <c r="E155" s="58"/>
      <c r="F155" s="58"/>
      <c r="G155" s="58"/>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c r="AE155" s="58"/>
      <c r="AF155" s="58"/>
      <c r="AG155" s="58"/>
      <c r="AH155" s="58"/>
      <c r="AI155" s="58"/>
      <c r="AJ155" s="58"/>
      <c r="AK155" s="58"/>
      <c r="AL155" s="58"/>
      <c r="AM155" s="58"/>
      <c r="AN155" s="58"/>
      <c r="AO155" s="58"/>
      <c r="AP155" s="58"/>
      <c r="AQ155" s="58"/>
      <c r="AR155" s="58"/>
      <c r="AS155" s="58"/>
      <c r="AT155" s="58"/>
      <c r="AU155" s="58"/>
      <c r="AV155" s="58"/>
      <c r="AW155" s="58"/>
      <c r="AX155" s="58"/>
      <c r="AY155" s="58"/>
      <c r="AZ155" s="58"/>
    </row>
    <row r="156" spans="1:52" x14ac:dyDescent="0.25">
      <c r="A156" s="58"/>
      <c r="B156" s="58"/>
      <c r="C156" s="58"/>
      <c r="D156" s="58"/>
      <c r="E156" s="58"/>
      <c r="F156" s="58"/>
      <c r="G156" s="58"/>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c r="AE156" s="58"/>
      <c r="AF156" s="58"/>
      <c r="AG156" s="58"/>
      <c r="AH156" s="58"/>
      <c r="AI156" s="58"/>
      <c r="AJ156" s="58"/>
      <c r="AK156" s="58"/>
      <c r="AL156" s="58"/>
      <c r="AM156" s="58"/>
      <c r="AN156" s="58"/>
      <c r="AO156" s="58"/>
      <c r="AP156" s="58"/>
      <c r="AQ156" s="58"/>
      <c r="AR156" s="58"/>
      <c r="AS156" s="58"/>
      <c r="AT156" s="58"/>
      <c r="AU156" s="58"/>
      <c r="AV156" s="58"/>
      <c r="AW156" s="58"/>
      <c r="AX156" s="58"/>
      <c r="AY156" s="58"/>
      <c r="AZ156" s="58"/>
    </row>
    <row r="157" spans="1:52" x14ac:dyDescent="0.25">
      <c r="A157" s="58"/>
      <c r="B157" s="58"/>
      <c r="C157" s="58"/>
      <c r="D157" s="58"/>
      <c r="E157" s="58"/>
      <c r="F157" s="58"/>
      <c r="G157" s="58"/>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c r="AE157" s="58"/>
      <c r="AF157" s="58"/>
      <c r="AG157" s="58"/>
      <c r="AH157" s="58"/>
      <c r="AI157" s="58"/>
      <c r="AJ157" s="58"/>
      <c r="AK157" s="58"/>
      <c r="AL157" s="58"/>
      <c r="AM157" s="58"/>
      <c r="AN157" s="58"/>
      <c r="AO157" s="58"/>
      <c r="AP157" s="58"/>
      <c r="AQ157" s="58"/>
      <c r="AR157" s="58"/>
      <c r="AS157" s="58"/>
      <c r="AT157" s="58"/>
      <c r="AU157" s="58"/>
      <c r="AV157" s="58"/>
      <c r="AW157" s="58"/>
      <c r="AX157" s="58"/>
      <c r="AY157" s="58"/>
      <c r="AZ157" s="58"/>
    </row>
    <row r="158" spans="1:52" x14ac:dyDescent="0.25">
      <c r="A158" s="58"/>
      <c r="B158" s="58"/>
      <c r="C158" s="58"/>
      <c r="D158" s="58"/>
      <c r="E158" s="58"/>
      <c r="F158" s="58"/>
      <c r="G158" s="58"/>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c r="AE158" s="58"/>
      <c r="AF158" s="58"/>
      <c r="AG158" s="58"/>
      <c r="AH158" s="58"/>
      <c r="AI158" s="58"/>
      <c r="AJ158" s="58"/>
      <c r="AK158" s="58"/>
      <c r="AL158" s="58"/>
      <c r="AM158" s="58"/>
      <c r="AN158" s="58"/>
      <c r="AO158" s="58"/>
      <c r="AP158" s="58"/>
      <c r="AQ158" s="58"/>
      <c r="AR158" s="58"/>
      <c r="AS158" s="58"/>
      <c r="AT158" s="58"/>
      <c r="AU158" s="58"/>
      <c r="AV158" s="58"/>
      <c r="AW158" s="58"/>
      <c r="AX158" s="58"/>
      <c r="AY158" s="58"/>
      <c r="AZ158" s="58"/>
    </row>
    <row r="159" spans="1:52" x14ac:dyDescent="0.25">
      <c r="A159" s="58"/>
      <c r="B159" s="58"/>
      <c r="C159" s="58"/>
      <c r="D159" s="58"/>
      <c r="E159" s="58"/>
      <c r="F159" s="58"/>
      <c r="G159" s="58"/>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c r="AE159" s="58"/>
      <c r="AF159" s="58"/>
      <c r="AG159" s="58"/>
      <c r="AH159" s="58"/>
      <c r="AI159" s="58"/>
      <c r="AJ159" s="58"/>
      <c r="AK159" s="58"/>
      <c r="AL159" s="58"/>
      <c r="AM159" s="58"/>
      <c r="AN159" s="58"/>
      <c r="AO159" s="58"/>
      <c r="AP159" s="58"/>
      <c r="AQ159" s="58"/>
      <c r="AR159" s="58"/>
      <c r="AS159" s="58"/>
      <c r="AT159" s="58"/>
      <c r="AU159" s="58"/>
      <c r="AV159" s="58"/>
      <c r="AW159" s="58"/>
      <c r="AX159" s="58"/>
      <c r="AY159" s="58"/>
      <c r="AZ159" s="58"/>
    </row>
    <row r="160" spans="1:52" x14ac:dyDescent="0.25">
      <c r="A160" s="58"/>
      <c r="B160" s="58"/>
      <c r="C160" s="58"/>
      <c r="D160" s="58"/>
      <c r="E160" s="58"/>
      <c r="F160" s="58"/>
      <c r="G160" s="58"/>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c r="AE160" s="58"/>
      <c r="AF160" s="58"/>
      <c r="AG160" s="58"/>
      <c r="AH160" s="58"/>
      <c r="AI160" s="58"/>
      <c r="AJ160" s="58"/>
      <c r="AK160" s="58"/>
      <c r="AL160" s="58"/>
      <c r="AM160" s="58"/>
      <c r="AN160" s="58"/>
      <c r="AO160" s="58"/>
      <c r="AP160" s="58"/>
      <c r="AQ160" s="58"/>
      <c r="AR160" s="58"/>
      <c r="AS160" s="58"/>
      <c r="AT160" s="58"/>
      <c r="AU160" s="58"/>
      <c r="AV160" s="58"/>
      <c r="AW160" s="58"/>
      <c r="AX160" s="58"/>
      <c r="AY160" s="58"/>
      <c r="AZ160" s="58"/>
    </row>
    <row r="161" spans="1:52" x14ac:dyDescent="0.25">
      <c r="A161" s="58"/>
      <c r="B161" s="58"/>
      <c r="C161" s="58"/>
      <c r="D161" s="58"/>
      <c r="E161" s="58"/>
      <c r="F161" s="58"/>
      <c r="G161" s="58"/>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c r="AE161" s="58"/>
      <c r="AF161" s="58"/>
      <c r="AG161" s="58"/>
      <c r="AH161" s="58"/>
      <c r="AI161" s="58"/>
      <c r="AJ161" s="58"/>
      <c r="AK161" s="58"/>
      <c r="AL161" s="58"/>
      <c r="AM161" s="58"/>
      <c r="AN161" s="58"/>
      <c r="AO161" s="58"/>
      <c r="AP161" s="58"/>
      <c r="AQ161" s="58"/>
      <c r="AR161" s="58"/>
      <c r="AS161" s="58"/>
      <c r="AT161" s="58"/>
      <c r="AU161" s="58"/>
      <c r="AV161" s="58"/>
      <c r="AW161" s="58"/>
      <c r="AX161" s="58"/>
      <c r="AY161" s="58"/>
      <c r="AZ161" s="58"/>
    </row>
    <row r="162" spans="1:52" x14ac:dyDescent="0.25">
      <c r="A162" s="58"/>
      <c r="B162" s="58"/>
      <c r="C162" s="58"/>
      <c r="D162" s="58"/>
      <c r="E162" s="58"/>
      <c r="F162" s="58"/>
      <c r="G162" s="58"/>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c r="AE162" s="58"/>
      <c r="AF162" s="58"/>
      <c r="AG162" s="58"/>
      <c r="AH162" s="58"/>
      <c r="AI162" s="58"/>
      <c r="AJ162" s="58"/>
      <c r="AK162" s="58"/>
      <c r="AL162" s="58"/>
      <c r="AM162" s="58"/>
      <c r="AN162" s="58"/>
      <c r="AO162" s="58"/>
      <c r="AP162" s="58"/>
      <c r="AQ162" s="58"/>
      <c r="AR162" s="58"/>
      <c r="AS162" s="58"/>
      <c r="AT162" s="58"/>
      <c r="AU162" s="58"/>
      <c r="AV162" s="58"/>
      <c r="AW162" s="58"/>
      <c r="AX162" s="58"/>
      <c r="AY162" s="58"/>
      <c r="AZ162" s="58"/>
    </row>
    <row r="163" spans="1:52" x14ac:dyDescent="0.25">
      <c r="A163" s="58"/>
      <c r="B163" s="58"/>
      <c r="C163" s="58"/>
      <c r="D163" s="58"/>
      <c r="E163" s="58"/>
      <c r="F163" s="58"/>
      <c r="G163" s="58"/>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c r="AE163" s="58"/>
      <c r="AF163" s="58"/>
      <c r="AG163" s="58"/>
      <c r="AH163" s="58"/>
      <c r="AI163" s="58"/>
      <c r="AJ163" s="58"/>
      <c r="AK163" s="58"/>
      <c r="AL163" s="58"/>
      <c r="AM163" s="58"/>
      <c r="AN163" s="58"/>
      <c r="AO163" s="58"/>
      <c r="AP163" s="58"/>
      <c r="AQ163" s="58"/>
      <c r="AR163" s="58"/>
      <c r="AS163" s="58"/>
      <c r="AT163" s="58"/>
      <c r="AU163" s="58"/>
      <c r="AV163" s="58"/>
      <c r="AW163" s="58"/>
      <c r="AX163" s="58"/>
      <c r="AY163" s="58"/>
      <c r="AZ163" s="58"/>
    </row>
    <row r="164" spans="1:52" x14ac:dyDescent="0.25">
      <c r="A164" s="58"/>
      <c r="B164" s="58"/>
      <c r="C164" s="58"/>
      <c r="D164" s="58"/>
      <c r="E164" s="58"/>
      <c r="F164" s="58"/>
      <c r="G164" s="58"/>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c r="AE164" s="58"/>
      <c r="AF164" s="58"/>
      <c r="AG164" s="58"/>
      <c r="AH164" s="58"/>
      <c r="AI164" s="58"/>
      <c r="AJ164" s="58"/>
      <c r="AK164" s="58"/>
      <c r="AL164" s="58"/>
      <c r="AM164" s="58"/>
      <c r="AN164" s="58"/>
      <c r="AO164" s="58"/>
      <c r="AP164" s="58"/>
      <c r="AQ164" s="58"/>
      <c r="AR164" s="58"/>
      <c r="AS164" s="58"/>
      <c r="AT164" s="58"/>
      <c r="AU164" s="58"/>
      <c r="AV164" s="58"/>
      <c r="AW164" s="58"/>
      <c r="AX164" s="58"/>
      <c r="AY164" s="58"/>
      <c r="AZ164" s="58"/>
    </row>
    <row r="165" spans="1:52" x14ac:dyDescent="0.25">
      <c r="A165" s="58"/>
      <c r="B165" s="58"/>
      <c r="C165" s="58"/>
      <c r="D165" s="58"/>
      <c r="E165" s="58"/>
      <c r="F165" s="58"/>
      <c r="G165" s="58"/>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c r="AE165" s="58"/>
      <c r="AF165" s="58"/>
      <c r="AG165" s="58"/>
      <c r="AH165" s="58"/>
      <c r="AI165" s="58"/>
      <c r="AJ165" s="58"/>
      <c r="AK165" s="58"/>
      <c r="AL165" s="58"/>
      <c r="AM165" s="58"/>
      <c r="AN165" s="58"/>
      <c r="AO165" s="58"/>
      <c r="AP165" s="58"/>
      <c r="AQ165" s="58"/>
      <c r="AR165" s="58"/>
      <c r="AS165" s="58"/>
      <c r="AT165" s="58"/>
      <c r="AU165" s="58"/>
      <c r="AV165" s="58"/>
      <c r="AW165" s="58"/>
      <c r="AX165" s="58"/>
      <c r="AY165" s="58"/>
      <c r="AZ165" s="58"/>
    </row>
    <row r="166" spans="1:52" x14ac:dyDescent="0.25">
      <c r="A166" s="58"/>
      <c r="B166" s="58"/>
      <c r="C166" s="58"/>
      <c r="D166" s="58"/>
      <c r="E166" s="58"/>
      <c r="F166" s="58"/>
      <c r="G166" s="58"/>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c r="AE166" s="58"/>
      <c r="AF166" s="58"/>
      <c r="AG166" s="58"/>
      <c r="AH166" s="58"/>
      <c r="AI166" s="58"/>
      <c r="AJ166" s="58"/>
      <c r="AK166" s="58"/>
      <c r="AL166" s="58"/>
      <c r="AM166" s="58"/>
      <c r="AN166" s="58"/>
      <c r="AO166" s="58"/>
      <c r="AP166" s="58"/>
      <c r="AQ166" s="58"/>
      <c r="AR166" s="58"/>
      <c r="AS166" s="58"/>
      <c r="AT166" s="58"/>
      <c r="AU166" s="58"/>
      <c r="AV166" s="58"/>
      <c r="AW166" s="58"/>
      <c r="AX166" s="58"/>
      <c r="AY166" s="58"/>
      <c r="AZ166" s="58"/>
    </row>
    <row r="167" spans="1:52" x14ac:dyDescent="0.25">
      <c r="A167" s="58"/>
      <c r="B167" s="58"/>
      <c r="C167" s="58"/>
      <c r="D167" s="58"/>
      <c r="E167" s="58"/>
      <c r="F167" s="58"/>
      <c r="G167" s="58"/>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c r="AE167" s="58"/>
      <c r="AF167" s="58"/>
      <c r="AG167" s="58"/>
      <c r="AH167" s="58"/>
      <c r="AI167" s="58"/>
      <c r="AJ167" s="58"/>
      <c r="AK167" s="58"/>
      <c r="AL167" s="58"/>
      <c r="AM167" s="58"/>
      <c r="AN167" s="58"/>
      <c r="AO167" s="58"/>
      <c r="AP167" s="58"/>
      <c r="AQ167" s="58"/>
      <c r="AR167" s="58"/>
      <c r="AS167" s="58"/>
      <c r="AT167" s="58"/>
      <c r="AU167" s="58"/>
      <c r="AV167" s="58"/>
      <c r="AW167" s="58"/>
      <c r="AX167" s="58"/>
      <c r="AY167" s="58"/>
      <c r="AZ167" s="58"/>
    </row>
    <row r="168" spans="1:52" x14ac:dyDescent="0.25">
      <c r="A168" s="58"/>
      <c r="B168" s="58"/>
      <c r="C168" s="58"/>
      <c r="D168" s="58"/>
      <c r="E168" s="58"/>
      <c r="F168" s="58"/>
      <c r="G168" s="58"/>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c r="AE168" s="58"/>
      <c r="AF168" s="58"/>
      <c r="AG168" s="58"/>
      <c r="AH168" s="58"/>
      <c r="AI168" s="58"/>
      <c r="AJ168" s="58"/>
      <c r="AK168" s="58"/>
      <c r="AL168" s="58"/>
      <c r="AM168" s="58"/>
      <c r="AN168" s="58"/>
      <c r="AO168" s="58"/>
      <c r="AP168" s="58"/>
      <c r="AQ168" s="58"/>
      <c r="AR168" s="58"/>
      <c r="AS168" s="58"/>
      <c r="AT168" s="58"/>
      <c r="AU168" s="58"/>
      <c r="AV168" s="58"/>
      <c r="AW168" s="58"/>
      <c r="AX168" s="58"/>
      <c r="AY168" s="58"/>
      <c r="AZ168" s="58"/>
    </row>
    <row r="169" spans="1:52" x14ac:dyDescent="0.25">
      <c r="A169" s="58"/>
      <c r="B169" s="58"/>
      <c r="C169" s="58"/>
      <c r="D169" s="58"/>
      <c r="E169" s="58"/>
      <c r="F169" s="58"/>
      <c r="G169" s="58"/>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c r="AE169" s="58"/>
      <c r="AF169" s="58"/>
      <c r="AG169" s="58"/>
      <c r="AH169" s="58"/>
      <c r="AI169" s="58"/>
      <c r="AJ169" s="58"/>
      <c r="AK169" s="58"/>
      <c r="AL169" s="58"/>
      <c r="AM169" s="58"/>
      <c r="AN169" s="58"/>
      <c r="AO169" s="58"/>
      <c r="AP169" s="58"/>
      <c r="AQ169" s="58"/>
      <c r="AR169" s="58"/>
      <c r="AS169" s="58"/>
      <c r="AT169" s="58"/>
      <c r="AU169" s="58"/>
      <c r="AV169" s="58"/>
      <c r="AW169" s="58"/>
      <c r="AX169" s="58"/>
      <c r="AY169" s="58"/>
      <c r="AZ169" s="58"/>
    </row>
    <row r="170" spans="1:52" x14ac:dyDescent="0.25">
      <c r="A170" s="58"/>
      <c r="B170" s="58"/>
      <c r="C170" s="58"/>
      <c r="D170" s="58"/>
      <c r="E170" s="58"/>
      <c r="F170" s="58"/>
      <c r="G170" s="58"/>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c r="AE170" s="58"/>
      <c r="AF170" s="58"/>
      <c r="AG170" s="58"/>
      <c r="AH170" s="58"/>
      <c r="AI170" s="58"/>
      <c r="AJ170" s="58"/>
      <c r="AK170" s="58"/>
      <c r="AL170" s="58"/>
      <c r="AM170" s="58"/>
      <c r="AN170" s="58"/>
      <c r="AO170" s="58"/>
      <c r="AP170" s="58"/>
      <c r="AQ170" s="58"/>
      <c r="AR170" s="58"/>
      <c r="AS170" s="58"/>
      <c r="AT170" s="58"/>
      <c r="AU170" s="58"/>
      <c r="AV170" s="58"/>
      <c r="AW170" s="58"/>
      <c r="AX170" s="58"/>
      <c r="AY170" s="58"/>
      <c r="AZ170" s="58"/>
    </row>
    <row r="171" spans="1:52" x14ac:dyDescent="0.25">
      <c r="A171" s="58"/>
      <c r="B171" s="58"/>
      <c r="C171" s="58"/>
      <c r="D171" s="58"/>
      <c r="E171" s="58"/>
      <c r="F171" s="58"/>
      <c r="G171" s="58"/>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c r="AE171" s="58"/>
      <c r="AF171" s="58"/>
      <c r="AG171" s="58"/>
      <c r="AH171" s="58"/>
      <c r="AI171" s="58"/>
      <c r="AJ171" s="58"/>
      <c r="AK171" s="58"/>
      <c r="AL171" s="58"/>
      <c r="AM171" s="58"/>
      <c r="AN171" s="58"/>
      <c r="AO171" s="58"/>
      <c r="AP171" s="58"/>
      <c r="AQ171" s="58"/>
      <c r="AR171" s="58"/>
      <c r="AS171" s="58"/>
      <c r="AT171" s="58"/>
      <c r="AU171" s="58"/>
      <c r="AV171" s="58"/>
      <c r="AW171" s="58"/>
      <c r="AX171" s="58"/>
      <c r="AY171" s="58"/>
      <c r="AZ171" s="58"/>
    </row>
    <row r="172" spans="1:52" x14ac:dyDescent="0.25">
      <c r="A172" s="58"/>
      <c r="B172" s="58"/>
      <c r="C172" s="58"/>
      <c r="D172" s="58"/>
      <c r="E172" s="58"/>
      <c r="F172" s="58"/>
      <c r="G172" s="58"/>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c r="AE172" s="58"/>
      <c r="AF172" s="58"/>
      <c r="AG172" s="58"/>
      <c r="AH172" s="58"/>
      <c r="AI172" s="58"/>
      <c r="AJ172" s="58"/>
      <c r="AK172" s="58"/>
      <c r="AL172" s="58"/>
      <c r="AM172" s="58"/>
      <c r="AN172" s="58"/>
      <c r="AO172" s="58"/>
      <c r="AP172" s="58"/>
      <c r="AQ172" s="58"/>
      <c r="AR172" s="58"/>
      <c r="AS172" s="58"/>
      <c r="AT172" s="58"/>
      <c r="AU172" s="58"/>
      <c r="AV172" s="58"/>
      <c r="AW172" s="58"/>
      <c r="AX172" s="58"/>
      <c r="AY172" s="58"/>
      <c r="AZ172" s="58"/>
    </row>
    <row r="173" spans="1:52" x14ac:dyDescent="0.25">
      <c r="A173" s="58"/>
      <c r="B173" s="58"/>
      <c r="C173" s="58"/>
      <c r="D173" s="58"/>
      <c r="E173" s="58"/>
      <c r="F173" s="58"/>
      <c r="G173" s="58"/>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c r="AE173" s="58"/>
      <c r="AF173" s="58"/>
      <c r="AG173" s="58"/>
      <c r="AH173" s="58"/>
      <c r="AI173" s="58"/>
      <c r="AJ173" s="58"/>
      <c r="AK173" s="58"/>
      <c r="AL173" s="58"/>
      <c r="AM173" s="58"/>
      <c r="AN173" s="58"/>
      <c r="AO173" s="58"/>
      <c r="AP173" s="58"/>
      <c r="AQ173" s="58"/>
      <c r="AR173" s="58"/>
      <c r="AS173" s="58"/>
      <c r="AT173" s="58"/>
      <c r="AU173" s="58"/>
      <c r="AV173" s="58"/>
      <c r="AW173" s="58"/>
      <c r="AX173" s="58"/>
      <c r="AY173" s="58"/>
      <c r="AZ173" s="58"/>
    </row>
    <row r="174" spans="1:52" x14ac:dyDescent="0.25">
      <c r="A174" s="58"/>
      <c r="B174" s="58"/>
      <c r="C174" s="58"/>
      <c r="D174" s="58"/>
      <c r="E174" s="58"/>
      <c r="F174" s="58"/>
      <c r="G174" s="58"/>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c r="AE174" s="58"/>
      <c r="AF174" s="58"/>
      <c r="AG174" s="58"/>
      <c r="AH174" s="58"/>
      <c r="AI174" s="58"/>
      <c r="AJ174" s="58"/>
      <c r="AK174" s="58"/>
      <c r="AL174" s="58"/>
      <c r="AM174" s="58"/>
      <c r="AN174" s="58"/>
      <c r="AO174" s="58"/>
      <c r="AP174" s="58"/>
      <c r="AQ174" s="58"/>
      <c r="AR174" s="58"/>
      <c r="AS174" s="58"/>
      <c r="AT174" s="58"/>
      <c r="AU174" s="58"/>
      <c r="AV174" s="58"/>
      <c r="AW174" s="58"/>
      <c r="AX174" s="58"/>
      <c r="AY174" s="58"/>
      <c r="AZ174" s="58"/>
    </row>
    <row r="175" spans="1:52" x14ac:dyDescent="0.25">
      <c r="A175" s="58"/>
      <c r="B175" s="58"/>
      <c r="C175" s="58"/>
      <c r="D175" s="58"/>
      <c r="E175" s="58"/>
      <c r="F175" s="58"/>
      <c r="G175" s="58"/>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c r="AE175" s="58"/>
      <c r="AF175" s="58"/>
      <c r="AG175" s="58"/>
      <c r="AH175" s="58"/>
      <c r="AI175" s="58"/>
      <c r="AJ175" s="58"/>
      <c r="AK175" s="58"/>
      <c r="AL175" s="58"/>
      <c r="AM175" s="58"/>
      <c r="AN175" s="58"/>
      <c r="AO175" s="58"/>
      <c r="AP175" s="58"/>
      <c r="AQ175" s="58"/>
      <c r="AR175" s="58"/>
      <c r="AS175" s="58"/>
      <c r="AT175" s="58"/>
      <c r="AU175" s="58"/>
      <c r="AV175" s="58"/>
      <c r="AW175" s="58"/>
      <c r="AX175" s="58"/>
      <c r="AY175" s="58"/>
      <c r="AZ175" s="58"/>
    </row>
    <row r="176" spans="1:52" x14ac:dyDescent="0.25">
      <c r="A176" s="58"/>
      <c r="B176" s="58"/>
      <c r="C176" s="58"/>
      <c r="D176" s="58"/>
      <c r="E176" s="58"/>
      <c r="F176" s="58"/>
      <c r="G176" s="58"/>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c r="AE176" s="58"/>
      <c r="AF176" s="58"/>
      <c r="AG176" s="58"/>
      <c r="AH176" s="58"/>
      <c r="AI176" s="58"/>
      <c r="AJ176" s="58"/>
      <c r="AK176" s="58"/>
      <c r="AL176" s="58"/>
      <c r="AM176" s="58"/>
      <c r="AN176" s="58"/>
      <c r="AO176" s="58"/>
      <c r="AP176" s="58"/>
      <c r="AQ176" s="58"/>
      <c r="AR176" s="58"/>
      <c r="AS176" s="58"/>
      <c r="AT176" s="58"/>
      <c r="AU176" s="58"/>
      <c r="AV176" s="58"/>
      <c r="AW176" s="58"/>
      <c r="AX176" s="58"/>
      <c r="AY176" s="58"/>
      <c r="AZ176" s="58"/>
    </row>
    <row r="177" spans="1:52" x14ac:dyDescent="0.25">
      <c r="A177" s="58"/>
      <c r="B177" s="58"/>
      <c r="C177" s="58"/>
      <c r="D177" s="58"/>
      <c r="E177" s="58"/>
      <c r="F177" s="58"/>
      <c r="G177" s="58"/>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c r="AE177" s="58"/>
      <c r="AF177" s="58"/>
      <c r="AG177" s="58"/>
      <c r="AH177" s="58"/>
      <c r="AI177" s="58"/>
      <c r="AJ177" s="58"/>
      <c r="AK177" s="58"/>
      <c r="AL177" s="58"/>
      <c r="AM177" s="58"/>
      <c r="AN177" s="58"/>
      <c r="AO177" s="58"/>
      <c r="AP177" s="58"/>
      <c r="AQ177" s="58"/>
      <c r="AR177" s="58"/>
      <c r="AS177" s="58"/>
      <c r="AT177" s="58"/>
      <c r="AU177" s="58"/>
      <c r="AV177" s="58"/>
      <c r="AW177" s="58"/>
      <c r="AX177" s="58"/>
      <c r="AY177" s="58"/>
      <c r="AZ177" s="58"/>
    </row>
    <row r="178" spans="1:52" x14ac:dyDescent="0.25">
      <c r="A178" s="58"/>
      <c r="B178" s="58"/>
      <c r="C178" s="58"/>
      <c r="D178" s="58"/>
      <c r="E178" s="58"/>
      <c r="F178" s="58"/>
      <c r="G178" s="58"/>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c r="AE178" s="58"/>
      <c r="AF178" s="58"/>
      <c r="AG178" s="58"/>
      <c r="AH178" s="58"/>
      <c r="AI178" s="58"/>
      <c r="AJ178" s="58"/>
      <c r="AK178" s="58"/>
      <c r="AL178" s="58"/>
      <c r="AM178" s="58"/>
      <c r="AN178" s="58"/>
      <c r="AO178" s="58"/>
      <c r="AP178" s="58"/>
      <c r="AQ178" s="58"/>
      <c r="AR178" s="58"/>
      <c r="AS178" s="58"/>
      <c r="AT178" s="58"/>
      <c r="AU178" s="58"/>
      <c r="AV178" s="58"/>
      <c r="AW178" s="58"/>
      <c r="AX178" s="58"/>
      <c r="AY178" s="58"/>
      <c r="AZ178" s="58"/>
    </row>
    <row r="179" spans="1:52" x14ac:dyDescent="0.25">
      <c r="A179" s="58"/>
      <c r="B179" s="58"/>
      <c r="C179" s="58"/>
      <c r="D179" s="58"/>
      <c r="E179" s="58"/>
      <c r="F179" s="58"/>
      <c r="G179" s="58"/>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c r="AE179" s="58"/>
      <c r="AF179" s="58"/>
      <c r="AG179" s="58"/>
      <c r="AH179" s="58"/>
      <c r="AI179" s="58"/>
      <c r="AJ179" s="58"/>
      <c r="AK179" s="58"/>
      <c r="AL179" s="58"/>
      <c r="AM179" s="58"/>
      <c r="AN179" s="58"/>
      <c r="AO179" s="58"/>
      <c r="AP179" s="58"/>
      <c r="AQ179" s="58"/>
      <c r="AR179" s="58"/>
      <c r="AS179" s="58"/>
      <c r="AT179" s="58"/>
      <c r="AU179" s="58"/>
      <c r="AV179" s="58"/>
      <c r="AW179" s="58"/>
      <c r="AX179" s="58"/>
      <c r="AY179" s="58"/>
      <c r="AZ179" s="58"/>
    </row>
    <row r="180" spans="1:52" x14ac:dyDescent="0.25">
      <c r="A180" s="58"/>
      <c r="B180" s="58"/>
      <c r="C180" s="58"/>
      <c r="D180" s="58"/>
      <c r="E180" s="58"/>
      <c r="F180" s="58"/>
      <c r="G180" s="58"/>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c r="AE180" s="58"/>
      <c r="AF180" s="58"/>
      <c r="AG180" s="58"/>
      <c r="AH180" s="58"/>
      <c r="AI180" s="58"/>
      <c r="AJ180" s="58"/>
      <c r="AK180" s="58"/>
      <c r="AL180" s="58"/>
      <c r="AM180" s="58"/>
      <c r="AN180" s="58"/>
      <c r="AO180" s="58"/>
      <c r="AP180" s="58"/>
      <c r="AQ180" s="58"/>
      <c r="AR180" s="58"/>
      <c r="AS180" s="58"/>
      <c r="AT180" s="58"/>
      <c r="AU180" s="58"/>
      <c r="AV180" s="58"/>
      <c r="AW180" s="58"/>
      <c r="AX180" s="58"/>
      <c r="AY180" s="58"/>
      <c r="AZ180" s="58"/>
    </row>
    <row r="181" spans="1:52" x14ac:dyDescent="0.25">
      <c r="A181" s="58"/>
      <c r="B181" s="58"/>
      <c r="C181" s="58"/>
      <c r="D181" s="58"/>
      <c r="E181" s="58"/>
      <c r="F181" s="58"/>
      <c r="G181" s="58"/>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c r="AE181" s="58"/>
      <c r="AF181" s="58"/>
      <c r="AG181" s="58"/>
      <c r="AH181" s="58"/>
      <c r="AI181" s="58"/>
      <c r="AJ181" s="58"/>
      <c r="AK181" s="58"/>
      <c r="AL181" s="58"/>
      <c r="AM181" s="58"/>
      <c r="AN181" s="58"/>
      <c r="AO181" s="58"/>
      <c r="AP181" s="58"/>
      <c r="AQ181" s="58"/>
      <c r="AR181" s="58"/>
      <c r="AS181" s="58"/>
      <c r="AT181" s="58"/>
      <c r="AU181" s="58"/>
      <c r="AV181" s="58"/>
      <c r="AW181" s="58"/>
      <c r="AX181" s="58"/>
      <c r="AY181" s="58"/>
      <c r="AZ181" s="58"/>
    </row>
    <row r="182" spans="1:52" x14ac:dyDescent="0.25">
      <c r="A182" s="58"/>
      <c r="B182" s="58"/>
      <c r="C182" s="58"/>
      <c r="D182" s="58"/>
      <c r="E182" s="58"/>
      <c r="F182" s="58"/>
      <c r="G182" s="58"/>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c r="AE182" s="58"/>
      <c r="AF182" s="58"/>
      <c r="AG182" s="58"/>
      <c r="AH182" s="58"/>
      <c r="AI182" s="58"/>
      <c r="AJ182" s="58"/>
      <c r="AK182" s="58"/>
      <c r="AL182" s="58"/>
      <c r="AM182" s="58"/>
      <c r="AN182" s="58"/>
      <c r="AO182" s="58"/>
      <c r="AP182" s="58"/>
      <c r="AQ182" s="58"/>
      <c r="AR182" s="58"/>
      <c r="AS182" s="58"/>
      <c r="AT182" s="58"/>
      <c r="AU182" s="58"/>
      <c r="AV182" s="58"/>
      <c r="AW182" s="58"/>
      <c r="AX182" s="58"/>
      <c r="AY182" s="58"/>
      <c r="AZ182" s="58"/>
    </row>
    <row r="183" spans="1:52" x14ac:dyDescent="0.25">
      <c r="A183" s="58"/>
      <c r="B183" s="58"/>
      <c r="C183" s="58"/>
      <c r="D183" s="58"/>
      <c r="E183" s="58"/>
      <c r="F183" s="58"/>
      <c r="G183" s="58"/>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c r="AE183" s="58"/>
      <c r="AF183" s="58"/>
      <c r="AG183" s="58"/>
      <c r="AH183" s="58"/>
      <c r="AI183" s="58"/>
      <c r="AJ183" s="58"/>
      <c r="AK183" s="58"/>
      <c r="AL183" s="58"/>
      <c r="AM183" s="58"/>
      <c r="AN183" s="58"/>
      <c r="AO183" s="58"/>
      <c r="AP183" s="58"/>
      <c r="AQ183" s="58"/>
      <c r="AR183" s="58"/>
      <c r="AS183" s="58"/>
      <c r="AT183" s="58"/>
      <c r="AU183" s="58"/>
      <c r="AV183" s="58"/>
      <c r="AW183" s="58"/>
      <c r="AX183" s="58"/>
      <c r="AY183" s="58"/>
      <c r="AZ183" s="58"/>
    </row>
    <row r="184" spans="1:52" x14ac:dyDescent="0.25">
      <c r="A184" s="58"/>
      <c r="B184" s="58"/>
      <c r="C184" s="58"/>
      <c r="D184" s="58"/>
      <c r="E184" s="58"/>
      <c r="F184" s="58"/>
      <c r="G184" s="58"/>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c r="AE184" s="58"/>
      <c r="AF184" s="58"/>
      <c r="AG184" s="58"/>
      <c r="AH184" s="58"/>
      <c r="AI184" s="58"/>
      <c r="AJ184" s="58"/>
      <c r="AK184" s="58"/>
      <c r="AL184" s="58"/>
      <c r="AM184" s="58"/>
      <c r="AN184" s="58"/>
      <c r="AO184" s="58"/>
      <c r="AP184" s="58"/>
      <c r="AQ184" s="58"/>
      <c r="AR184" s="58"/>
      <c r="AS184" s="58"/>
      <c r="AT184" s="58"/>
      <c r="AU184" s="58"/>
      <c r="AV184" s="58"/>
      <c r="AW184" s="58"/>
      <c r="AX184" s="58"/>
      <c r="AY184" s="58"/>
      <c r="AZ184" s="58"/>
    </row>
    <row r="185" spans="1:52" x14ac:dyDescent="0.25">
      <c r="A185" s="58"/>
      <c r="B185" s="58"/>
      <c r="C185" s="58"/>
      <c r="D185" s="58"/>
      <c r="E185" s="58"/>
      <c r="F185" s="58"/>
      <c r="G185" s="58"/>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c r="AE185" s="58"/>
      <c r="AF185" s="58"/>
      <c r="AG185" s="58"/>
      <c r="AH185" s="58"/>
      <c r="AI185" s="58"/>
      <c r="AJ185" s="58"/>
      <c r="AK185" s="58"/>
      <c r="AL185" s="58"/>
      <c r="AM185" s="58"/>
      <c r="AN185" s="58"/>
      <c r="AO185" s="58"/>
      <c r="AP185" s="58"/>
      <c r="AQ185" s="58"/>
      <c r="AR185" s="58"/>
      <c r="AS185" s="58"/>
      <c r="AT185" s="58"/>
      <c r="AU185" s="58"/>
      <c r="AV185" s="58"/>
      <c r="AW185" s="58"/>
      <c r="AX185" s="58"/>
      <c r="AY185" s="58"/>
      <c r="AZ185" s="58"/>
    </row>
    <row r="186" spans="1:52" x14ac:dyDescent="0.25">
      <c r="A186" s="58"/>
      <c r="B186" s="58"/>
      <c r="C186" s="58"/>
      <c r="D186" s="58"/>
      <c r="E186" s="58"/>
      <c r="F186" s="58"/>
      <c r="G186" s="58"/>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c r="AE186" s="58"/>
      <c r="AF186" s="58"/>
      <c r="AG186" s="58"/>
      <c r="AH186" s="58"/>
      <c r="AI186" s="58"/>
      <c r="AJ186" s="58"/>
      <c r="AK186" s="58"/>
      <c r="AL186" s="58"/>
      <c r="AM186" s="58"/>
      <c r="AN186" s="58"/>
      <c r="AO186" s="58"/>
      <c r="AP186" s="58"/>
      <c r="AQ186" s="58"/>
      <c r="AR186" s="58"/>
      <c r="AS186" s="58"/>
      <c r="AT186" s="58"/>
      <c r="AU186" s="58"/>
      <c r="AV186" s="58"/>
      <c r="AW186" s="58"/>
      <c r="AX186" s="58"/>
      <c r="AY186" s="58"/>
      <c r="AZ186" s="58"/>
    </row>
    <row r="187" spans="1:52" x14ac:dyDescent="0.25">
      <c r="A187" s="58"/>
      <c r="B187" s="58"/>
      <c r="C187" s="58"/>
      <c r="D187" s="58"/>
      <c r="E187" s="58"/>
      <c r="F187" s="58"/>
      <c r="G187" s="58"/>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c r="AE187" s="58"/>
      <c r="AF187" s="58"/>
      <c r="AG187" s="58"/>
      <c r="AH187" s="58"/>
      <c r="AI187" s="58"/>
      <c r="AJ187" s="58"/>
      <c r="AK187" s="58"/>
      <c r="AL187" s="58"/>
      <c r="AM187" s="58"/>
      <c r="AN187" s="58"/>
      <c r="AO187" s="58"/>
      <c r="AP187" s="58"/>
      <c r="AQ187" s="58"/>
      <c r="AR187" s="58"/>
      <c r="AS187" s="58"/>
      <c r="AT187" s="58"/>
      <c r="AU187" s="58"/>
      <c r="AV187" s="58"/>
      <c r="AW187" s="58"/>
      <c r="AX187" s="58"/>
      <c r="AY187" s="58"/>
      <c r="AZ187" s="58"/>
    </row>
    <row r="188" spans="1:52" x14ac:dyDescent="0.25">
      <c r="A188" s="58"/>
      <c r="B188" s="58"/>
      <c r="C188" s="58"/>
      <c r="D188" s="58"/>
      <c r="E188" s="58"/>
      <c r="F188" s="58"/>
      <c r="G188" s="58"/>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c r="AE188" s="58"/>
      <c r="AF188" s="58"/>
      <c r="AG188" s="58"/>
      <c r="AH188" s="58"/>
      <c r="AI188" s="58"/>
      <c r="AJ188" s="58"/>
      <c r="AK188" s="58"/>
      <c r="AL188" s="58"/>
      <c r="AM188" s="58"/>
      <c r="AN188" s="58"/>
      <c r="AO188" s="58"/>
      <c r="AP188" s="58"/>
      <c r="AQ188" s="58"/>
      <c r="AR188" s="58"/>
      <c r="AS188" s="58"/>
      <c r="AT188" s="58"/>
      <c r="AU188" s="58"/>
      <c r="AV188" s="58"/>
      <c r="AW188" s="58"/>
      <c r="AX188" s="58"/>
      <c r="AY188" s="58"/>
      <c r="AZ188" s="58"/>
    </row>
    <row r="189" spans="1:52" x14ac:dyDescent="0.25">
      <c r="A189" s="58"/>
      <c r="B189" s="58"/>
      <c r="C189" s="58"/>
      <c r="D189" s="58"/>
      <c r="E189" s="58"/>
      <c r="F189" s="58"/>
      <c r="G189" s="58"/>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c r="AE189" s="58"/>
      <c r="AF189" s="58"/>
      <c r="AG189" s="58"/>
      <c r="AH189" s="58"/>
      <c r="AI189" s="58"/>
      <c r="AJ189" s="58"/>
      <c r="AK189" s="58"/>
      <c r="AL189" s="58"/>
      <c r="AM189" s="58"/>
      <c r="AN189" s="58"/>
      <c r="AO189" s="58"/>
      <c r="AP189" s="58"/>
      <c r="AQ189" s="58"/>
      <c r="AR189" s="58"/>
      <c r="AS189" s="58"/>
      <c r="AT189" s="58"/>
      <c r="AU189" s="58"/>
      <c r="AV189" s="58"/>
      <c r="AW189" s="58"/>
      <c r="AX189" s="58"/>
      <c r="AY189" s="58"/>
      <c r="AZ189" s="58"/>
    </row>
    <row r="190" spans="1:52" x14ac:dyDescent="0.25">
      <c r="A190" s="58"/>
      <c r="B190" s="58"/>
      <c r="C190" s="58"/>
      <c r="D190" s="58"/>
      <c r="E190" s="58"/>
      <c r="F190" s="58"/>
      <c r="G190" s="58"/>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c r="AE190" s="58"/>
      <c r="AF190" s="58"/>
      <c r="AG190" s="58"/>
      <c r="AH190" s="58"/>
      <c r="AI190" s="58"/>
      <c r="AJ190" s="58"/>
      <c r="AK190" s="58"/>
      <c r="AL190" s="58"/>
      <c r="AM190" s="58"/>
      <c r="AN190" s="58"/>
      <c r="AO190" s="58"/>
      <c r="AP190" s="58"/>
      <c r="AQ190" s="58"/>
      <c r="AR190" s="58"/>
      <c r="AS190" s="58"/>
      <c r="AT190" s="58"/>
      <c r="AU190" s="58"/>
      <c r="AV190" s="58"/>
      <c r="AW190" s="58"/>
      <c r="AX190" s="58"/>
      <c r="AY190" s="58"/>
      <c r="AZ190" s="58"/>
    </row>
    <row r="191" spans="1:52" x14ac:dyDescent="0.25">
      <c r="A191" s="58"/>
      <c r="B191" s="58"/>
      <c r="C191" s="58"/>
      <c r="D191" s="58"/>
      <c r="E191" s="58"/>
      <c r="F191" s="58"/>
      <c r="G191" s="58"/>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c r="AE191" s="58"/>
      <c r="AF191" s="58"/>
      <c r="AG191" s="58"/>
      <c r="AH191" s="58"/>
      <c r="AI191" s="58"/>
      <c r="AJ191" s="58"/>
      <c r="AK191" s="58"/>
      <c r="AL191" s="58"/>
      <c r="AM191" s="58"/>
      <c r="AN191" s="58"/>
      <c r="AO191" s="58"/>
      <c r="AP191" s="58"/>
      <c r="AQ191" s="58"/>
      <c r="AR191" s="58"/>
      <c r="AS191" s="58"/>
      <c r="AT191" s="58"/>
      <c r="AU191" s="58"/>
      <c r="AV191" s="58"/>
      <c r="AW191" s="58"/>
      <c r="AX191" s="58"/>
      <c r="AY191" s="58"/>
      <c r="AZ191" s="58"/>
    </row>
    <row r="192" spans="1:52" x14ac:dyDescent="0.25">
      <c r="A192" s="58"/>
      <c r="B192" s="58"/>
      <c r="C192" s="58"/>
      <c r="D192" s="58"/>
      <c r="E192" s="58"/>
      <c r="F192" s="58"/>
      <c r="G192" s="58"/>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c r="AE192" s="58"/>
      <c r="AF192" s="58"/>
      <c r="AG192" s="58"/>
      <c r="AH192" s="58"/>
      <c r="AI192" s="58"/>
      <c r="AJ192" s="58"/>
      <c r="AK192" s="58"/>
      <c r="AL192" s="58"/>
      <c r="AM192" s="58"/>
      <c r="AN192" s="58"/>
      <c r="AO192" s="58"/>
      <c r="AP192" s="58"/>
      <c r="AQ192" s="58"/>
      <c r="AR192" s="58"/>
      <c r="AS192" s="58"/>
      <c r="AT192" s="58"/>
      <c r="AU192" s="58"/>
      <c r="AV192" s="58"/>
      <c r="AW192" s="58"/>
      <c r="AX192" s="58"/>
      <c r="AY192" s="58"/>
      <c r="AZ192" s="58"/>
    </row>
    <row r="193" spans="1:52" x14ac:dyDescent="0.25">
      <c r="A193" s="58"/>
      <c r="B193" s="58"/>
      <c r="C193" s="58"/>
      <c r="D193" s="58"/>
      <c r="E193" s="58"/>
      <c r="F193" s="58"/>
      <c r="G193" s="58"/>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c r="AE193" s="58"/>
      <c r="AF193" s="58"/>
      <c r="AG193" s="58"/>
      <c r="AH193" s="58"/>
      <c r="AI193" s="58"/>
      <c r="AJ193" s="58"/>
      <c r="AK193" s="58"/>
      <c r="AL193" s="58"/>
      <c r="AM193" s="58"/>
      <c r="AN193" s="58"/>
      <c r="AO193" s="58"/>
      <c r="AP193" s="58"/>
      <c r="AQ193" s="58"/>
      <c r="AR193" s="58"/>
      <c r="AS193" s="58"/>
      <c r="AT193" s="58"/>
      <c r="AU193" s="58"/>
      <c r="AV193" s="58"/>
      <c r="AW193" s="58"/>
      <c r="AX193" s="58"/>
      <c r="AY193" s="58"/>
      <c r="AZ193" s="58"/>
    </row>
    <row r="194" spans="1:52" x14ac:dyDescent="0.25">
      <c r="A194" s="58"/>
      <c r="B194" s="58"/>
      <c r="C194" s="58"/>
      <c r="D194" s="58"/>
      <c r="E194" s="58"/>
      <c r="F194" s="58"/>
      <c r="G194" s="58"/>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c r="AE194" s="58"/>
      <c r="AF194" s="58"/>
      <c r="AG194" s="58"/>
      <c r="AH194" s="58"/>
      <c r="AI194" s="58"/>
      <c r="AJ194" s="58"/>
      <c r="AK194" s="58"/>
      <c r="AL194" s="58"/>
      <c r="AM194" s="58"/>
      <c r="AN194" s="58"/>
      <c r="AO194" s="58"/>
      <c r="AP194" s="58"/>
      <c r="AQ194" s="58"/>
      <c r="AR194" s="58"/>
      <c r="AS194" s="58"/>
      <c r="AT194" s="58"/>
      <c r="AU194" s="58"/>
      <c r="AV194" s="58"/>
      <c r="AW194" s="58"/>
      <c r="AX194" s="58"/>
      <c r="AY194" s="58"/>
      <c r="AZ194" s="58"/>
    </row>
    <row r="195" spans="1:52" x14ac:dyDescent="0.25">
      <c r="A195" s="58"/>
      <c r="B195" s="58"/>
      <c r="C195" s="58"/>
      <c r="D195" s="58"/>
      <c r="E195" s="58"/>
      <c r="F195" s="58"/>
      <c r="G195" s="58"/>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c r="AE195" s="58"/>
      <c r="AF195" s="58"/>
      <c r="AG195" s="58"/>
      <c r="AH195" s="58"/>
      <c r="AI195" s="58"/>
      <c r="AJ195" s="58"/>
      <c r="AK195" s="58"/>
      <c r="AL195" s="58"/>
      <c r="AM195" s="58"/>
      <c r="AN195" s="58"/>
      <c r="AO195" s="58"/>
      <c r="AP195" s="58"/>
      <c r="AQ195" s="58"/>
      <c r="AR195" s="58"/>
      <c r="AS195" s="58"/>
      <c r="AT195" s="58"/>
      <c r="AU195" s="58"/>
      <c r="AV195" s="58"/>
      <c r="AW195" s="58"/>
      <c r="AX195" s="58"/>
      <c r="AY195" s="58"/>
      <c r="AZ195" s="58"/>
    </row>
    <row r="196" spans="1:52" x14ac:dyDescent="0.25">
      <c r="A196" s="58"/>
      <c r="B196" s="58"/>
      <c r="C196" s="58"/>
      <c r="D196" s="58"/>
      <c r="E196" s="58"/>
      <c r="F196" s="58"/>
      <c r="G196" s="58"/>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c r="AE196" s="58"/>
      <c r="AF196" s="58"/>
      <c r="AG196" s="58"/>
      <c r="AH196" s="58"/>
      <c r="AI196" s="58"/>
      <c r="AJ196" s="58"/>
      <c r="AK196" s="58"/>
      <c r="AL196" s="58"/>
      <c r="AM196" s="58"/>
      <c r="AN196" s="58"/>
      <c r="AO196" s="58"/>
      <c r="AP196" s="58"/>
      <c r="AQ196" s="58"/>
      <c r="AR196" s="58"/>
      <c r="AS196" s="58"/>
      <c r="AT196" s="58"/>
      <c r="AU196" s="58"/>
      <c r="AV196" s="58"/>
      <c r="AW196" s="58"/>
      <c r="AX196" s="58"/>
      <c r="AY196" s="58"/>
      <c r="AZ196" s="58"/>
    </row>
    <row r="197" spans="1:52" x14ac:dyDescent="0.25">
      <c r="A197" s="58"/>
      <c r="B197" s="58"/>
      <c r="C197" s="58"/>
      <c r="D197" s="58"/>
      <c r="E197" s="58"/>
      <c r="F197" s="58"/>
      <c r="G197" s="58"/>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c r="AE197" s="58"/>
      <c r="AF197" s="58"/>
      <c r="AG197" s="58"/>
      <c r="AH197" s="58"/>
      <c r="AI197" s="58"/>
      <c r="AJ197" s="58"/>
      <c r="AK197" s="58"/>
      <c r="AL197" s="58"/>
      <c r="AM197" s="58"/>
      <c r="AN197" s="58"/>
      <c r="AO197" s="58"/>
      <c r="AP197" s="58"/>
      <c r="AQ197" s="58"/>
      <c r="AR197" s="58"/>
      <c r="AS197" s="58"/>
      <c r="AT197" s="58"/>
      <c r="AU197" s="58"/>
      <c r="AV197" s="58"/>
      <c r="AW197" s="58"/>
      <c r="AX197" s="58"/>
      <c r="AY197" s="58"/>
      <c r="AZ197" s="58"/>
    </row>
    <row r="198" spans="1:52" x14ac:dyDescent="0.25">
      <c r="A198" s="58"/>
      <c r="B198" s="58"/>
      <c r="C198" s="58"/>
      <c r="D198" s="58"/>
      <c r="E198" s="58"/>
      <c r="F198" s="58"/>
      <c r="G198" s="58"/>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c r="AE198" s="58"/>
      <c r="AF198" s="58"/>
      <c r="AG198" s="58"/>
      <c r="AH198" s="58"/>
      <c r="AI198" s="58"/>
      <c r="AJ198" s="58"/>
      <c r="AK198" s="58"/>
      <c r="AL198" s="58"/>
      <c r="AM198" s="58"/>
      <c r="AN198" s="58"/>
      <c r="AO198" s="58"/>
      <c r="AP198" s="58"/>
      <c r="AQ198" s="58"/>
      <c r="AR198" s="58"/>
      <c r="AS198" s="58"/>
      <c r="AT198" s="58"/>
      <c r="AU198" s="58"/>
      <c r="AV198" s="58"/>
      <c r="AW198" s="58"/>
      <c r="AX198" s="58"/>
      <c r="AY198" s="58"/>
      <c r="AZ198" s="58"/>
    </row>
    <row r="199" spans="1:52" x14ac:dyDescent="0.25">
      <c r="A199" s="58"/>
      <c r="B199" s="58"/>
      <c r="C199" s="58"/>
      <c r="D199" s="58"/>
      <c r="E199" s="58"/>
      <c r="F199" s="58"/>
      <c r="G199" s="58"/>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c r="AE199" s="58"/>
      <c r="AF199" s="58"/>
      <c r="AG199" s="58"/>
      <c r="AH199" s="58"/>
      <c r="AI199" s="58"/>
      <c r="AJ199" s="58"/>
      <c r="AK199" s="58"/>
      <c r="AL199" s="58"/>
      <c r="AM199" s="58"/>
      <c r="AN199" s="58"/>
      <c r="AO199" s="58"/>
      <c r="AP199" s="58"/>
      <c r="AQ199" s="58"/>
      <c r="AR199" s="58"/>
      <c r="AS199" s="58"/>
      <c r="AT199" s="58"/>
      <c r="AU199" s="58"/>
      <c r="AV199" s="58"/>
      <c r="AW199" s="58"/>
      <c r="AX199" s="58"/>
      <c r="AY199" s="58"/>
      <c r="AZ199" s="58"/>
    </row>
    <row r="200" spans="1:52" x14ac:dyDescent="0.25">
      <c r="A200" s="58"/>
      <c r="B200" s="58"/>
      <c r="C200" s="58"/>
      <c r="D200" s="58"/>
      <c r="E200" s="58"/>
      <c r="F200" s="58"/>
      <c r="G200" s="58"/>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c r="AE200" s="58"/>
      <c r="AF200" s="58"/>
      <c r="AG200" s="58"/>
      <c r="AH200" s="58"/>
      <c r="AI200" s="58"/>
      <c r="AJ200" s="58"/>
      <c r="AK200" s="58"/>
      <c r="AL200" s="58"/>
      <c r="AM200" s="58"/>
      <c r="AN200" s="58"/>
      <c r="AO200" s="58"/>
      <c r="AP200" s="58"/>
      <c r="AQ200" s="58"/>
      <c r="AR200" s="58"/>
      <c r="AS200" s="58"/>
      <c r="AT200" s="58"/>
      <c r="AU200" s="58"/>
      <c r="AV200" s="58"/>
      <c r="AW200" s="58"/>
      <c r="AX200" s="58"/>
      <c r="AY200" s="58"/>
      <c r="AZ200" s="58"/>
    </row>
    <row r="201" spans="1:52" x14ac:dyDescent="0.25">
      <c r="A201" s="58"/>
      <c r="B201" s="58"/>
      <c r="C201" s="58"/>
      <c r="D201" s="58"/>
      <c r="E201" s="58"/>
      <c r="F201" s="58"/>
      <c r="G201" s="58"/>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c r="AE201" s="58"/>
      <c r="AF201" s="58"/>
      <c r="AG201" s="58"/>
      <c r="AH201" s="58"/>
      <c r="AI201" s="58"/>
      <c r="AJ201" s="58"/>
      <c r="AK201" s="58"/>
      <c r="AL201" s="58"/>
      <c r="AM201" s="58"/>
      <c r="AN201" s="58"/>
      <c r="AO201" s="58"/>
      <c r="AP201" s="58"/>
      <c r="AQ201" s="58"/>
      <c r="AR201" s="58"/>
      <c r="AS201" s="58"/>
      <c r="AT201" s="58"/>
      <c r="AU201" s="58"/>
      <c r="AV201" s="58"/>
      <c r="AW201" s="58"/>
      <c r="AX201" s="58"/>
      <c r="AY201" s="58"/>
      <c r="AZ201" s="58"/>
    </row>
    <row r="202" spans="1:52" x14ac:dyDescent="0.25">
      <c r="A202" s="58"/>
      <c r="B202" s="58"/>
      <c r="C202" s="58"/>
      <c r="D202" s="58"/>
      <c r="E202" s="58"/>
      <c r="F202" s="58"/>
      <c r="G202" s="58"/>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c r="AE202" s="58"/>
      <c r="AF202" s="58"/>
      <c r="AG202" s="58"/>
      <c r="AH202" s="58"/>
      <c r="AI202" s="58"/>
      <c r="AJ202" s="58"/>
      <c r="AK202" s="58"/>
      <c r="AL202" s="58"/>
      <c r="AM202" s="58"/>
      <c r="AN202" s="58"/>
      <c r="AO202" s="58"/>
      <c r="AP202" s="58"/>
      <c r="AQ202" s="58"/>
      <c r="AR202" s="58"/>
      <c r="AS202" s="58"/>
      <c r="AT202" s="58"/>
      <c r="AU202" s="58"/>
      <c r="AV202" s="58"/>
      <c r="AW202" s="58"/>
      <c r="AX202" s="58"/>
      <c r="AY202" s="58"/>
      <c r="AZ202" s="58"/>
    </row>
    <row r="203" spans="1:52" x14ac:dyDescent="0.25">
      <c r="A203" s="58"/>
      <c r="B203" s="58"/>
      <c r="C203" s="58"/>
      <c r="D203" s="58"/>
      <c r="E203" s="58"/>
      <c r="F203" s="58"/>
      <c r="G203" s="58"/>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c r="AE203" s="58"/>
      <c r="AF203" s="58"/>
      <c r="AG203" s="58"/>
      <c r="AH203" s="58"/>
      <c r="AI203" s="58"/>
      <c r="AJ203" s="58"/>
      <c r="AK203" s="58"/>
      <c r="AL203" s="58"/>
      <c r="AM203" s="58"/>
      <c r="AN203" s="58"/>
      <c r="AO203" s="58"/>
      <c r="AP203" s="58"/>
      <c r="AQ203" s="58"/>
      <c r="AR203" s="58"/>
      <c r="AS203" s="58"/>
      <c r="AT203" s="58"/>
      <c r="AU203" s="58"/>
      <c r="AV203" s="58"/>
      <c r="AW203" s="58"/>
      <c r="AX203" s="58"/>
      <c r="AY203" s="58"/>
      <c r="AZ203" s="58"/>
    </row>
    <row r="204" spans="1:52" x14ac:dyDescent="0.25">
      <c r="A204" s="58"/>
      <c r="B204" s="58"/>
      <c r="C204" s="58"/>
      <c r="D204" s="58"/>
      <c r="E204" s="58"/>
      <c r="F204" s="58"/>
      <c r="G204" s="58"/>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c r="AE204" s="58"/>
      <c r="AF204" s="58"/>
      <c r="AG204" s="58"/>
      <c r="AH204" s="58"/>
      <c r="AI204" s="58"/>
      <c r="AJ204" s="58"/>
      <c r="AK204" s="58"/>
      <c r="AL204" s="58"/>
      <c r="AM204" s="58"/>
      <c r="AN204" s="58"/>
      <c r="AO204" s="58"/>
      <c r="AP204" s="58"/>
      <c r="AQ204" s="58"/>
      <c r="AR204" s="58"/>
      <c r="AS204" s="58"/>
      <c r="AT204" s="58"/>
      <c r="AU204" s="58"/>
      <c r="AV204" s="58"/>
      <c r="AW204" s="58"/>
      <c r="AX204" s="58"/>
      <c r="AY204" s="58"/>
      <c r="AZ204" s="58"/>
    </row>
    <row r="205" spans="1:52" x14ac:dyDescent="0.25">
      <c r="A205" s="58"/>
      <c r="B205" s="58"/>
      <c r="C205" s="58"/>
      <c r="D205" s="58"/>
      <c r="E205" s="58"/>
      <c r="F205" s="58"/>
      <c r="G205" s="58"/>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c r="AE205" s="58"/>
      <c r="AF205" s="58"/>
      <c r="AG205" s="58"/>
      <c r="AH205" s="58"/>
      <c r="AI205" s="58"/>
      <c r="AJ205" s="58"/>
      <c r="AK205" s="58"/>
      <c r="AL205" s="58"/>
      <c r="AM205" s="58"/>
      <c r="AN205" s="58"/>
      <c r="AO205" s="58"/>
      <c r="AP205" s="58"/>
      <c r="AQ205" s="58"/>
      <c r="AR205" s="58"/>
      <c r="AS205" s="58"/>
      <c r="AT205" s="58"/>
      <c r="AU205" s="58"/>
      <c r="AV205" s="58"/>
      <c r="AW205" s="58"/>
      <c r="AX205" s="58"/>
      <c r="AY205" s="58"/>
      <c r="AZ205" s="58"/>
    </row>
    <row r="206" spans="1:52" x14ac:dyDescent="0.25">
      <c r="A206" s="58"/>
      <c r="B206" s="58"/>
      <c r="C206" s="58"/>
      <c r="D206" s="58"/>
      <c r="E206" s="58"/>
      <c r="F206" s="58"/>
      <c r="G206" s="58"/>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c r="AE206" s="58"/>
      <c r="AF206" s="58"/>
      <c r="AG206" s="58"/>
      <c r="AH206" s="58"/>
      <c r="AI206" s="58"/>
      <c r="AJ206" s="58"/>
      <c r="AK206" s="58"/>
      <c r="AL206" s="58"/>
      <c r="AM206" s="58"/>
      <c r="AN206" s="58"/>
      <c r="AO206" s="58"/>
      <c r="AP206" s="58"/>
      <c r="AQ206" s="58"/>
      <c r="AR206" s="58"/>
      <c r="AS206" s="58"/>
      <c r="AT206" s="58"/>
      <c r="AU206" s="58"/>
      <c r="AV206" s="58"/>
      <c r="AW206" s="58"/>
      <c r="AX206" s="58"/>
      <c r="AY206" s="58"/>
      <c r="AZ206" s="58"/>
    </row>
    <row r="207" spans="1:52" x14ac:dyDescent="0.25">
      <c r="A207" s="58"/>
      <c r="B207" s="58"/>
      <c r="C207" s="58"/>
      <c r="D207" s="58"/>
      <c r="E207" s="58"/>
      <c r="F207" s="58"/>
      <c r="G207" s="58"/>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c r="AE207" s="58"/>
      <c r="AF207" s="58"/>
      <c r="AG207" s="58"/>
      <c r="AH207" s="58"/>
      <c r="AI207" s="58"/>
      <c r="AJ207" s="58"/>
      <c r="AK207" s="58"/>
      <c r="AL207" s="58"/>
      <c r="AM207" s="58"/>
      <c r="AN207" s="58"/>
      <c r="AO207" s="58"/>
      <c r="AP207" s="58"/>
      <c r="AQ207" s="58"/>
      <c r="AR207" s="58"/>
      <c r="AS207" s="58"/>
      <c r="AT207" s="58"/>
      <c r="AU207" s="58"/>
      <c r="AV207" s="58"/>
      <c r="AW207" s="58"/>
      <c r="AX207" s="58"/>
      <c r="AY207" s="58"/>
      <c r="AZ207" s="58"/>
    </row>
    <row r="208" spans="1:52" x14ac:dyDescent="0.25">
      <c r="A208" s="58"/>
      <c r="B208" s="58"/>
      <c r="C208" s="58"/>
      <c r="D208" s="58"/>
      <c r="E208" s="58"/>
      <c r="F208" s="58"/>
      <c r="G208" s="58"/>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c r="AE208" s="58"/>
      <c r="AF208" s="58"/>
      <c r="AG208" s="58"/>
      <c r="AH208" s="58"/>
      <c r="AI208" s="58"/>
      <c r="AJ208" s="58"/>
      <c r="AK208" s="58"/>
      <c r="AL208" s="58"/>
      <c r="AM208" s="58"/>
      <c r="AN208" s="58"/>
      <c r="AO208" s="58"/>
      <c r="AP208" s="58"/>
      <c r="AQ208" s="58"/>
      <c r="AR208" s="58"/>
      <c r="AS208" s="58"/>
      <c r="AT208" s="58"/>
      <c r="AU208" s="58"/>
      <c r="AV208" s="58"/>
      <c r="AW208" s="58"/>
      <c r="AX208" s="58"/>
      <c r="AY208" s="58"/>
      <c r="AZ208" s="58"/>
    </row>
    <row r="209" spans="1:52" x14ac:dyDescent="0.25">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c r="AF209" s="58"/>
      <c r="AG209" s="58"/>
      <c r="AH209" s="58"/>
      <c r="AI209" s="58"/>
      <c r="AJ209" s="58"/>
      <c r="AK209" s="58"/>
      <c r="AL209" s="58"/>
      <c r="AM209" s="58"/>
      <c r="AN209" s="58"/>
      <c r="AO209" s="58"/>
      <c r="AP209" s="58"/>
      <c r="AQ209" s="58"/>
      <c r="AR209" s="58"/>
      <c r="AS209" s="58"/>
      <c r="AT209" s="58"/>
      <c r="AU209" s="58"/>
      <c r="AV209" s="58"/>
      <c r="AW209" s="58"/>
      <c r="AX209" s="58"/>
      <c r="AY209" s="58"/>
      <c r="AZ209" s="58"/>
    </row>
    <row r="210" spans="1:52" x14ac:dyDescent="0.25">
      <c r="A210" s="58"/>
      <c r="B210" s="58"/>
      <c r="C210" s="58"/>
      <c r="D210" s="58"/>
      <c r="E210" s="58"/>
      <c r="F210" s="58"/>
      <c r="G210" s="58"/>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c r="AE210" s="58"/>
      <c r="AF210" s="58"/>
      <c r="AG210" s="58"/>
      <c r="AH210" s="58"/>
      <c r="AI210" s="58"/>
      <c r="AJ210" s="58"/>
      <c r="AK210" s="58"/>
      <c r="AL210" s="58"/>
      <c r="AM210" s="58"/>
      <c r="AN210" s="58"/>
      <c r="AO210" s="58"/>
      <c r="AP210" s="58"/>
      <c r="AQ210" s="58"/>
      <c r="AR210" s="58"/>
      <c r="AS210" s="58"/>
      <c r="AT210" s="58"/>
      <c r="AU210" s="58"/>
      <c r="AV210" s="58"/>
      <c r="AW210" s="58"/>
      <c r="AX210" s="58"/>
      <c r="AY210" s="58"/>
      <c r="AZ210" s="58"/>
    </row>
    <row r="211" spans="1:52" x14ac:dyDescent="0.25">
      <c r="A211" s="58"/>
      <c r="B211" s="58"/>
      <c r="C211" s="58"/>
      <c r="D211" s="58"/>
      <c r="E211" s="58"/>
      <c r="F211" s="58"/>
      <c r="G211" s="58"/>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c r="AE211" s="58"/>
      <c r="AF211" s="58"/>
      <c r="AG211" s="58"/>
      <c r="AH211" s="58"/>
      <c r="AI211" s="58"/>
      <c r="AJ211" s="58"/>
      <c r="AK211" s="58"/>
      <c r="AL211" s="58"/>
      <c r="AM211" s="58"/>
      <c r="AN211" s="58"/>
      <c r="AO211" s="58"/>
      <c r="AP211" s="58"/>
      <c r="AQ211" s="58"/>
      <c r="AR211" s="58"/>
      <c r="AS211" s="58"/>
      <c r="AT211" s="58"/>
      <c r="AU211" s="58"/>
      <c r="AV211" s="58"/>
      <c r="AW211" s="58"/>
      <c r="AX211" s="58"/>
      <c r="AY211" s="58"/>
      <c r="AZ211" s="58"/>
    </row>
    <row r="212" spans="1:52" x14ac:dyDescent="0.25">
      <c r="A212" s="58"/>
      <c r="B212" s="58"/>
      <c r="C212" s="58"/>
      <c r="D212" s="58"/>
      <c r="E212" s="58"/>
      <c r="F212" s="58"/>
      <c r="G212" s="58"/>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c r="AE212" s="58"/>
      <c r="AF212" s="58"/>
      <c r="AG212" s="58"/>
      <c r="AH212" s="58"/>
      <c r="AI212" s="58"/>
      <c r="AJ212" s="58"/>
      <c r="AK212" s="58"/>
      <c r="AL212" s="58"/>
      <c r="AM212" s="58"/>
      <c r="AN212" s="58"/>
      <c r="AO212" s="58"/>
      <c r="AP212" s="58"/>
      <c r="AQ212" s="58"/>
      <c r="AR212" s="58"/>
      <c r="AS212" s="58"/>
      <c r="AT212" s="58"/>
      <c r="AU212" s="58"/>
      <c r="AV212" s="58"/>
      <c r="AW212" s="58"/>
      <c r="AX212" s="58"/>
      <c r="AY212" s="58"/>
      <c r="AZ212" s="58"/>
    </row>
    <row r="213" spans="1:52" x14ac:dyDescent="0.25">
      <c r="A213" s="58"/>
      <c r="B213" s="58"/>
      <c r="C213" s="58"/>
      <c r="D213" s="58"/>
      <c r="E213" s="58"/>
      <c r="F213" s="58"/>
      <c r="G213" s="58"/>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c r="AE213" s="58"/>
      <c r="AF213" s="58"/>
      <c r="AG213" s="58"/>
      <c r="AH213" s="58"/>
      <c r="AI213" s="58"/>
      <c r="AJ213" s="58"/>
      <c r="AK213" s="58"/>
      <c r="AL213" s="58"/>
      <c r="AM213" s="58"/>
      <c r="AN213" s="58"/>
      <c r="AO213" s="58"/>
      <c r="AP213" s="58"/>
      <c r="AQ213" s="58"/>
      <c r="AR213" s="58"/>
      <c r="AS213" s="58"/>
      <c r="AT213" s="58"/>
      <c r="AU213" s="58"/>
      <c r="AV213" s="58"/>
      <c r="AW213" s="58"/>
      <c r="AX213" s="58"/>
      <c r="AY213" s="58"/>
      <c r="AZ213" s="58"/>
    </row>
    <row r="214" spans="1:52" x14ac:dyDescent="0.25">
      <c r="A214" s="58"/>
      <c r="B214" s="58"/>
      <c r="C214" s="58"/>
      <c r="D214" s="58"/>
      <c r="E214" s="58"/>
      <c r="F214" s="58"/>
      <c r="G214" s="58"/>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c r="AE214" s="58"/>
      <c r="AF214" s="58"/>
      <c r="AG214" s="58"/>
      <c r="AH214" s="58"/>
      <c r="AI214" s="58"/>
      <c r="AJ214" s="58"/>
      <c r="AK214" s="58"/>
      <c r="AL214" s="58"/>
      <c r="AM214" s="58"/>
      <c r="AN214" s="58"/>
      <c r="AO214" s="58"/>
      <c r="AP214" s="58"/>
      <c r="AQ214" s="58"/>
      <c r="AR214" s="58"/>
      <c r="AS214" s="58"/>
      <c r="AT214" s="58"/>
      <c r="AU214" s="58"/>
      <c r="AV214" s="58"/>
      <c r="AW214" s="58"/>
      <c r="AX214" s="58"/>
      <c r="AY214" s="58"/>
      <c r="AZ214" s="58"/>
    </row>
    <row r="215" spans="1:52" x14ac:dyDescent="0.25">
      <c r="A215" s="58"/>
      <c r="B215" s="58"/>
      <c r="C215" s="58"/>
      <c r="D215" s="58"/>
      <c r="E215" s="58"/>
      <c r="F215" s="58"/>
      <c r="G215" s="58"/>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c r="AE215" s="58"/>
      <c r="AF215" s="58"/>
      <c r="AG215" s="58"/>
      <c r="AH215" s="58"/>
      <c r="AI215" s="58"/>
      <c r="AJ215" s="58"/>
      <c r="AK215" s="58"/>
      <c r="AL215" s="58"/>
      <c r="AM215" s="58"/>
      <c r="AN215" s="58"/>
      <c r="AO215" s="58"/>
      <c r="AP215" s="58"/>
      <c r="AQ215" s="58"/>
      <c r="AR215" s="58"/>
      <c r="AS215" s="58"/>
      <c r="AT215" s="58"/>
      <c r="AU215" s="58"/>
      <c r="AV215" s="58"/>
      <c r="AW215" s="58"/>
      <c r="AX215" s="58"/>
      <c r="AY215" s="58"/>
      <c r="AZ215" s="58"/>
    </row>
    <row r="216" spans="1:52" x14ac:dyDescent="0.25">
      <c r="A216" s="58"/>
      <c r="B216" s="58"/>
      <c r="C216" s="58"/>
      <c r="D216" s="58"/>
      <c r="E216" s="58"/>
      <c r="F216" s="58"/>
      <c r="G216" s="58"/>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c r="AE216" s="58"/>
      <c r="AF216" s="58"/>
      <c r="AG216" s="58"/>
      <c r="AH216" s="58"/>
      <c r="AI216" s="58"/>
      <c r="AJ216" s="58"/>
      <c r="AK216" s="58"/>
      <c r="AL216" s="58"/>
      <c r="AM216" s="58"/>
      <c r="AN216" s="58"/>
      <c r="AO216" s="58"/>
      <c r="AP216" s="58"/>
      <c r="AQ216" s="58"/>
      <c r="AR216" s="58"/>
      <c r="AS216" s="58"/>
      <c r="AT216" s="58"/>
      <c r="AU216" s="58"/>
      <c r="AV216" s="58"/>
      <c r="AW216" s="58"/>
      <c r="AX216" s="58"/>
      <c r="AY216" s="58"/>
      <c r="AZ216" s="58"/>
    </row>
    <row r="217" spans="1:52" x14ac:dyDescent="0.25">
      <c r="A217" s="58"/>
      <c r="B217" s="58"/>
      <c r="C217" s="58"/>
      <c r="D217" s="58"/>
      <c r="E217" s="58"/>
      <c r="F217" s="58"/>
      <c r="G217" s="58"/>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c r="AE217" s="58"/>
      <c r="AF217" s="58"/>
      <c r="AG217" s="58"/>
      <c r="AH217" s="58"/>
      <c r="AI217" s="58"/>
      <c r="AJ217" s="58"/>
      <c r="AK217" s="58"/>
      <c r="AL217" s="58"/>
      <c r="AM217" s="58"/>
      <c r="AN217" s="58"/>
      <c r="AO217" s="58"/>
      <c r="AP217" s="58"/>
      <c r="AQ217" s="58"/>
      <c r="AR217" s="58"/>
      <c r="AS217" s="58"/>
      <c r="AT217" s="58"/>
      <c r="AU217" s="58"/>
      <c r="AV217" s="58"/>
      <c r="AW217" s="58"/>
      <c r="AX217" s="58"/>
      <c r="AY217" s="58"/>
      <c r="AZ217" s="58"/>
    </row>
    <row r="218" spans="1:52" x14ac:dyDescent="0.25">
      <c r="A218" s="58"/>
      <c r="B218" s="58"/>
      <c r="C218" s="58"/>
      <c r="D218" s="58"/>
      <c r="E218" s="58"/>
      <c r="F218" s="58"/>
      <c r="G218" s="58"/>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c r="AE218" s="58"/>
      <c r="AF218" s="58"/>
      <c r="AG218" s="58"/>
      <c r="AH218" s="58"/>
      <c r="AI218" s="58"/>
      <c r="AJ218" s="58"/>
      <c r="AK218" s="58"/>
      <c r="AL218" s="58"/>
      <c r="AM218" s="58"/>
      <c r="AN218" s="58"/>
      <c r="AO218" s="58"/>
      <c r="AP218" s="58"/>
      <c r="AQ218" s="58"/>
      <c r="AR218" s="58"/>
      <c r="AS218" s="58"/>
      <c r="AT218" s="58"/>
      <c r="AU218" s="58"/>
      <c r="AV218" s="58"/>
      <c r="AW218" s="58"/>
      <c r="AX218" s="58"/>
      <c r="AY218" s="58"/>
      <c r="AZ218" s="58"/>
    </row>
    <row r="219" spans="1:52" x14ac:dyDescent="0.25">
      <c r="A219" s="58"/>
      <c r="B219" s="58"/>
      <c r="C219" s="58"/>
      <c r="D219" s="58"/>
      <c r="E219" s="58"/>
      <c r="F219" s="58"/>
      <c r="G219" s="58"/>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c r="AE219" s="58"/>
      <c r="AF219" s="58"/>
      <c r="AG219" s="58"/>
      <c r="AH219" s="58"/>
      <c r="AI219" s="58"/>
      <c r="AJ219" s="58"/>
      <c r="AK219" s="58"/>
      <c r="AL219" s="58"/>
      <c r="AM219" s="58"/>
      <c r="AN219" s="58"/>
      <c r="AO219" s="58"/>
      <c r="AP219" s="58"/>
      <c r="AQ219" s="58"/>
      <c r="AR219" s="58"/>
      <c r="AS219" s="58"/>
      <c r="AT219" s="58"/>
      <c r="AU219" s="58"/>
      <c r="AV219" s="58"/>
      <c r="AW219" s="58"/>
      <c r="AX219" s="58"/>
      <c r="AY219" s="58"/>
      <c r="AZ219" s="58"/>
    </row>
    <row r="220" spans="1:52" x14ac:dyDescent="0.25">
      <c r="A220" s="58"/>
      <c r="B220" s="58"/>
      <c r="C220" s="58"/>
      <c r="D220" s="58"/>
      <c r="E220" s="58"/>
      <c r="F220" s="58"/>
      <c r="G220" s="58"/>
      <c r="H220" s="58"/>
      <c r="I220" s="58"/>
      <c r="J220" s="58"/>
      <c r="K220" s="58"/>
      <c r="L220" s="58"/>
      <c r="M220" s="58"/>
      <c r="N220" s="58"/>
      <c r="O220" s="58"/>
      <c r="P220" s="58"/>
      <c r="Q220" s="58"/>
      <c r="R220" s="58"/>
      <c r="S220" s="58"/>
      <c r="T220" s="58"/>
      <c r="U220" s="58"/>
      <c r="V220" s="58"/>
      <c r="W220" s="58"/>
      <c r="X220" s="58"/>
      <c r="Y220" s="58"/>
      <c r="Z220" s="58"/>
      <c r="AA220" s="58"/>
      <c r="AB220" s="58"/>
      <c r="AC220" s="58"/>
      <c r="AD220" s="58"/>
      <c r="AE220" s="58"/>
      <c r="AF220" s="58"/>
      <c r="AG220" s="58"/>
      <c r="AH220" s="58"/>
      <c r="AI220" s="58"/>
      <c r="AJ220" s="58"/>
      <c r="AK220" s="58"/>
      <c r="AL220" s="58"/>
      <c r="AM220" s="58"/>
      <c r="AN220" s="58"/>
      <c r="AO220" s="58"/>
      <c r="AP220" s="58"/>
      <c r="AQ220" s="58"/>
      <c r="AR220" s="58"/>
      <c r="AS220" s="58"/>
      <c r="AT220" s="58"/>
      <c r="AU220" s="58"/>
      <c r="AV220" s="58"/>
      <c r="AW220" s="58"/>
      <c r="AX220" s="58"/>
      <c r="AY220" s="58"/>
      <c r="AZ220" s="58"/>
    </row>
  </sheetData>
  <sheetProtection sort="0" autoFilter="0" pivotTables="0"/>
  <mergeCells count="1">
    <mergeCell ref="B2:D2"/>
  </mergeCells>
  <pageMargins left="0.511811024" right="0.511811024" top="0.78740157499999996" bottom="0.78740157499999996" header="0.31496062000000002" footer="0.31496062000000002"/>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tabColor rgb="FF22C55E"/>
  </sheetPr>
  <dimension ref="A1:AZ420"/>
  <sheetViews>
    <sheetView showGridLines="0" workbookViewId="0">
      <pane ySplit="12" topLeftCell="A13" activePane="bottomLeft" state="frozen"/>
      <selection pane="bottomLeft" activeCell="C4" sqref="C4"/>
    </sheetView>
  </sheetViews>
  <sheetFormatPr defaultColWidth="0" defaultRowHeight="14.25" zeroHeight="1" x14ac:dyDescent="0.25"/>
  <cols>
    <col min="1" max="1" width="24.7109375" style="54" customWidth="1"/>
    <col min="2" max="2" width="42.7109375" style="54" customWidth="1"/>
    <col min="3" max="3" width="14.7109375" style="54" customWidth="1"/>
    <col min="4" max="4" width="18.7109375" style="54" customWidth="1"/>
    <col min="5" max="5" width="12.7109375" style="54" customWidth="1"/>
    <col min="6" max="8" width="16.7109375" style="54" customWidth="1"/>
    <col min="9" max="9" width="9.140625" style="54" hidden="1" customWidth="1"/>
    <col min="10" max="13" width="9.7109375" style="54" customWidth="1"/>
    <col min="14" max="16384" width="9.140625" style="54" hidden="1"/>
  </cols>
  <sheetData>
    <row r="1" spans="1:52" x14ac:dyDescent="0.25">
      <c r="A1" s="58"/>
      <c r="B1" s="58"/>
      <c r="C1" s="58"/>
      <c r="D1" s="58"/>
      <c r="E1" s="58"/>
      <c r="F1" s="58"/>
      <c r="G1" s="58"/>
      <c r="H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c r="AK1" s="58"/>
      <c r="AL1" s="58"/>
      <c r="AM1" s="58"/>
      <c r="AN1" s="58"/>
      <c r="AO1" s="58"/>
      <c r="AP1" s="58"/>
      <c r="AQ1" s="58"/>
      <c r="AR1" s="58"/>
      <c r="AS1" s="58"/>
      <c r="AT1" s="58"/>
      <c r="AU1" s="58"/>
      <c r="AV1" s="58"/>
      <c r="AW1" s="58"/>
      <c r="AX1" s="58"/>
      <c r="AY1" s="58"/>
      <c r="AZ1" s="58"/>
    </row>
    <row r="2" spans="1:52" ht="26.25" customHeight="1" x14ac:dyDescent="0.45">
      <c r="A2" s="58"/>
      <c r="B2" s="219" t="s">
        <v>132</v>
      </c>
      <c r="C2" s="217"/>
      <c r="D2" s="217"/>
      <c r="E2" s="217"/>
      <c r="F2" s="217"/>
      <c r="G2" s="217"/>
      <c r="H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c r="AK2" s="58"/>
      <c r="AL2" s="58"/>
      <c r="AM2" s="58"/>
      <c r="AN2" s="58"/>
      <c r="AO2" s="58"/>
      <c r="AP2" s="58"/>
      <c r="AQ2" s="58"/>
      <c r="AR2" s="58"/>
      <c r="AS2" s="58"/>
      <c r="AT2" s="58"/>
      <c r="AU2" s="58"/>
      <c r="AV2" s="58"/>
      <c r="AW2" s="58"/>
      <c r="AX2" s="58"/>
      <c r="AY2" s="58"/>
      <c r="AZ2" s="58"/>
    </row>
    <row r="3" spans="1:52" x14ac:dyDescent="0.25">
      <c r="A3" s="58"/>
      <c r="B3" s="58"/>
      <c r="C3" s="58"/>
      <c r="D3" s="58"/>
      <c r="E3" s="58"/>
      <c r="F3" s="58"/>
      <c r="G3" s="58"/>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row>
    <row r="4" spans="1:52" x14ac:dyDescent="0.25">
      <c r="A4" s="58"/>
      <c r="B4" s="59" t="s">
        <v>1</v>
      </c>
      <c r="C4" s="102"/>
      <c r="D4" s="102"/>
      <c r="E4" s="102"/>
      <c r="F4" s="59"/>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row>
    <row r="5" spans="1:52" x14ac:dyDescent="0.25">
      <c r="A5" s="58"/>
      <c r="B5" s="59"/>
      <c r="C5" s="59"/>
      <c r="D5" s="59"/>
      <c r="E5" s="59"/>
      <c r="F5" s="59"/>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row>
    <row r="6" spans="1:52" x14ac:dyDescent="0.25">
      <c r="A6" s="58"/>
      <c r="B6" s="59" t="s">
        <v>2</v>
      </c>
      <c r="C6" s="102"/>
      <c r="D6" s="102"/>
      <c r="E6" s="102"/>
      <c r="F6" s="102"/>
      <c r="G6" s="103"/>
      <c r="H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c r="AK6" s="58"/>
      <c r="AL6" s="58"/>
      <c r="AM6" s="58"/>
      <c r="AN6" s="58"/>
      <c r="AO6" s="58"/>
      <c r="AP6" s="58"/>
      <c r="AQ6" s="58"/>
      <c r="AR6" s="58"/>
      <c r="AS6" s="58"/>
      <c r="AT6" s="58"/>
      <c r="AU6" s="58"/>
      <c r="AV6" s="58"/>
      <c r="AW6" s="58"/>
      <c r="AX6" s="58"/>
      <c r="AY6" s="58"/>
      <c r="AZ6" s="58"/>
    </row>
    <row r="7" spans="1:52" x14ac:dyDescent="0.25">
      <c r="A7" s="58"/>
      <c r="B7" s="59"/>
      <c r="C7" s="59"/>
      <c r="D7" s="59"/>
      <c r="E7" s="59"/>
      <c r="F7" s="59"/>
      <c r="G7" s="58"/>
      <c r="H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c r="AK7" s="58"/>
      <c r="AL7" s="58"/>
      <c r="AM7" s="58"/>
      <c r="AN7" s="58"/>
      <c r="AO7" s="58"/>
      <c r="AP7" s="58"/>
      <c r="AQ7" s="58"/>
      <c r="AR7" s="58"/>
      <c r="AS7" s="58"/>
      <c r="AT7" s="58"/>
      <c r="AU7" s="58"/>
      <c r="AV7" s="58"/>
      <c r="AW7" s="58"/>
      <c r="AX7" s="58"/>
      <c r="AY7" s="58"/>
      <c r="AZ7" s="58"/>
    </row>
    <row r="8" spans="1:52" x14ac:dyDescent="0.25">
      <c r="A8" s="58"/>
      <c r="B8" s="59" t="s">
        <v>3</v>
      </c>
      <c r="C8" s="102" t="s">
        <v>70</v>
      </c>
      <c r="D8" s="59" t="s">
        <v>130</v>
      </c>
      <c r="E8" s="102" t="s">
        <v>118</v>
      </c>
      <c r="F8" s="59" t="s">
        <v>133</v>
      </c>
      <c r="G8" s="103" t="s">
        <v>8</v>
      </c>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S8" s="58"/>
      <c r="AT8" s="58"/>
      <c r="AU8" s="58"/>
      <c r="AV8" s="58"/>
      <c r="AW8" s="58"/>
      <c r="AX8" s="58"/>
      <c r="AY8" s="58"/>
      <c r="AZ8" s="58"/>
    </row>
    <row r="9" spans="1:52" x14ac:dyDescent="0.25">
      <c r="A9" s="58"/>
      <c r="B9" s="58"/>
      <c r="C9" s="58"/>
      <c r="D9" s="58"/>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R9" s="58"/>
      <c r="AS9" s="58"/>
      <c r="AT9" s="58"/>
      <c r="AU9" s="58"/>
      <c r="AV9" s="58"/>
      <c r="AW9" s="58"/>
      <c r="AX9" s="58"/>
      <c r="AY9" s="58"/>
      <c r="AZ9" s="58"/>
    </row>
    <row r="10" spans="1:52" x14ac:dyDescent="0.25">
      <c r="A10" s="58"/>
      <c r="B10" s="58"/>
      <c r="C10" s="58"/>
      <c r="D10" s="58"/>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58"/>
      <c r="AM10" s="58"/>
      <c r="AN10" s="58"/>
      <c r="AO10" s="58"/>
      <c r="AP10" s="58"/>
      <c r="AQ10" s="58"/>
      <c r="AR10" s="58"/>
      <c r="AS10" s="58"/>
      <c r="AT10" s="58"/>
      <c r="AU10" s="58"/>
      <c r="AV10" s="58"/>
      <c r="AW10" s="58"/>
      <c r="AX10" s="58"/>
      <c r="AY10" s="58"/>
      <c r="AZ10" s="58"/>
    </row>
    <row r="11" spans="1:52" x14ac:dyDescent="0.25">
      <c r="A11" s="58"/>
      <c r="B11" s="58"/>
      <c r="C11" s="58"/>
      <c r="D11" s="58"/>
      <c r="E11" s="58"/>
      <c r="F11" s="58"/>
      <c r="G11" s="58"/>
      <c r="H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c r="AK11" s="58"/>
      <c r="AL11" s="58"/>
      <c r="AM11" s="58"/>
      <c r="AN11" s="58"/>
      <c r="AO11" s="58"/>
      <c r="AP11" s="58"/>
      <c r="AQ11" s="58"/>
      <c r="AR11" s="58"/>
      <c r="AS11" s="58"/>
      <c r="AT11" s="58"/>
      <c r="AU11" s="58"/>
      <c r="AV11" s="58"/>
      <c r="AW11" s="58"/>
      <c r="AX11" s="58"/>
      <c r="AY11" s="58"/>
      <c r="AZ11" s="58"/>
    </row>
    <row r="12" spans="1:52" x14ac:dyDescent="0.25">
      <c r="A12" s="62" t="s">
        <v>1</v>
      </c>
      <c r="B12" s="62" t="s">
        <v>2</v>
      </c>
      <c r="C12" s="62" t="s">
        <v>3</v>
      </c>
      <c r="D12" s="62" t="s">
        <v>130</v>
      </c>
      <c r="E12" s="62" t="s">
        <v>133</v>
      </c>
      <c r="F12" s="58" t="s">
        <v>2186</v>
      </c>
      <c r="G12" s="58"/>
      <c r="H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c r="AK12" s="58"/>
      <c r="AL12" s="58"/>
      <c r="AM12" s="58"/>
      <c r="AN12" s="58"/>
      <c r="AO12" s="58"/>
      <c r="AP12" s="58"/>
      <c r="AQ12" s="58"/>
      <c r="AR12" s="58"/>
      <c r="AS12" s="58"/>
      <c r="AT12" s="58"/>
      <c r="AU12" s="58"/>
      <c r="AV12" s="58"/>
      <c r="AW12" s="58"/>
      <c r="AX12" s="58"/>
      <c r="AY12" s="58"/>
      <c r="AZ12" s="58"/>
    </row>
    <row r="13" spans="1:52" x14ac:dyDescent="0.25">
      <c r="A13" s="105" t="s">
        <v>6</v>
      </c>
      <c r="B13" s="105" t="s">
        <v>7</v>
      </c>
      <c r="C13" s="105" t="s">
        <v>8</v>
      </c>
      <c r="D13" s="105" t="s">
        <v>118</v>
      </c>
      <c r="E13" s="105" t="s">
        <v>8</v>
      </c>
      <c r="F13" s="58" t="s">
        <v>2122</v>
      </c>
      <c r="G13" s="58"/>
      <c r="H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c r="AK13" s="58"/>
      <c r="AL13" s="58"/>
      <c r="AM13" s="58"/>
      <c r="AN13" s="58"/>
      <c r="AO13" s="58"/>
      <c r="AP13" s="58"/>
      <c r="AQ13" s="58"/>
      <c r="AR13" s="58"/>
      <c r="AS13" s="58"/>
      <c r="AT13" s="58"/>
      <c r="AU13" s="58"/>
      <c r="AV13" s="58"/>
      <c r="AW13" s="58"/>
      <c r="AX13" s="58"/>
      <c r="AY13" s="58"/>
      <c r="AZ13" s="58"/>
    </row>
    <row r="14" spans="1:52" x14ac:dyDescent="0.25">
      <c r="A14" s="105" t="s">
        <v>6</v>
      </c>
      <c r="B14" s="105" t="s">
        <v>9</v>
      </c>
      <c r="C14" s="105" t="s">
        <v>8</v>
      </c>
      <c r="D14" s="105" t="s">
        <v>118</v>
      </c>
      <c r="E14" s="105" t="s">
        <v>8</v>
      </c>
      <c r="F14" s="58" t="s">
        <v>2123</v>
      </c>
      <c r="G14" s="58"/>
      <c r="H14" s="58"/>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c r="AK14" s="58"/>
      <c r="AL14" s="58"/>
      <c r="AM14" s="58"/>
      <c r="AN14" s="58"/>
      <c r="AO14" s="58"/>
      <c r="AP14" s="58"/>
      <c r="AQ14" s="58"/>
      <c r="AR14" s="58"/>
      <c r="AS14" s="58"/>
      <c r="AT14" s="58"/>
      <c r="AU14" s="58"/>
      <c r="AV14" s="58"/>
      <c r="AW14" s="58"/>
      <c r="AX14" s="58"/>
      <c r="AY14" s="58"/>
      <c r="AZ14" s="58"/>
    </row>
    <row r="15" spans="1:52" x14ac:dyDescent="0.25">
      <c r="A15" s="105" t="s">
        <v>6</v>
      </c>
      <c r="B15" s="105" t="s">
        <v>10</v>
      </c>
      <c r="C15" s="105" t="s">
        <v>8</v>
      </c>
      <c r="D15" s="105" t="s">
        <v>118</v>
      </c>
      <c r="E15" s="105" t="s">
        <v>8</v>
      </c>
      <c r="F15" s="58" t="s">
        <v>2124</v>
      </c>
      <c r="G15" s="58"/>
      <c r="H15" s="58"/>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c r="AK15" s="58"/>
      <c r="AL15" s="58"/>
      <c r="AM15" s="58"/>
      <c r="AN15" s="58"/>
      <c r="AO15" s="58"/>
      <c r="AP15" s="58"/>
      <c r="AQ15" s="58"/>
      <c r="AR15" s="58"/>
      <c r="AS15" s="58"/>
      <c r="AT15" s="58"/>
      <c r="AU15" s="58"/>
      <c r="AV15" s="58"/>
      <c r="AW15" s="58"/>
      <c r="AX15" s="58"/>
      <c r="AY15" s="58"/>
      <c r="AZ15" s="58"/>
    </row>
    <row r="16" spans="1:52" x14ac:dyDescent="0.25">
      <c r="A16" s="105" t="s">
        <v>6</v>
      </c>
      <c r="B16" s="105" t="s">
        <v>11</v>
      </c>
      <c r="C16" s="105" t="s">
        <v>8</v>
      </c>
      <c r="D16" s="105" t="s">
        <v>118</v>
      </c>
      <c r="E16" s="105" t="s">
        <v>8</v>
      </c>
      <c r="F16" s="58" t="s">
        <v>2125</v>
      </c>
      <c r="G16" s="58"/>
      <c r="H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8"/>
      <c r="AQ16" s="58"/>
      <c r="AR16" s="58"/>
      <c r="AS16" s="58"/>
      <c r="AT16" s="58"/>
      <c r="AU16" s="58"/>
      <c r="AV16" s="58"/>
      <c r="AW16" s="58"/>
      <c r="AX16" s="58"/>
      <c r="AY16" s="58"/>
      <c r="AZ16" s="58"/>
    </row>
    <row r="17" spans="1:52" x14ac:dyDescent="0.25">
      <c r="A17" s="105" t="s">
        <v>6</v>
      </c>
      <c r="B17" s="105" t="s">
        <v>12</v>
      </c>
      <c r="C17" s="105" t="s">
        <v>8</v>
      </c>
      <c r="D17" s="105" t="s">
        <v>118</v>
      </c>
      <c r="E17" s="105" t="s">
        <v>8</v>
      </c>
      <c r="F17" s="58" t="s">
        <v>2126</v>
      </c>
      <c r="G17" s="58"/>
      <c r="H17" s="58"/>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c r="AK17" s="58"/>
      <c r="AL17" s="58"/>
      <c r="AM17" s="58"/>
      <c r="AN17" s="58"/>
      <c r="AO17" s="58"/>
      <c r="AP17" s="58"/>
      <c r="AQ17" s="58"/>
      <c r="AR17" s="58"/>
      <c r="AS17" s="58"/>
      <c r="AT17" s="58"/>
      <c r="AU17" s="58"/>
      <c r="AV17" s="58"/>
      <c r="AW17" s="58"/>
      <c r="AX17" s="58"/>
      <c r="AY17" s="58"/>
      <c r="AZ17" s="58"/>
    </row>
    <row r="18" spans="1:52" x14ac:dyDescent="0.25">
      <c r="A18" s="105" t="s">
        <v>6</v>
      </c>
      <c r="B18" s="105" t="s">
        <v>13</v>
      </c>
      <c r="C18" s="105" t="s">
        <v>8</v>
      </c>
      <c r="D18" s="105" t="s">
        <v>118</v>
      </c>
      <c r="E18" s="105" t="s">
        <v>8</v>
      </c>
      <c r="F18" s="58" t="s">
        <v>2127</v>
      </c>
      <c r="G18" s="58"/>
      <c r="H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c r="AY18" s="58"/>
      <c r="AZ18" s="58"/>
    </row>
    <row r="19" spans="1:52" x14ac:dyDescent="0.25">
      <c r="A19" s="105" t="s">
        <v>6</v>
      </c>
      <c r="B19" s="105" t="s">
        <v>14</v>
      </c>
      <c r="C19" s="105" t="s">
        <v>8</v>
      </c>
      <c r="D19" s="105" t="s">
        <v>118</v>
      </c>
      <c r="E19" s="105" t="s">
        <v>8</v>
      </c>
      <c r="F19" s="58" t="s">
        <v>2128</v>
      </c>
      <c r="G19" s="58"/>
      <c r="H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c r="AK19" s="58"/>
      <c r="AL19" s="58"/>
      <c r="AM19" s="58"/>
      <c r="AN19" s="58"/>
      <c r="AO19" s="58"/>
      <c r="AP19" s="58"/>
      <c r="AQ19" s="58"/>
      <c r="AR19" s="58"/>
      <c r="AS19" s="58"/>
      <c r="AT19" s="58"/>
      <c r="AU19" s="58"/>
      <c r="AV19" s="58"/>
      <c r="AW19" s="58"/>
      <c r="AX19" s="58"/>
      <c r="AY19" s="58"/>
      <c r="AZ19" s="58"/>
    </row>
    <row r="20" spans="1:52" x14ac:dyDescent="0.25">
      <c r="A20" s="105" t="s">
        <v>15</v>
      </c>
      <c r="B20" s="105" t="s">
        <v>16</v>
      </c>
      <c r="C20" s="105" t="s">
        <v>17</v>
      </c>
      <c r="D20" s="105" t="s">
        <v>118</v>
      </c>
      <c r="E20" s="105" t="s">
        <v>8</v>
      </c>
      <c r="F20" s="58" t="s">
        <v>2129</v>
      </c>
      <c r="G20" s="58"/>
      <c r="H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8"/>
      <c r="AQ20" s="58"/>
      <c r="AR20" s="58"/>
      <c r="AS20" s="58"/>
      <c r="AT20" s="58"/>
      <c r="AU20" s="58"/>
      <c r="AV20" s="58"/>
      <c r="AW20" s="58"/>
      <c r="AX20" s="58"/>
      <c r="AY20" s="58"/>
      <c r="AZ20" s="58"/>
    </row>
    <row r="21" spans="1:52" x14ac:dyDescent="0.25">
      <c r="A21" s="105" t="s">
        <v>15</v>
      </c>
      <c r="B21" s="105" t="s">
        <v>18</v>
      </c>
      <c r="C21" s="105" t="s">
        <v>17</v>
      </c>
      <c r="D21" s="105" t="s">
        <v>118</v>
      </c>
      <c r="E21" s="105" t="s">
        <v>8</v>
      </c>
      <c r="F21" s="58" t="s">
        <v>2130</v>
      </c>
      <c r="G21" s="58"/>
      <c r="H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c r="AK21" s="58"/>
      <c r="AL21" s="58"/>
      <c r="AM21" s="58"/>
      <c r="AN21" s="58"/>
      <c r="AO21" s="58"/>
      <c r="AP21" s="58"/>
      <c r="AQ21" s="58"/>
      <c r="AR21" s="58"/>
      <c r="AS21" s="58"/>
      <c r="AT21" s="58"/>
      <c r="AU21" s="58"/>
      <c r="AV21" s="58"/>
      <c r="AW21" s="58"/>
      <c r="AX21" s="58"/>
      <c r="AY21" s="58"/>
      <c r="AZ21" s="58"/>
    </row>
    <row r="22" spans="1:52" x14ac:dyDescent="0.25">
      <c r="A22" s="105" t="s">
        <v>15</v>
      </c>
      <c r="B22" s="105" t="s">
        <v>19</v>
      </c>
      <c r="C22" s="105" t="s">
        <v>17</v>
      </c>
      <c r="D22" s="105" t="s">
        <v>118</v>
      </c>
      <c r="E22" s="105" t="s">
        <v>8</v>
      </c>
      <c r="F22" s="58" t="s">
        <v>2131</v>
      </c>
      <c r="G22" s="58"/>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8"/>
      <c r="AQ22" s="58"/>
      <c r="AR22" s="58"/>
      <c r="AS22" s="58"/>
      <c r="AT22" s="58"/>
      <c r="AU22" s="58"/>
      <c r="AV22" s="58"/>
      <c r="AW22" s="58"/>
      <c r="AX22" s="58"/>
      <c r="AY22" s="58"/>
      <c r="AZ22" s="58"/>
    </row>
    <row r="23" spans="1:52" x14ac:dyDescent="0.25">
      <c r="A23" s="105" t="s">
        <v>20</v>
      </c>
      <c r="B23" s="105" t="s">
        <v>21</v>
      </c>
      <c r="C23" s="105" t="s">
        <v>70</v>
      </c>
      <c r="D23" s="105" t="s">
        <v>118</v>
      </c>
      <c r="E23" s="105" t="s">
        <v>8</v>
      </c>
      <c r="F23" s="58" t="s">
        <v>2132</v>
      </c>
      <c r="G23" s="58"/>
      <c r="H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c r="AK23" s="58"/>
      <c r="AL23" s="58"/>
      <c r="AM23" s="58"/>
      <c r="AN23" s="58"/>
      <c r="AO23" s="58"/>
      <c r="AP23" s="58"/>
      <c r="AQ23" s="58"/>
      <c r="AR23" s="58"/>
      <c r="AS23" s="58"/>
      <c r="AT23" s="58"/>
      <c r="AU23" s="58"/>
      <c r="AV23" s="58"/>
      <c r="AW23" s="58"/>
      <c r="AX23" s="58"/>
      <c r="AY23" s="58"/>
      <c r="AZ23" s="58"/>
    </row>
    <row r="24" spans="1:52" x14ac:dyDescent="0.25">
      <c r="A24" s="105" t="s">
        <v>20</v>
      </c>
      <c r="B24" s="105" t="s">
        <v>22</v>
      </c>
      <c r="C24" s="105" t="s">
        <v>70</v>
      </c>
      <c r="D24" s="105" t="s">
        <v>118</v>
      </c>
      <c r="E24" s="105" t="s">
        <v>8</v>
      </c>
      <c r="F24" s="58" t="s">
        <v>2133</v>
      </c>
      <c r="G24" s="58"/>
      <c r="H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c r="AK24" s="58"/>
      <c r="AL24" s="58"/>
      <c r="AM24" s="58"/>
      <c r="AN24" s="58"/>
      <c r="AO24" s="58"/>
      <c r="AP24" s="58"/>
      <c r="AQ24" s="58"/>
      <c r="AR24" s="58"/>
      <c r="AS24" s="58"/>
      <c r="AT24" s="58"/>
      <c r="AU24" s="58"/>
      <c r="AV24" s="58"/>
      <c r="AW24" s="58"/>
      <c r="AX24" s="58"/>
      <c r="AY24" s="58"/>
      <c r="AZ24" s="58"/>
    </row>
    <row r="25" spans="1:52" x14ac:dyDescent="0.25">
      <c r="A25" s="105" t="s">
        <v>20</v>
      </c>
      <c r="B25" s="105" t="s">
        <v>23</v>
      </c>
      <c r="C25" s="105" t="s">
        <v>70</v>
      </c>
      <c r="D25" s="105" t="s">
        <v>118</v>
      </c>
      <c r="E25" s="105" t="s">
        <v>8</v>
      </c>
      <c r="F25" s="58" t="s">
        <v>2134</v>
      </c>
      <c r="G25" s="58"/>
      <c r="H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c r="AK25" s="58"/>
      <c r="AL25" s="58"/>
      <c r="AM25" s="58"/>
      <c r="AN25" s="58"/>
      <c r="AO25" s="58"/>
      <c r="AP25" s="58"/>
      <c r="AQ25" s="58"/>
      <c r="AR25" s="58"/>
      <c r="AS25" s="58"/>
      <c r="AT25" s="58"/>
      <c r="AU25" s="58"/>
      <c r="AV25" s="58"/>
      <c r="AW25" s="58"/>
      <c r="AX25" s="58"/>
      <c r="AY25" s="58"/>
      <c r="AZ25" s="58"/>
    </row>
    <row r="26" spans="1:52" x14ac:dyDescent="0.25">
      <c r="A26" s="105" t="s">
        <v>20</v>
      </c>
      <c r="B26" s="105" t="s">
        <v>24</v>
      </c>
      <c r="C26" s="105" t="s">
        <v>70</v>
      </c>
      <c r="D26" s="105" t="s">
        <v>118</v>
      </c>
      <c r="E26" s="105" t="s">
        <v>8</v>
      </c>
      <c r="F26" s="58" t="s">
        <v>2135</v>
      </c>
      <c r="G26" s="58"/>
      <c r="H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8"/>
      <c r="AQ26" s="58"/>
      <c r="AR26" s="58"/>
      <c r="AS26" s="58"/>
      <c r="AT26" s="58"/>
      <c r="AU26" s="58"/>
      <c r="AV26" s="58"/>
      <c r="AW26" s="58"/>
      <c r="AX26" s="58"/>
      <c r="AY26" s="58"/>
      <c r="AZ26" s="58"/>
    </row>
    <row r="27" spans="1:52" x14ac:dyDescent="0.25">
      <c r="A27" s="105" t="s">
        <v>20</v>
      </c>
      <c r="B27" s="105" t="s">
        <v>25</v>
      </c>
      <c r="C27" s="105" t="s">
        <v>70</v>
      </c>
      <c r="D27" s="105" t="s">
        <v>118</v>
      </c>
      <c r="E27" s="105" t="s">
        <v>8</v>
      </c>
      <c r="F27" s="58" t="s">
        <v>2136</v>
      </c>
      <c r="G27" s="58"/>
      <c r="H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c r="AK27" s="58"/>
      <c r="AL27" s="58"/>
      <c r="AM27" s="58"/>
      <c r="AN27" s="58"/>
      <c r="AO27" s="58"/>
      <c r="AP27" s="58"/>
      <c r="AQ27" s="58"/>
      <c r="AR27" s="58"/>
      <c r="AS27" s="58"/>
      <c r="AT27" s="58"/>
      <c r="AU27" s="58"/>
      <c r="AV27" s="58"/>
      <c r="AW27" s="58"/>
      <c r="AX27" s="58"/>
      <c r="AY27" s="58"/>
      <c r="AZ27" s="58"/>
    </row>
    <row r="28" spans="1:52" x14ac:dyDescent="0.25">
      <c r="A28" s="105" t="s">
        <v>20</v>
      </c>
      <c r="B28" s="105" t="s">
        <v>26</v>
      </c>
      <c r="C28" s="105" t="s">
        <v>70</v>
      </c>
      <c r="D28" s="105" t="s">
        <v>118</v>
      </c>
      <c r="E28" s="105" t="s">
        <v>8</v>
      </c>
      <c r="F28" s="58" t="s">
        <v>2137</v>
      </c>
      <c r="G28" s="58"/>
      <c r="H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c r="AK28" s="58"/>
      <c r="AL28" s="58"/>
      <c r="AM28" s="58"/>
      <c r="AN28" s="58"/>
      <c r="AO28" s="58"/>
      <c r="AP28" s="58"/>
      <c r="AQ28" s="58"/>
      <c r="AR28" s="58"/>
      <c r="AS28" s="58"/>
      <c r="AT28" s="58"/>
      <c r="AU28" s="58"/>
      <c r="AV28" s="58"/>
      <c r="AW28" s="58"/>
      <c r="AX28" s="58"/>
      <c r="AY28" s="58"/>
      <c r="AZ28" s="58"/>
    </row>
    <row r="29" spans="1:52" x14ac:dyDescent="0.25">
      <c r="A29" s="105" t="s">
        <v>20</v>
      </c>
      <c r="B29" s="105" t="s">
        <v>27</v>
      </c>
      <c r="C29" s="105" t="s">
        <v>70</v>
      </c>
      <c r="D29" s="105" t="s">
        <v>118</v>
      </c>
      <c r="E29" s="105" t="s">
        <v>8</v>
      </c>
      <c r="F29" s="58" t="s">
        <v>2138</v>
      </c>
      <c r="G29" s="58"/>
      <c r="H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c r="AK29" s="58"/>
      <c r="AL29" s="58"/>
      <c r="AM29" s="58"/>
      <c r="AN29" s="58"/>
      <c r="AO29" s="58"/>
      <c r="AP29" s="58"/>
      <c r="AQ29" s="58"/>
      <c r="AR29" s="58"/>
      <c r="AS29" s="58"/>
      <c r="AT29" s="58"/>
      <c r="AU29" s="58"/>
      <c r="AV29" s="58"/>
      <c r="AW29" s="58"/>
      <c r="AX29" s="58"/>
      <c r="AY29" s="58"/>
      <c r="AZ29" s="58"/>
    </row>
    <row r="30" spans="1:52" x14ac:dyDescent="0.25">
      <c r="A30" s="105" t="s">
        <v>20</v>
      </c>
      <c r="B30" s="105" t="s">
        <v>28</v>
      </c>
      <c r="C30" s="105" t="s">
        <v>70</v>
      </c>
      <c r="D30" s="105" t="s">
        <v>118</v>
      </c>
      <c r="E30" s="105" t="s">
        <v>8</v>
      </c>
      <c r="F30" s="58" t="s">
        <v>2139</v>
      </c>
      <c r="G30" s="58"/>
      <c r="H30" s="58"/>
      <c r="I30" s="58"/>
      <c r="J30" s="58"/>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8"/>
      <c r="AQ30" s="58"/>
      <c r="AR30" s="58"/>
      <c r="AS30" s="58"/>
      <c r="AT30" s="58"/>
      <c r="AU30" s="58"/>
      <c r="AV30" s="58"/>
      <c r="AW30" s="58"/>
      <c r="AX30" s="58"/>
      <c r="AY30" s="58"/>
      <c r="AZ30" s="58"/>
    </row>
    <row r="31" spans="1:52" x14ac:dyDescent="0.25">
      <c r="A31" s="105" t="s">
        <v>20</v>
      </c>
      <c r="B31" s="105" t="s">
        <v>29</v>
      </c>
      <c r="C31" s="105" t="s">
        <v>70</v>
      </c>
      <c r="D31" s="105" t="s">
        <v>118</v>
      </c>
      <c r="E31" s="105" t="s">
        <v>8</v>
      </c>
      <c r="F31" s="58" t="s">
        <v>2140</v>
      </c>
      <c r="G31" s="58"/>
      <c r="H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c r="AK31" s="58"/>
      <c r="AL31" s="58"/>
      <c r="AM31" s="58"/>
      <c r="AN31" s="58"/>
      <c r="AO31" s="58"/>
      <c r="AP31" s="58"/>
      <c r="AQ31" s="58"/>
      <c r="AR31" s="58"/>
      <c r="AS31" s="58"/>
      <c r="AT31" s="58"/>
      <c r="AU31" s="58"/>
      <c r="AV31" s="58"/>
      <c r="AW31" s="58"/>
      <c r="AX31" s="58"/>
      <c r="AY31" s="58"/>
      <c r="AZ31" s="58"/>
    </row>
    <row r="32" spans="1:52" x14ac:dyDescent="0.25">
      <c r="A32" s="105" t="s">
        <v>30</v>
      </c>
      <c r="B32" s="105" t="s">
        <v>31</v>
      </c>
      <c r="C32" s="105" t="s">
        <v>70</v>
      </c>
      <c r="D32" s="105" t="s">
        <v>118</v>
      </c>
      <c r="E32" s="105" t="s">
        <v>8</v>
      </c>
      <c r="F32" s="58" t="s">
        <v>2142</v>
      </c>
      <c r="G32" s="58"/>
      <c r="H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c r="AK32" s="58"/>
      <c r="AL32" s="58"/>
      <c r="AM32" s="58"/>
      <c r="AN32" s="58"/>
      <c r="AO32" s="58"/>
      <c r="AP32" s="58"/>
      <c r="AQ32" s="58"/>
      <c r="AR32" s="58"/>
      <c r="AS32" s="58"/>
      <c r="AT32" s="58"/>
      <c r="AU32" s="58"/>
      <c r="AV32" s="58"/>
      <c r="AW32" s="58"/>
      <c r="AX32" s="58"/>
      <c r="AY32" s="58"/>
      <c r="AZ32" s="58"/>
    </row>
    <row r="33" spans="1:52" x14ac:dyDescent="0.25">
      <c r="A33" s="105" t="s">
        <v>30</v>
      </c>
      <c r="B33" s="105" t="s">
        <v>32</v>
      </c>
      <c r="C33" s="105" t="s">
        <v>70</v>
      </c>
      <c r="D33" s="105" t="s">
        <v>118</v>
      </c>
      <c r="E33" s="105" t="s">
        <v>8</v>
      </c>
      <c r="F33" s="58" t="s">
        <v>2143</v>
      </c>
      <c r="G33" s="58"/>
      <c r="H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c r="AK33" s="58"/>
      <c r="AL33" s="58"/>
      <c r="AM33" s="58"/>
      <c r="AN33" s="58"/>
      <c r="AO33" s="58"/>
      <c r="AP33" s="58"/>
      <c r="AQ33" s="58"/>
      <c r="AR33" s="58"/>
      <c r="AS33" s="58"/>
      <c r="AT33" s="58"/>
      <c r="AU33" s="58"/>
      <c r="AV33" s="58"/>
      <c r="AW33" s="58"/>
      <c r="AX33" s="58"/>
      <c r="AY33" s="58"/>
      <c r="AZ33" s="58"/>
    </row>
    <row r="34" spans="1:52" x14ac:dyDescent="0.25">
      <c r="A34" s="105" t="s">
        <v>30</v>
      </c>
      <c r="B34" s="105" t="s">
        <v>33</v>
      </c>
      <c r="C34" s="105" t="s">
        <v>70</v>
      </c>
      <c r="D34" s="105" t="s">
        <v>118</v>
      </c>
      <c r="E34" s="105" t="s">
        <v>8</v>
      </c>
      <c r="F34" s="58" t="s">
        <v>2144</v>
      </c>
      <c r="G34" s="58"/>
      <c r="H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row>
    <row r="35" spans="1:52" x14ac:dyDescent="0.25">
      <c r="A35" s="105" t="s">
        <v>30</v>
      </c>
      <c r="B35" s="105" t="s">
        <v>34</v>
      </c>
      <c r="C35" s="105" t="s">
        <v>70</v>
      </c>
      <c r="D35" s="105" t="s">
        <v>118</v>
      </c>
      <c r="E35" s="105" t="s">
        <v>8</v>
      </c>
      <c r="F35" s="58" t="s">
        <v>2145</v>
      </c>
      <c r="G35" s="58"/>
      <c r="H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c r="AK35" s="58"/>
      <c r="AL35" s="58"/>
      <c r="AM35" s="58"/>
      <c r="AN35" s="58"/>
      <c r="AO35" s="58"/>
      <c r="AP35" s="58"/>
      <c r="AQ35" s="58"/>
      <c r="AR35" s="58"/>
      <c r="AS35" s="58"/>
      <c r="AT35" s="58"/>
      <c r="AU35" s="58"/>
      <c r="AV35" s="58"/>
      <c r="AW35" s="58"/>
      <c r="AX35" s="58"/>
      <c r="AY35" s="58"/>
      <c r="AZ35" s="58"/>
    </row>
    <row r="36" spans="1:52" x14ac:dyDescent="0.25">
      <c r="A36" s="105" t="s">
        <v>30</v>
      </c>
      <c r="B36" s="105" t="s">
        <v>35</v>
      </c>
      <c r="C36" s="105" t="s">
        <v>70</v>
      </c>
      <c r="D36" s="105" t="s">
        <v>118</v>
      </c>
      <c r="E36" s="105" t="s">
        <v>8</v>
      </c>
      <c r="F36" s="58" t="s">
        <v>2146</v>
      </c>
      <c r="G36" s="58"/>
      <c r="H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c r="AK36" s="58"/>
      <c r="AL36" s="58"/>
      <c r="AM36" s="58"/>
      <c r="AN36" s="58"/>
      <c r="AO36" s="58"/>
      <c r="AP36" s="58"/>
      <c r="AQ36" s="58"/>
      <c r="AR36" s="58"/>
      <c r="AS36" s="58"/>
      <c r="AT36" s="58"/>
      <c r="AU36" s="58"/>
      <c r="AV36" s="58"/>
      <c r="AW36" s="58"/>
      <c r="AX36" s="58"/>
      <c r="AY36" s="58"/>
      <c r="AZ36" s="58"/>
    </row>
    <row r="37" spans="1:52" x14ac:dyDescent="0.25">
      <c r="A37" s="105" t="s">
        <v>30</v>
      </c>
      <c r="B37" s="105" t="s">
        <v>36</v>
      </c>
      <c r="C37" s="105" t="s">
        <v>70</v>
      </c>
      <c r="D37" s="105" t="s">
        <v>118</v>
      </c>
      <c r="E37" s="105" t="s">
        <v>8</v>
      </c>
      <c r="F37" s="58" t="s">
        <v>2147</v>
      </c>
      <c r="G37" s="58"/>
      <c r="H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c r="AK37" s="58"/>
      <c r="AL37" s="58"/>
      <c r="AM37" s="58"/>
      <c r="AN37" s="58"/>
      <c r="AO37" s="58"/>
      <c r="AP37" s="58"/>
      <c r="AQ37" s="58"/>
      <c r="AR37" s="58"/>
      <c r="AS37" s="58"/>
      <c r="AT37" s="58"/>
      <c r="AU37" s="58"/>
      <c r="AV37" s="58"/>
      <c r="AW37" s="58"/>
      <c r="AX37" s="58"/>
      <c r="AY37" s="58"/>
      <c r="AZ37" s="58"/>
    </row>
    <row r="38" spans="1:52" x14ac:dyDescent="0.25">
      <c r="A38" s="105" t="s">
        <v>30</v>
      </c>
      <c r="B38" s="105" t="s">
        <v>37</v>
      </c>
      <c r="C38" s="105" t="s">
        <v>70</v>
      </c>
      <c r="D38" s="105" t="s">
        <v>118</v>
      </c>
      <c r="E38" s="105" t="s">
        <v>8</v>
      </c>
      <c r="F38" s="58" t="s">
        <v>2148</v>
      </c>
      <c r="G38" s="58"/>
      <c r="H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8"/>
      <c r="AQ38" s="58"/>
      <c r="AR38" s="58"/>
      <c r="AS38" s="58"/>
      <c r="AT38" s="58"/>
      <c r="AU38" s="58"/>
      <c r="AV38" s="58"/>
      <c r="AW38" s="58"/>
      <c r="AX38" s="58"/>
      <c r="AY38" s="58"/>
      <c r="AZ38" s="58"/>
    </row>
    <row r="39" spans="1:52" x14ac:dyDescent="0.25">
      <c r="A39" s="105" t="s">
        <v>30</v>
      </c>
      <c r="B39" s="105" t="s">
        <v>38</v>
      </c>
      <c r="C39" s="105" t="s">
        <v>70</v>
      </c>
      <c r="D39" s="105" t="s">
        <v>118</v>
      </c>
      <c r="E39" s="105" t="s">
        <v>8</v>
      </c>
      <c r="F39" s="58" t="s">
        <v>2149</v>
      </c>
      <c r="G39" s="58"/>
      <c r="H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c r="AK39" s="58"/>
      <c r="AL39" s="58"/>
      <c r="AM39" s="58"/>
      <c r="AN39" s="58"/>
      <c r="AO39" s="58"/>
      <c r="AP39" s="58"/>
      <c r="AQ39" s="58"/>
      <c r="AR39" s="58"/>
      <c r="AS39" s="58"/>
      <c r="AT39" s="58"/>
      <c r="AU39" s="58"/>
      <c r="AV39" s="58"/>
      <c r="AW39" s="58"/>
      <c r="AX39" s="58"/>
      <c r="AY39" s="58"/>
      <c r="AZ39" s="58"/>
    </row>
    <row r="40" spans="1:52" x14ac:dyDescent="0.25">
      <c r="A40" s="105" t="s">
        <v>30</v>
      </c>
      <c r="B40" s="105" t="s">
        <v>39</v>
      </c>
      <c r="C40" s="105" t="s">
        <v>70</v>
      </c>
      <c r="D40" s="105" t="s">
        <v>118</v>
      </c>
      <c r="E40" s="105" t="s">
        <v>8</v>
      </c>
      <c r="F40" s="58" t="s">
        <v>2150</v>
      </c>
      <c r="G40" s="58"/>
      <c r="H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8"/>
      <c r="AQ40" s="58"/>
      <c r="AR40" s="58"/>
      <c r="AS40" s="58"/>
      <c r="AT40" s="58"/>
      <c r="AU40" s="58"/>
      <c r="AV40" s="58"/>
      <c r="AW40" s="58"/>
      <c r="AX40" s="58"/>
      <c r="AY40" s="58"/>
      <c r="AZ40" s="58"/>
    </row>
    <row r="41" spans="1:52" x14ac:dyDescent="0.25">
      <c r="A41" s="105" t="s">
        <v>40</v>
      </c>
      <c r="B41" s="105" t="s">
        <v>41</v>
      </c>
      <c r="C41" s="105" t="s">
        <v>70</v>
      </c>
      <c r="D41" s="105" t="s">
        <v>118</v>
      </c>
      <c r="E41" s="105" t="s">
        <v>8</v>
      </c>
      <c r="F41" s="58" t="s">
        <v>2151</v>
      </c>
      <c r="G41" s="58"/>
      <c r="H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c r="AK41" s="58"/>
      <c r="AL41" s="58"/>
      <c r="AM41" s="58"/>
      <c r="AN41" s="58"/>
      <c r="AO41" s="58"/>
      <c r="AP41" s="58"/>
      <c r="AQ41" s="58"/>
      <c r="AR41" s="58"/>
      <c r="AS41" s="58"/>
      <c r="AT41" s="58"/>
      <c r="AU41" s="58"/>
      <c r="AV41" s="58"/>
      <c r="AW41" s="58"/>
      <c r="AX41" s="58"/>
      <c r="AY41" s="58"/>
      <c r="AZ41" s="58"/>
    </row>
    <row r="42" spans="1:52" x14ac:dyDescent="0.25">
      <c r="A42" s="105" t="s">
        <v>40</v>
      </c>
      <c r="B42" s="105" t="s">
        <v>42</v>
      </c>
      <c r="C42" s="105" t="s">
        <v>70</v>
      </c>
      <c r="D42" s="105" t="s">
        <v>118</v>
      </c>
      <c r="E42" s="105" t="s">
        <v>8</v>
      </c>
      <c r="F42" s="58" t="s">
        <v>2152</v>
      </c>
      <c r="G42" s="58"/>
      <c r="H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8"/>
      <c r="AQ42" s="58"/>
      <c r="AR42" s="58"/>
      <c r="AS42" s="58"/>
      <c r="AT42" s="58"/>
      <c r="AU42" s="58"/>
      <c r="AV42" s="58"/>
      <c r="AW42" s="58"/>
      <c r="AX42" s="58"/>
      <c r="AY42" s="58"/>
      <c r="AZ42" s="58"/>
    </row>
    <row r="43" spans="1:52" x14ac:dyDescent="0.25">
      <c r="A43" s="105" t="s">
        <v>40</v>
      </c>
      <c r="B43" s="105" t="s">
        <v>43</v>
      </c>
      <c r="C43" s="105" t="s">
        <v>70</v>
      </c>
      <c r="D43" s="105" t="s">
        <v>118</v>
      </c>
      <c r="E43" s="105" t="s">
        <v>8</v>
      </c>
      <c r="F43" s="58" t="s">
        <v>2153</v>
      </c>
      <c r="G43" s="58"/>
      <c r="H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c r="AK43" s="58"/>
      <c r="AL43" s="58"/>
      <c r="AM43" s="58"/>
      <c r="AN43" s="58"/>
      <c r="AO43" s="58"/>
      <c r="AP43" s="58"/>
      <c r="AQ43" s="58"/>
      <c r="AR43" s="58"/>
      <c r="AS43" s="58"/>
      <c r="AT43" s="58"/>
      <c r="AU43" s="58"/>
      <c r="AV43" s="58"/>
      <c r="AW43" s="58"/>
      <c r="AX43" s="58"/>
      <c r="AY43" s="58"/>
      <c r="AZ43" s="58"/>
    </row>
    <row r="44" spans="1:52" x14ac:dyDescent="0.25">
      <c r="A44" s="105" t="s">
        <v>40</v>
      </c>
      <c r="B44" s="105" t="s">
        <v>44</v>
      </c>
      <c r="C44" s="105" t="s">
        <v>70</v>
      </c>
      <c r="D44" s="105" t="s">
        <v>118</v>
      </c>
      <c r="E44" s="105" t="s">
        <v>8</v>
      </c>
      <c r="F44" s="58" t="s">
        <v>2155</v>
      </c>
      <c r="G44" s="58"/>
      <c r="H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8"/>
      <c r="AQ44" s="58"/>
      <c r="AR44" s="58"/>
      <c r="AS44" s="58"/>
      <c r="AT44" s="58"/>
      <c r="AU44" s="58"/>
      <c r="AV44" s="58"/>
      <c r="AW44" s="58"/>
      <c r="AX44" s="58"/>
      <c r="AY44" s="58"/>
      <c r="AZ44" s="58"/>
    </row>
    <row r="45" spans="1:52" x14ac:dyDescent="0.25">
      <c r="A45" s="105" t="s">
        <v>45</v>
      </c>
      <c r="B45" s="105" t="s">
        <v>46</v>
      </c>
      <c r="C45" s="105" t="s">
        <v>70</v>
      </c>
      <c r="D45" s="105" t="s">
        <v>118</v>
      </c>
      <c r="E45" s="105" t="s">
        <v>8</v>
      </c>
      <c r="F45" s="58" t="s">
        <v>2156</v>
      </c>
      <c r="G45" s="58"/>
      <c r="H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c r="AK45" s="58"/>
      <c r="AL45" s="58"/>
      <c r="AM45" s="58"/>
      <c r="AN45" s="58"/>
      <c r="AO45" s="58"/>
      <c r="AP45" s="58"/>
      <c r="AQ45" s="58"/>
      <c r="AR45" s="58"/>
      <c r="AS45" s="58"/>
      <c r="AT45" s="58"/>
      <c r="AU45" s="58"/>
      <c r="AV45" s="58"/>
      <c r="AW45" s="58"/>
      <c r="AX45" s="58"/>
      <c r="AY45" s="58"/>
      <c r="AZ45" s="58"/>
    </row>
    <row r="46" spans="1:52" x14ac:dyDescent="0.25">
      <c r="A46" s="105" t="s">
        <v>45</v>
      </c>
      <c r="B46" s="105" t="s">
        <v>47</v>
      </c>
      <c r="C46" s="105" t="s">
        <v>70</v>
      </c>
      <c r="D46" s="105" t="s">
        <v>118</v>
      </c>
      <c r="E46" s="105" t="s">
        <v>8</v>
      </c>
      <c r="F46" s="58" t="s">
        <v>2157</v>
      </c>
      <c r="G46" s="58"/>
      <c r="H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8"/>
      <c r="AQ46" s="58"/>
      <c r="AR46" s="58"/>
      <c r="AS46" s="58"/>
      <c r="AT46" s="58"/>
      <c r="AU46" s="58"/>
      <c r="AV46" s="58"/>
      <c r="AW46" s="58"/>
      <c r="AX46" s="58"/>
      <c r="AY46" s="58"/>
      <c r="AZ46" s="58"/>
    </row>
    <row r="47" spans="1:52" x14ac:dyDescent="0.25">
      <c r="A47" s="105" t="s">
        <v>45</v>
      </c>
      <c r="B47" s="105" t="s">
        <v>48</v>
      </c>
      <c r="C47" s="105" t="s">
        <v>70</v>
      </c>
      <c r="D47" s="105" t="s">
        <v>118</v>
      </c>
      <c r="E47" s="105" t="s">
        <v>8</v>
      </c>
      <c r="F47" s="58" t="s">
        <v>2158</v>
      </c>
      <c r="G47" s="58"/>
      <c r="H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c r="AK47" s="58"/>
      <c r="AL47" s="58"/>
      <c r="AM47" s="58"/>
      <c r="AN47" s="58"/>
      <c r="AO47" s="58"/>
      <c r="AP47" s="58"/>
      <c r="AQ47" s="58"/>
      <c r="AR47" s="58"/>
      <c r="AS47" s="58"/>
      <c r="AT47" s="58"/>
      <c r="AU47" s="58"/>
      <c r="AV47" s="58"/>
      <c r="AW47" s="58"/>
      <c r="AX47" s="58"/>
      <c r="AY47" s="58"/>
      <c r="AZ47" s="58"/>
    </row>
    <row r="48" spans="1:52" x14ac:dyDescent="0.25">
      <c r="A48" s="105" t="s">
        <v>45</v>
      </c>
      <c r="B48" s="105" t="s">
        <v>49</v>
      </c>
      <c r="C48" s="105" t="s">
        <v>70</v>
      </c>
      <c r="D48" s="105" t="s">
        <v>118</v>
      </c>
      <c r="E48" s="105" t="s">
        <v>8</v>
      </c>
      <c r="F48" s="58" t="s">
        <v>2159</v>
      </c>
      <c r="G48" s="58"/>
      <c r="H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8"/>
      <c r="AQ48" s="58"/>
      <c r="AR48" s="58"/>
      <c r="AS48" s="58"/>
      <c r="AT48" s="58"/>
      <c r="AU48" s="58"/>
      <c r="AV48" s="58"/>
      <c r="AW48" s="58"/>
      <c r="AX48" s="58"/>
      <c r="AY48" s="58"/>
      <c r="AZ48" s="58"/>
    </row>
    <row r="49" spans="1:52" x14ac:dyDescent="0.25">
      <c r="A49" s="105" t="s">
        <v>45</v>
      </c>
      <c r="B49" s="105" t="s">
        <v>50</v>
      </c>
      <c r="C49" s="105" t="s">
        <v>70</v>
      </c>
      <c r="D49" s="105" t="s">
        <v>118</v>
      </c>
      <c r="E49" s="105" t="s">
        <v>8</v>
      </c>
      <c r="F49" s="58" t="s">
        <v>2160</v>
      </c>
      <c r="G49" s="58"/>
      <c r="H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c r="AK49" s="58"/>
      <c r="AL49" s="58"/>
      <c r="AM49" s="58"/>
      <c r="AN49" s="58"/>
      <c r="AO49" s="58"/>
      <c r="AP49" s="58"/>
      <c r="AQ49" s="58"/>
      <c r="AR49" s="58"/>
      <c r="AS49" s="58"/>
      <c r="AT49" s="58"/>
      <c r="AU49" s="58"/>
      <c r="AV49" s="58"/>
      <c r="AW49" s="58"/>
      <c r="AX49" s="58"/>
      <c r="AY49" s="58"/>
      <c r="AZ49" s="58"/>
    </row>
    <row r="50" spans="1:52" x14ac:dyDescent="0.25">
      <c r="A50" s="105" t="s">
        <v>51</v>
      </c>
      <c r="B50" s="105" t="s">
        <v>997</v>
      </c>
      <c r="C50" s="105" t="s">
        <v>70</v>
      </c>
      <c r="D50" s="105" t="s">
        <v>118</v>
      </c>
      <c r="E50" s="105" t="s">
        <v>8</v>
      </c>
      <c r="F50" s="58" t="s">
        <v>2161</v>
      </c>
      <c r="G50" s="58"/>
      <c r="H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8"/>
      <c r="AQ50" s="58"/>
      <c r="AR50" s="58"/>
      <c r="AS50" s="58"/>
      <c r="AT50" s="58"/>
      <c r="AU50" s="58"/>
      <c r="AV50" s="58"/>
      <c r="AW50" s="58"/>
      <c r="AX50" s="58"/>
      <c r="AY50" s="58"/>
      <c r="AZ50" s="58"/>
    </row>
    <row r="51" spans="1:52" x14ac:dyDescent="0.25">
      <c r="A51" s="105" t="s">
        <v>51</v>
      </c>
      <c r="B51" s="105" t="s">
        <v>52</v>
      </c>
      <c r="C51" s="105" t="s">
        <v>70</v>
      </c>
      <c r="D51" s="105" t="s">
        <v>118</v>
      </c>
      <c r="E51" s="105" t="s">
        <v>8</v>
      </c>
      <c r="F51" s="58" t="s">
        <v>2162</v>
      </c>
      <c r="G51" s="58"/>
      <c r="H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c r="AK51" s="58"/>
      <c r="AL51" s="58"/>
      <c r="AM51" s="58"/>
      <c r="AN51" s="58"/>
      <c r="AO51" s="58"/>
      <c r="AP51" s="58"/>
      <c r="AQ51" s="58"/>
      <c r="AR51" s="58"/>
      <c r="AS51" s="58"/>
      <c r="AT51" s="58"/>
      <c r="AU51" s="58"/>
      <c r="AV51" s="58"/>
      <c r="AW51" s="58"/>
      <c r="AX51" s="58"/>
      <c r="AY51" s="58"/>
      <c r="AZ51" s="58"/>
    </row>
    <row r="52" spans="1:52" x14ac:dyDescent="0.25">
      <c r="A52" s="105" t="s">
        <v>51</v>
      </c>
      <c r="B52" s="105" t="s">
        <v>53</v>
      </c>
      <c r="C52" s="105" t="s">
        <v>70</v>
      </c>
      <c r="D52" s="105" t="s">
        <v>118</v>
      </c>
      <c r="E52" s="105" t="s">
        <v>8</v>
      </c>
      <c r="F52" s="58" t="s">
        <v>2163</v>
      </c>
      <c r="G52" s="58"/>
      <c r="H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8"/>
      <c r="AQ52" s="58"/>
      <c r="AR52" s="58"/>
      <c r="AS52" s="58"/>
      <c r="AT52" s="58"/>
      <c r="AU52" s="58"/>
      <c r="AV52" s="58"/>
      <c r="AW52" s="58"/>
      <c r="AX52" s="58"/>
      <c r="AY52" s="58"/>
      <c r="AZ52" s="58"/>
    </row>
    <row r="53" spans="1:52" x14ac:dyDescent="0.25">
      <c r="A53" s="105" t="s">
        <v>51</v>
      </c>
      <c r="B53" s="105" t="s">
        <v>54</v>
      </c>
      <c r="C53" s="105" t="s">
        <v>70</v>
      </c>
      <c r="D53" s="105" t="s">
        <v>118</v>
      </c>
      <c r="E53" s="105" t="s">
        <v>8</v>
      </c>
      <c r="F53" s="58" t="s">
        <v>2164</v>
      </c>
      <c r="G53" s="58"/>
      <c r="H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c r="AK53" s="58"/>
      <c r="AL53" s="58"/>
      <c r="AM53" s="58"/>
      <c r="AN53" s="58"/>
      <c r="AO53" s="58"/>
      <c r="AP53" s="58"/>
      <c r="AQ53" s="58"/>
      <c r="AR53" s="58"/>
      <c r="AS53" s="58"/>
      <c r="AT53" s="58"/>
      <c r="AU53" s="58"/>
      <c r="AV53" s="58"/>
      <c r="AW53" s="58"/>
      <c r="AX53" s="58"/>
      <c r="AY53" s="58"/>
      <c r="AZ53" s="58"/>
    </row>
    <row r="54" spans="1:52" x14ac:dyDescent="0.25">
      <c r="A54" s="105" t="s">
        <v>55</v>
      </c>
      <c r="B54" s="105" t="s">
        <v>56</v>
      </c>
      <c r="C54" s="105" t="s">
        <v>70</v>
      </c>
      <c r="D54" s="105" t="s">
        <v>118</v>
      </c>
      <c r="E54" s="105" t="s">
        <v>8</v>
      </c>
      <c r="F54" s="58" t="s">
        <v>2165</v>
      </c>
      <c r="G54" s="58"/>
      <c r="H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8"/>
      <c r="AQ54" s="58"/>
      <c r="AR54" s="58"/>
      <c r="AS54" s="58"/>
      <c r="AT54" s="58"/>
      <c r="AU54" s="58"/>
      <c r="AV54" s="58"/>
      <c r="AW54" s="58"/>
      <c r="AX54" s="58"/>
      <c r="AY54" s="58"/>
      <c r="AZ54" s="58"/>
    </row>
    <row r="55" spans="1:52" x14ac:dyDescent="0.25">
      <c r="A55" s="105" t="s">
        <v>55</v>
      </c>
      <c r="B55" s="105" t="s">
        <v>57</v>
      </c>
      <c r="C55" s="105" t="s">
        <v>70</v>
      </c>
      <c r="D55" s="105" t="s">
        <v>118</v>
      </c>
      <c r="E55" s="105" t="s">
        <v>8</v>
      </c>
      <c r="F55" s="58" t="s">
        <v>2166</v>
      </c>
      <c r="G55" s="58"/>
      <c r="H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c r="AK55" s="58"/>
      <c r="AL55" s="58"/>
      <c r="AM55" s="58"/>
      <c r="AN55" s="58"/>
      <c r="AO55" s="58"/>
      <c r="AP55" s="58"/>
      <c r="AQ55" s="58"/>
      <c r="AR55" s="58"/>
      <c r="AS55" s="58"/>
      <c r="AT55" s="58"/>
      <c r="AU55" s="58"/>
      <c r="AV55" s="58"/>
      <c r="AW55" s="58"/>
      <c r="AX55" s="58"/>
      <c r="AY55" s="58"/>
      <c r="AZ55" s="58"/>
    </row>
    <row r="56" spans="1:52" x14ac:dyDescent="0.25">
      <c r="A56" s="105" t="s">
        <v>55</v>
      </c>
      <c r="B56" s="105" t="s">
        <v>58</v>
      </c>
      <c r="C56" s="105" t="s">
        <v>70</v>
      </c>
      <c r="D56" s="105" t="s">
        <v>118</v>
      </c>
      <c r="E56" s="105" t="s">
        <v>8</v>
      </c>
      <c r="F56" s="58" t="s">
        <v>2167</v>
      </c>
      <c r="G56" s="58"/>
      <c r="H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8"/>
      <c r="AQ56" s="58"/>
      <c r="AR56" s="58"/>
      <c r="AS56" s="58"/>
      <c r="AT56" s="58"/>
      <c r="AU56" s="58"/>
      <c r="AV56" s="58"/>
      <c r="AW56" s="58"/>
      <c r="AX56" s="58"/>
      <c r="AY56" s="58"/>
      <c r="AZ56" s="58"/>
    </row>
    <row r="57" spans="1:52" x14ac:dyDescent="0.25">
      <c r="A57" s="105" t="s">
        <v>60</v>
      </c>
      <c r="B57" s="105" t="s">
        <v>61</v>
      </c>
      <c r="C57" s="105" t="s">
        <v>70</v>
      </c>
      <c r="D57" s="105" t="s">
        <v>118</v>
      </c>
      <c r="E57" s="105" t="s">
        <v>8</v>
      </c>
      <c r="F57" s="58" t="s">
        <v>2168</v>
      </c>
      <c r="G57" s="58"/>
      <c r="H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c r="AK57" s="58"/>
      <c r="AL57" s="58"/>
      <c r="AM57" s="58"/>
      <c r="AN57" s="58"/>
      <c r="AO57" s="58"/>
      <c r="AP57" s="58"/>
      <c r="AQ57" s="58"/>
      <c r="AR57" s="58"/>
      <c r="AS57" s="58"/>
      <c r="AT57" s="58"/>
      <c r="AU57" s="58"/>
      <c r="AV57" s="58"/>
      <c r="AW57" s="58"/>
      <c r="AX57" s="58"/>
      <c r="AY57" s="58"/>
      <c r="AZ57" s="58"/>
    </row>
    <row r="58" spans="1:52" x14ac:dyDescent="0.25">
      <c r="A58" s="105" t="s">
        <v>60</v>
      </c>
      <c r="B58" s="105" t="s">
        <v>62</v>
      </c>
      <c r="C58" s="105" t="s">
        <v>70</v>
      </c>
      <c r="D58" s="105" t="s">
        <v>118</v>
      </c>
      <c r="E58" s="105" t="s">
        <v>8</v>
      </c>
      <c r="F58" s="58" t="s">
        <v>2169</v>
      </c>
      <c r="G58" s="58"/>
      <c r="H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8"/>
      <c r="AQ58" s="58"/>
      <c r="AR58" s="58"/>
      <c r="AS58" s="58"/>
      <c r="AT58" s="58"/>
      <c r="AU58" s="58"/>
      <c r="AV58" s="58"/>
      <c r="AW58" s="58"/>
      <c r="AX58" s="58"/>
      <c r="AY58" s="58"/>
      <c r="AZ58" s="58"/>
    </row>
    <row r="59" spans="1:52" x14ac:dyDescent="0.25">
      <c r="A59" s="105" t="s">
        <v>60</v>
      </c>
      <c r="B59" s="105" t="s">
        <v>63</v>
      </c>
      <c r="C59" s="105" t="s">
        <v>70</v>
      </c>
      <c r="D59" s="105" t="s">
        <v>118</v>
      </c>
      <c r="E59" s="105" t="s">
        <v>8</v>
      </c>
      <c r="F59" s="58" t="s">
        <v>2170</v>
      </c>
      <c r="G59" s="58"/>
      <c r="H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c r="AK59" s="58"/>
      <c r="AL59" s="58"/>
      <c r="AM59" s="58"/>
      <c r="AN59" s="58"/>
      <c r="AO59" s="58"/>
      <c r="AP59" s="58"/>
      <c r="AQ59" s="58"/>
      <c r="AR59" s="58"/>
      <c r="AS59" s="58"/>
      <c r="AT59" s="58"/>
      <c r="AU59" s="58"/>
      <c r="AV59" s="58"/>
      <c r="AW59" s="58"/>
      <c r="AX59" s="58"/>
      <c r="AY59" s="58"/>
      <c r="AZ59" s="58"/>
    </row>
    <row r="60" spans="1:52" x14ac:dyDescent="0.25">
      <c r="A60" s="105" t="s">
        <v>60</v>
      </c>
      <c r="B60" s="105" t="s">
        <v>64</v>
      </c>
      <c r="C60" s="105" t="s">
        <v>8</v>
      </c>
      <c r="D60" s="105" t="s">
        <v>118</v>
      </c>
      <c r="E60" s="105" t="s">
        <v>8</v>
      </c>
      <c r="F60" s="58" t="s">
        <v>2171</v>
      </c>
      <c r="G60" s="58"/>
      <c r="H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8"/>
      <c r="AQ60" s="58"/>
      <c r="AR60" s="58"/>
      <c r="AS60" s="58"/>
      <c r="AT60" s="58"/>
      <c r="AU60" s="58"/>
      <c r="AV60" s="58"/>
      <c r="AW60" s="58"/>
      <c r="AX60" s="58"/>
      <c r="AY60" s="58"/>
      <c r="AZ60" s="58"/>
    </row>
    <row r="61" spans="1:52" x14ac:dyDescent="0.25">
      <c r="A61" s="105" t="s">
        <v>66</v>
      </c>
      <c r="B61" s="105" t="s">
        <v>66</v>
      </c>
      <c r="C61" s="105" t="s">
        <v>70</v>
      </c>
      <c r="D61" s="105" t="s">
        <v>118</v>
      </c>
      <c r="E61" s="105" t="s">
        <v>8</v>
      </c>
      <c r="F61" s="58" t="s">
        <v>2172</v>
      </c>
      <c r="G61" s="58"/>
      <c r="H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c r="AK61" s="58"/>
      <c r="AL61" s="58"/>
      <c r="AM61" s="58"/>
      <c r="AN61" s="58"/>
      <c r="AO61" s="58"/>
      <c r="AP61" s="58"/>
      <c r="AQ61" s="58"/>
      <c r="AR61" s="58"/>
      <c r="AS61" s="58"/>
      <c r="AT61" s="58"/>
      <c r="AU61" s="58"/>
      <c r="AV61" s="58"/>
      <c r="AW61" s="58"/>
      <c r="AX61" s="58"/>
      <c r="AY61" s="58"/>
      <c r="AZ61" s="58"/>
    </row>
    <row r="62" spans="1:52" x14ac:dyDescent="0.25">
      <c r="A62" s="105" t="s">
        <v>65</v>
      </c>
      <c r="B62" s="105" t="s">
        <v>67</v>
      </c>
      <c r="C62" s="105" t="s">
        <v>70</v>
      </c>
      <c r="D62" s="105" t="s">
        <v>118</v>
      </c>
      <c r="E62" s="105" t="s">
        <v>8</v>
      </c>
      <c r="F62" s="58" t="s">
        <v>2173</v>
      </c>
      <c r="G62" s="58"/>
      <c r="H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8"/>
      <c r="AQ62" s="58"/>
      <c r="AR62" s="58"/>
      <c r="AS62" s="58"/>
      <c r="AT62" s="58"/>
      <c r="AU62" s="58"/>
      <c r="AV62" s="58"/>
      <c r="AW62" s="58"/>
      <c r="AX62" s="58"/>
      <c r="AY62" s="58"/>
      <c r="AZ62" s="58"/>
    </row>
    <row r="63" spans="1:52" x14ac:dyDescent="0.25">
      <c r="A63" s="105" t="s">
        <v>65</v>
      </c>
      <c r="B63" s="105" t="s">
        <v>68</v>
      </c>
      <c r="C63" s="105" t="s">
        <v>70</v>
      </c>
      <c r="D63" s="105" t="s">
        <v>118</v>
      </c>
      <c r="E63" s="105" t="s">
        <v>8</v>
      </c>
      <c r="F63" s="58" t="s">
        <v>2174</v>
      </c>
      <c r="G63" s="58"/>
      <c r="H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c r="AK63" s="58"/>
      <c r="AL63" s="58"/>
      <c r="AM63" s="58"/>
      <c r="AN63" s="58"/>
      <c r="AO63" s="58"/>
      <c r="AP63" s="58"/>
      <c r="AQ63" s="58"/>
      <c r="AR63" s="58"/>
      <c r="AS63" s="58"/>
      <c r="AT63" s="58"/>
      <c r="AU63" s="58"/>
      <c r="AV63" s="58"/>
      <c r="AW63" s="58"/>
      <c r="AX63" s="58"/>
      <c r="AY63" s="58"/>
      <c r="AZ63" s="58"/>
    </row>
    <row r="64" spans="1:52" x14ac:dyDescent="0.25">
      <c r="A64" s="105" t="s">
        <v>65</v>
      </c>
      <c r="B64" s="105" t="s">
        <v>69</v>
      </c>
      <c r="C64" s="105" t="s">
        <v>70</v>
      </c>
      <c r="D64" s="105" t="s">
        <v>118</v>
      </c>
      <c r="E64" s="105" t="s">
        <v>8</v>
      </c>
      <c r="F64" s="58" t="s">
        <v>2175</v>
      </c>
      <c r="G64" s="58"/>
      <c r="H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8"/>
      <c r="AQ64" s="58"/>
      <c r="AR64" s="58"/>
      <c r="AS64" s="58"/>
      <c r="AT64" s="58"/>
      <c r="AU64" s="58"/>
      <c r="AV64" s="58"/>
      <c r="AW64" s="58"/>
      <c r="AX64" s="58"/>
      <c r="AY64" s="58"/>
      <c r="AZ64" s="58"/>
    </row>
    <row r="65" spans="1:52" x14ac:dyDescent="0.25">
      <c r="A65" s="105" t="s">
        <v>6</v>
      </c>
      <c r="B65" s="105" t="s">
        <v>69</v>
      </c>
      <c r="C65" s="105" t="s">
        <v>8</v>
      </c>
      <c r="D65" s="105" t="s">
        <v>118</v>
      </c>
      <c r="E65" s="105" t="s">
        <v>8</v>
      </c>
      <c r="F65" s="58" t="s">
        <v>2176</v>
      </c>
      <c r="G65" s="58"/>
      <c r="H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c r="AK65" s="58"/>
      <c r="AL65" s="58"/>
      <c r="AM65" s="58"/>
      <c r="AN65" s="58"/>
      <c r="AO65" s="58"/>
      <c r="AP65" s="58"/>
      <c r="AQ65" s="58"/>
      <c r="AR65" s="58"/>
      <c r="AS65" s="58"/>
      <c r="AT65" s="58"/>
      <c r="AU65" s="58"/>
      <c r="AV65" s="58"/>
      <c r="AW65" s="58"/>
      <c r="AX65" s="58"/>
      <c r="AY65" s="58"/>
      <c r="AZ65" s="58"/>
    </row>
    <row r="66" spans="1:52" x14ac:dyDescent="0.25">
      <c r="A66" s="105" t="s">
        <v>20</v>
      </c>
      <c r="B66" s="105" t="s">
        <v>59</v>
      </c>
      <c r="C66" s="105" t="s">
        <v>70</v>
      </c>
      <c r="D66" s="105" t="s">
        <v>118</v>
      </c>
      <c r="E66" s="105" t="s">
        <v>8</v>
      </c>
      <c r="F66" s="58" t="s">
        <v>2141</v>
      </c>
      <c r="G66" s="58"/>
      <c r="H66" s="58"/>
      <c r="I66" s="58"/>
      <c r="J66" s="58"/>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8"/>
      <c r="AQ66" s="58"/>
      <c r="AR66" s="58"/>
      <c r="AS66" s="58"/>
      <c r="AT66" s="58"/>
      <c r="AU66" s="58"/>
      <c r="AV66" s="58"/>
      <c r="AW66" s="58"/>
      <c r="AX66" s="58"/>
      <c r="AY66" s="58"/>
      <c r="AZ66" s="58"/>
    </row>
    <row r="67" spans="1:52" x14ac:dyDescent="0.25">
      <c r="A67" s="105" t="s">
        <v>55</v>
      </c>
      <c r="B67" s="105" t="s">
        <v>958</v>
      </c>
      <c r="C67" s="105" t="s">
        <v>70</v>
      </c>
      <c r="D67" s="105" t="s">
        <v>118</v>
      </c>
      <c r="E67" s="105" t="s">
        <v>8</v>
      </c>
      <c r="F67" s="58" t="s">
        <v>2177</v>
      </c>
      <c r="G67" s="58"/>
      <c r="H67" s="58"/>
      <c r="I67" s="58"/>
      <c r="J67" s="58"/>
      <c r="K67" s="58"/>
      <c r="L67" s="58"/>
      <c r="M67" s="58"/>
      <c r="N67" s="58"/>
      <c r="O67" s="58"/>
      <c r="P67" s="58"/>
      <c r="Q67" s="58"/>
      <c r="R67" s="58"/>
      <c r="S67" s="58"/>
      <c r="T67" s="58"/>
      <c r="U67" s="58"/>
      <c r="V67" s="58"/>
      <c r="W67" s="58"/>
      <c r="X67" s="58"/>
      <c r="Y67" s="58"/>
      <c r="Z67" s="58"/>
      <c r="AA67" s="58"/>
      <c r="AB67" s="58"/>
      <c r="AC67" s="58"/>
      <c r="AD67" s="58"/>
      <c r="AE67" s="58"/>
      <c r="AF67" s="58"/>
      <c r="AG67" s="58"/>
      <c r="AH67" s="58"/>
      <c r="AI67" s="58"/>
      <c r="AJ67" s="58"/>
      <c r="AK67" s="58"/>
      <c r="AL67" s="58"/>
      <c r="AM67" s="58"/>
      <c r="AN67" s="58"/>
      <c r="AO67" s="58"/>
      <c r="AP67" s="58"/>
      <c r="AQ67" s="58"/>
      <c r="AR67" s="58"/>
      <c r="AS67" s="58"/>
      <c r="AT67" s="58"/>
      <c r="AU67" s="58"/>
      <c r="AV67" s="58"/>
      <c r="AW67" s="58"/>
      <c r="AX67" s="58"/>
      <c r="AY67" s="58"/>
      <c r="AZ67" s="58"/>
    </row>
    <row r="68" spans="1:52" x14ac:dyDescent="0.25">
      <c r="A68" s="105" t="s">
        <v>55</v>
      </c>
      <c r="B68" s="105" t="s">
        <v>69</v>
      </c>
      <c r="C68" s="105" t="s">
        <v>70</v>
      </c>
      <c r="D68" s="105" t="s">
        <v>118</v>
      </c>
      <c r="E68" s="105" t="s">
        <v>8</v>
      </c>
      <c r="F68" s="58" t="s">
        <v>2178</v>
      </c>
      <c r="G68" s="58"/>
      <c r="H68" s="58"/>
      <c r="I68" s="58"/>
      <c r="J68" s="58"/>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8"/>
      <c r="AQ68" s="58"/>
      <c r="AR68" s="58"/>
      <c r="AS68" s="58"/>
      <c r="AT68" s="58"/>
      <c r="AU68" s="58"/>
      <c r="AV68" s="58"/>
      <c r="AW68" s="58"/>
      <c r="AX68" s="58"/>
      <c r="AY68" s="58"/>
      <c r="AZ68" s="58"/>
    </row>
    <row r="69" spans="1:52" x14ac:dyDescent="0.25">
      <c r="A69" s="105" t="s">
        <v>55</v>
      </c>
      <c r="B69" s="105" t="s">
        <v>948</v>
      </c>
      <c r="C69" s="105" t="s">
        <v>1088</v>
      </c>
      <c r="D69" s="105" t="s">
        <v>118</v>
      </c>
      <c r="E69" s="105" t="s">
        <v>8</v>
      </c>
      <c r="F69" s="58" t="s">
        <v>2154</v>
      </c>
      <c r="G69" s="58"/>
      <c r="H69" s="58"/>
      <c r="I69" s="58"/>
      <c r="J69" s="58"/>
      <c r="K69" s="58"/>
      <c r="L69" s="58"/>
      <c r="M69" s="58"/>
      <c r="N69" s="58"/>
      <c r="O69" s="58"/>
      <c r="P69" s="58"/>
      <c r="Q69" s="58"/>
      <c r="R69" s="58"/>
      <c r="S69" s="58"/>
      <c r="T69" s="58"/>
      <c r="U69" s="58"/>
      <c r="V69" s="58"/>
      <c r="W69" s="58"/>
      <c r="X69" s="58"/>
      <c r="Y69" s="58"/>
      <c r="Z69" s="58"/>
      <c r="AA69" s="58"/>
      <c r="AB69" s="58"/>
      <c r="AC69" s="58"/>
      <c r="AD69" s="58"/>
      <c r="AE69" s="58"/>
      <c r="AF69" s="58"/>
      <c r="AG69" s="58"/>
      <c r="AH69" s="58"/>
      <c r="AI69" s="58"/>
      <c r="AJ69" s="58"/>
      <c r="AK69" s="58"/>
      <c r="AL69" s="58"/>
      <c r="AM69" s="58"/>
      <c r="AN69" s="58"/>
      <c r="AO69" s="58"/>
      <c r="AP69" s="58"/>
      <c r="AQ69" s="58"/>
      <c r="AR69" s="58"/>
      <c r="AS69" s="58"/>
      <c r="AT69" s="58"/>
      <c r="AU69" s="58"/>
      <c r="AV69" s="58"/>
      <c r="AW69" s="58"/>
      <c r="AX69" s="58"/>
      <c r="AY69" s="58"/>
      <c r="AZ69" s="58"/>
    </row>
    <row r="70" spans="1:52" hidden="1" x14ac:dyDescent="0.25">
      <c r="A70" s="58"/>
      <c r="B70" s="58"/>
      <c r="C70" s="58"/>
      <c r="D70" s="58"/>
      <c r="E70" s="58"/>
      <c r="F70" s="58"/>
      <c r="G70" s="58"/>
      <c r="H70" s="58"/>
      <c r="I70" s="58"/>
      <c r="J70" s="58"/>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8"/>
      <c r="AQ70" s="58"/>
      <c r="AR70" s="58"/>
      <c r="AS70" s="58"/>
      <c r="AT70" s="58"/>
      <c r="AU70" s="58"/>
      <c r="AV70" s="58"/>
      <c r="AW70" s="58"/>
      <c r="AX70" s="58"/>
      <c r="AY70" s="58"/>
      <c r="AZ70" s="58"/>
    </row>
    <row r="71" spans="1:52" hidden="1" x14ac:dyDescent="0.25">
      <c r="A71" s="58"/>
      <c r="B71" s="58"/>
      <c r="C71" s="58"/>
      <c r="D71" s="58"/>
      <c r="E71" s="58"/>
      <c r="F71" s="58"/>
      <c r="G71" s="58"/>
      <c r="H71" s="58"/>
      <c r="I71" s="58"/>
      <c r="J71" s="58"/>
      <c r="K71" s="58"/>
      <c r="L71" s="58"/>
      <c r="M71" s="58"/>
      <c r="N71" s="58"/>
      <c r="O71" s="58"/>
      <c r="P71" s="58"/>
      <c r="Q71" s="58"/>
      <c r="R71" s="58"/>
      <c r="S71" s="58"/>
      <c r="T71" s="58"/>
      <c r="U71" s="58"/>
      <c r="V71" s="58"/>
      <c r="W71" s="58"/>
      <c r="X71" s="58"/>
      <c r="Y71" s="58"/>
      <c r="Z71" s="58"/>
      <c r="AA71" s="58"/>
      <c r="AB71" s="58"/>
      <c r="AC71" s="58"/>
      <c r="AD71" s="58"/>
      <c r="AE71" s="58"/>
      <c r="AF71" s="58"/>
      <c r="AG71" s="58"/>
      <c r="AH71" s="58"/>
      <c r="AI71" s="58"/>
      <c r="AJ71" s="58"/>
      <c r="AK71" s="58"/>
      <c r="AL71" s="58"/>
      <c r="AM71" s="58"/>
      <c r="AN71" s="58"/>
      <c r="AO71" s="58"/>
      <c r="AP71" s="58"/>
      <c r="AQ71" s="58"/>
      <c r="AR71" s="58"/>
      <c r="AS71" s="58"/>
      <c r="AT71" s="58"/>
      <c r="AU71" s="58"/>
      <c r="AV71" s="58"/>
      <c r="AW71" s="58"/>
      <c r="AX71" s="58"/>
      <c r="AY71" s="58"/>
      <c r="AZ71" s="58"/>
    </row>
    <row r="72" spans="1:52" hidden="1" x14ac:dyDescent="0.25">
      <c r="A72" s="58"/>
      <c r="B72" s="58"/>
      <c r="C72" s="58"/>
      <c r="D72" s="58"/>
      <c r="E72" s="58"/>
      <c r="F72" s="58"/>
      <c r="G72" s="58"/>
      <c r="H72" s="58"/>
      <c r="I72" s="58"/>
      <c r="J72" s="58"/>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8"/>
      <c r="AQ72" s="58"/>
      <c r="AR72" s="58"/>
      <c r="AS72" s="58"/>
      <c r="AT72" s="58"/>
      <c r="AU72" s="58"/>
      <c r="AV72" s="58"/>
      <c r="AW72" s="58"/>
      <c r="AX72" s="58"/>
      <c r="AY72" s="58"/>
      <c r="AZ72" s="58"/>
    </row>
    <row r="73" spans="1:52" hidden="1" x14ac:dyDescent="0.25">
      <c r="A73" s="58"/>
      <c r="B73" s="58"/>
      <c r="C73" s="58"/>
      <c r="D73" s="58"/>
      <c r="E73" s="58"/>
      <c r="F73" s="58"/>
      <c r="G73" s="58"/>
      <c r="H73" s="58"/>
      <c r="I73" s="58"/>
      <c r="J73" s="58"/>
      <c r="K73" s="58"/>
      <c r="L73" s="58"/>
      <c r="M73" s="58"/>
      <c r="N73" s="58"/>
      <c r="O73" s="58"/>
      <c r="P73" s="58"/>
      <c r="Q73" s="58"/>
      <c r="R73" s="58"/>
      <c r="S73" s="58"/>
      <c r="T73" s="58"/>
      <c r="U73" s="58"/>
      <c r="V73" s="58"/>
      <c r="W73" s="58"/>
      <c r="X73" s="58"/>
      <c r="Y73" s="58"/>
      <c r="Z73" s="58"/>
      <c r="AA73" s="58"/>
      <c r="AB73" s="58"/>
      <c r="AC73" s="58"/>
      <c r="AD73" s="58"/>
      <c r="AE73" s="58"/>
      <c r="AF73" s="58"/>
      <c r="AG73" s="58"/>
      <c r="AH73" s="58"/>
      <c r="AI73" s="58"/>
      <c r="AJ73" s="58"/>
      <c r="AK73" s="58"/>
      <c r="AL73" s="58"/>
      <c r="AM73" s="58"/>
      <c r="AN73" s="58"/>
      <c r="AO73" s="58"/>
      <c r="AP73" s="58"/>
      <c r="AQ73" s="58"/>
      <c r="AR73" s="58"/>
      <c r="AS73" s="58"/>
      <c r="AT73" s="58"/>
      <c r="AU73" s="58"/>
      <c r="AV73" s="58"/>
      <c r="AW73" s="58"/>
      <c r="AX73" s="58"/>
      <c r="AY73" s="58"/>
      <c r="AZ73" s="58"/>
    </row>
    <row r="74" spans="1:52" hidden="1" x14ac:dyDescent="0.25">
      <c r="A74" s="58"/>
      <c r="B74" s="58"/>
      <c r="C74" s="58"/>
      <c r="D74" s="58"/>
      <c r="E74" s="58"/>
      <c r="F74" s="58"/>
      <c r="G74" s="58"/>
      <c r="H74" s="58"/>
      <c r="I74" s="58"/>
      <c r="J74" s="58"/>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8"/>
      <c r="AQ74" s="58"/>
      <c r="AR74" s="58"/>
      <c r="AS74" s="58"/>
      <c r="AT74" s="58"/>
      <c r="AU74" s="58"/>
      <c r="AV74" s="58"/>
      <c r="AW74" s="58"/>
      <c r="AX74" s="58"/>
      <c r="AY74" s="58"/>
      <c r="AZ74" s="58"/>
    </row>
    <row r="75" spans="1:52" hidden="1" x14ac:dyDescent="0.25">
      <c r="A75" s="58"/>
      <c r="B75" s="58"/>
      <c r="C75" s="58"/>
      <c r="D75" s="58"/>
      <c r="E75" s="58"/>
      <c r="F75" s="58"/>
      <c r="G75" s="58"/>
      <c r="H75" s="58"/>
      <c r="I75" s="58"/>
      <c r="J75" s="58"/>
      <c r="K75" s="58"/>
      <c r="L75" s="58"/>
      <c r="M75" s="58"/>
      <c r="N75" s="58"/>
      <c r="O75" s="58"/>
      <c r="P75" s="58"/>
      <c r="Q75" s="58"/>
      <c r="R75" s="58"/>
      <c r="S75" s="58"/>
      <c r="T75" s="58"/>
      <c r="U75" s="58"/>
      <c r="V75" s="58"/>
      <c r="W75" s="58"/>
      <c r="X75" s="58"/>
      <c r="Y75" s="58"/>
      <c r="Z75" s="58"/>
      <c r="AA75" s="58"/>
      <c r="AB75" s="58"/>
      <c r="AC75" s="58"/>
      <c r="AD75" s="58"/>
      <c r="AE75" s="58"/>
      <c r="AF75" s="58"/>
      <c r="AG75" s="58"/>
      <c r="AH75" s="58"/>
      <c r="AI75" s="58"/>
      <c r="AJ75" s="58"/>
      <c r="AK75" s="58"/>
      <c r="AL75" s="58"/>
      <c r="AM75" s="58"/>
      <c r="AN75" s="58"/>
      <c r="AO75" s="58"/>
      <c r="AP75" s="58"/>
      <c r="AQ75" s="58"/>
      <c r="AR75" s="58"/>
      <c r="AS75" s="58"/>
      <c r="AT75" s="58"/>
      <c r="AU75" s="58"/>
      <c r="AV75" s="58"/>
      <c r="AW75" s="58"/>
      <c r="AX75" s="58"/>
      <c r="AY75" s="58"/>
      <c r="AZ75" s="58"/>
    </row>
    <row r="76" spans="1:52" hidden="1" x14ac:dyDescent="0.25">
      <c r="A76" s="58"/>
      <c r="B76" s="58"/>
      <c r="C76" s="58"/>
      <c r="D76" s="58"/>
      <c r="E76" s="58"/>
      <c r="F76" s="58"/>
      <c r="G76" s="58"/>
      <c r="H76" s="58"/>
      <c r="I76" s="58"/>
      <c r="J76" s="58"/>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row>
    <row r="77" spans="1:52" hidden="1" x14ac:dyDescent="0.25">
      <c r="A77" s="58"/>
      <c r="B77" s="58"/>
      <c r="C77" s="58"/>
      <c r="D77" s="58"/>
      <c r="E77" s="58"/>
      <c r="F77" s="58"/>
      <c r="G77" s="58"/>
      <c r="H77" s="58"/>
      <c r="I77" s="58"/>
      <c r="J77" s="58"/>
      <c r="K77" s="58"/>
      <c r="L77" s="58"/>
      <c r="M77" s="58"/>
      <c r="N77" s="58"/>
      <c r="O77" s="58"/>
      <c r="P77" s="58"/>
      <c r="Q77" s="58"/>
      <c r="R77" s="58"/>
      <c r="S77" s="58"/>
      <c r="T77" s="58"/>
      <c r="U77" s="58"/>
      <c r="V77" s="58"/>
      <c r="W77" s="58"/>
      <c r="X77" s="58"/>
      <c r="Y77" s="58"/>
      <c r="Z77" s="58"/>
      <c r="AA77" s="58"/>
      <c r="AB77" s="58"/>
      <c r="AC77" s="58"/>
      <c r="AD77" s="58"/>
      <c r="AE77" s="58"/>
      <c r="AF77" s="58"/>
      <c r="AG77" s="58"/>
      <c r="AH77" s="58"/>
      <c r="AI77" s="58"/>
      <c r="AJ77" s="58"/>
      <c r="AK77" s="58"/>
      <c r="AL77" s="58"/>
      <c r="AM77" s="58"/>
      <c r="AN77" s="58"/>
      <c r="AO77" s="58"/>
      <c r="AP77" s="58"/>
      <c r="AQ77" s="58"/>
      <c r="AR77" s="58"/>
      <c r="AS77" s="58"/>
      <c r="AT77" s="58"/>
      <c r="AU77" s="58"/>
      <c r="AV77" s="58"/>
      <c r="AW77" s="58"/>
      <c r="AX77" s="58"/>
      <c r="AY77" s="58"/>
      <c r="AZ77" s="58"/>
    </row>
    <row r="78" spans="1:52" hidden="1" x14ac:dyDescent="0.25">
      <c r="A78" s="58"/>
      <c r="B78" s="58"/>
      <c r="C78" s="58"/>
      <c r="D78" s="58"/>
      <c r="E78" s="58"/>
      <c r="F78" s="58"/>
      <c r="G78" s="58"/>
      <c r="H78" s="58"/>
      <c r="I78" s="58"/>
      <c r="J78" s="58"/>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8"/>
      <c r="AQ78" s="58"/>
      <c r="AR78" s="58"/>
      <c r="AS78" s="58"/>
      <c r="AT78" s="58"/>
      <c r="AU78" s="58"/>
      <c r="AV78" s="58"/>
      <c r="AW78" s="58"/>
      <c r="AX78" s="58"/>
      <c r="AY78" s="58"/>
      <c r="AZ78" s="58"/>
    </row>
    <row r="79" spans="1:52" hidden="1" x14ac:dyDescent="0.25">
      <c r="A79" s="58"/>
      <c r="B79" s="58"/>
      <c r="C79" s="58"/>
      <c r="D79" s="58"/>
      <c r="E79" s="58"/>
      <c r="F79" s="58"/>
      <c r="G79" s="58"/>
      <c r="H79" s="58"/>
      <c r="I79" s="58"/>
      <c r="J79" s="58"/>
      <c r="K79" s="58"/>
      <c r="L79" s="58"/>
      <c r="M79" s="58"/>
      <c r="N79" s="58"/>
      <c r="O79" s="58"/>
      <c r="P79" s="58"/>
      <c r="Q79" s="58"/>
      <c r="R79" s="58"/>
      <c r="S79" s="58"/>
      <c r="T79" s="58"/>
      <c r="U79" s="58"/>
      <c r="V79" s="58"/>
      <c r="W79" s="58"/>
      <c r="X79" s="58"/>
      <c r="Y79" s="58"/>
      <c r="Z79" s="58"/>
      <c r="AA79" s="58"/>
      <c r="AB79" s="58"/>
      <c r="AC79" s="58"/>
      <c r="AD79" s="58"/>
      <c r="AE79" s="58"/>
      <c r="AF79" s="58"/>
      <c r="AG79" s="58"/>
      <c r="AH79" s="58"/>
      <c r="AI79" s="58"/>
      <c r="AJ79" s="58"/>
      <c r="AK79" s="58"/>
      <c r="AL79" s="58"/>
      <c r="AM79" s="58"/>
      <c r="AN79" s="58"/>
      <c r="AO79" s="58"/>
      <c r="AP79" s="58"/>
      <c r="AQ79" s="58"/>
      <c r="AR79" s="58"/>
      <c r="AS79" s="58"/>
      <c r="AT79" s="58"/>
      <c r="AU79" s="58"/>
      <c r="AV79" s="58"/>
      <c r="AW79" s="58"/>
      <c r="AX79" s="58"/>
      <c r="AY79" s="58"/>
      <c r="AZ79" s="58"/>
    </row>
    <row r="80" spans="1:52" hidden="1" x14ac:dyDescent="0.25">
      <c r="A80" s="58"/>
      <c r="B80" s="58"/>
      <c r="C80" s="58"/>
      <c r="D80" s="58"/>
      <c r="E80" s="58"/>
      <c r="F80" s="58"/>
      <c r="G80" s="58"/>
      <c r="H80" s="58"/>
      <c r="I80" s="58"/>
      <c r="J80" s="58"/>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8"/>
      <c r="AQ80" s="58"/>
      <c r="AR80" s="58"/>
      <c r="AS80" s="58"/>
      <c r="AT80" s="58"/>
      <c r="AU80" s="58"/>
      <c r="AV80" s="58"/>
      <c r="AW80" s="58"/>
      <c r="AX80" s="58"/>
      <c r="AY80" s="58"/>
      <c r="AZ80" s="58"/>
    </row>
    <row r="81" spans="1:52" hidden="1" x14ac:dyDescent="0.25">
      <c r="A81" s="58"/>
      <c r="B81" s="58"/>
      <c r="C81" s="58"/>
      <c r="D81" s="58"/>
      <c r="E81" s="58"/>
      <c r="F81" s="58"/>
      <c r="G81" s="58"/>
      <c r="H81" s="58"/>
      <c r="I81" s="58"/>
      <c r="J81" s="58"/>
      <c r="K81" s="58"/>
      <c r="L81" s="58"/>
      <c r="M81" s="58"/>
      <c r="N81" s="58"/>
      <c r="O81" s="58"/>
      <c r="P81" s="58"/>
      <c r="Q81" s="58"/>
      <c r="R81" s="58"/>
      <c r="S81" s="58"/>
      <c r="T81" s="58"/>
      <c r="U81" s="58"/>
      <c r="V81" s="58"/>
      <c r="W81" s="58"/>
      <c r="X81" s="58"/>
      <c r="Y81" s="58"/>
      <c r="Z81" s="58"/>
      <c r="AA81" s="58"/>
      <c r="AB81" s="58"/>
      <c r="AC81" s="58"/>
      <c r="AD81" s="58"/>
      <c r="AE81" s="58"/>
      <c r="AF81" s="58"/>
      <c r="AG81" s="58"/>
      <c r="AH81" s="58"/>
      <c r="AI81" s="58"/>
      <c r="AJ81" s="58"/>
      <c r="AK81" s="58"/>
      <c r="AL81" s="58"/>
      <c r="AM81" s="58"/>
      <c r="AN81" s="58"/>
      <c r="AO81" s="58"/>
      <c r="AP81" s="58"/>
      <c r="AQ81" s="58"/>
      <c r="AR81" s="58"/>
      <c r="AS81" s="58"/>
      <c r="AT81" s="58"/>
      <c r="AU81" s="58"/>
      <c r="AV81" s="58"/>
      <c r="AW81" s="58"/>
      <c r="AX81" s="58"/>
      <c r="AY81" s="58"/>
      <c r="AZ81" s="58"/>
    </row>
    <row r="82" spans="1:52" hidden="1" x14ac:dyDescent="0.25">
      <c r="A82" s="58"/>
      <c r="B82" s="58"/>
      <c r="C82" s="58"/>
      <c r="D82" s="58"/>
      <c r="E82" s="58"/>
      <c r="F82" s="58"/>
      <c r="G82" s="58"/>
      <c r="H82" s="58"/>
      <c r="I82" s="58"/>
      <c r="J82" s="58"/>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8"/>
      <c r="AQ82" s="58"/>
      <c r="AR82" s="58"/>
      <c r="AS82" s="58"/>
      <c r="AT82" s="58"/>
      <c r="AU82" s="58"/>
      <c r="AV82" s="58"/>
      <c r="AW82" s="58"/>
      <c r="AX82" s="58"/>
      <c r="AY82" s="58"/>
      <c r="AZ82" s="58"/>
    </row>
    <row r="83" spans="1:52" hidden="1" x14ac:dyDescent="0.25">
      <c r="A83" s="58"/>
      <c r="B83" s="58"/>
      <c r="C83" s="58"/>
      <c r="D83" s="58"/>
      <c r="E83" s="58"/>
      <c r="F83" s="58"/>
      <c r="G83" s="58"/>
      <c r="H83" s="58"/>
      <c r="I83" s="58"/>
      <c r="J83" s="58"/>
      <c r="K83" s="58"/>
      <c r="L83" s="58"/>
      <c r="M83" s="58"/>
      <c r="N83" s="58"/>
      <c r="O83" s="58"/>
      <c r="P83" s="58"/>
      <c r="Q83" s="58"/>
      <c r="R83" s="58"/>
      <c r="S83" s="58"/>
      <c r="T83" s="58"/>
      <c r="U83" s="58"/>
      <c r="V83" s="58"/>
      <c r="W83" s="58"/>
      <c r="X83" s="58"/>
      <c r="Y83" s="58"/>
      <c r="Z83" s="58"/>
      <c r="AA83" s="58"/>
      <c r="AB83" s="58"/>
      <c r="AC83" s="58"/>
      <c r="AD83" s="58"/>
      <c r="AE83" s="58"/>
      <c r="AF83" s="58"/>
      <c r="AG83" s="58"/>
      <c r="AH83" s="58"/>
      <c r="AI83" s="58"/>
      <c r="AJ83" s="58"/>
      <c r="AK83" s="58"/>
      <c r="AL83" s="58"/>
      <c r="AM83" s="58"/>
      <c r="AN83" s="58"/>
      <c r="AO83" s="58"/>
      <c r="AP83" s="58"/>
      <c r="AQ83" s="58"/>
      <c r="AR83" s="58"/>
      <c r="AS83" s="58"/>
      <c r="AT83" s="58"/>
      <c r="AU83" s="58"/>
      <c r="AV83" s="58"/>
      <c r="AW83" s="58"/>
      <c r="AX83" s="58"/>
      <c r="AY83" s="58"/>
      <c r="AZ83" s="58"/>
    </row>
    <row r="84" spans="1:52" hidden="1" x14ac:dyDescent="0.25">
      <c r="A84" s="58"/>
      <c r="B84" s="58"/>
      <c r="C84" s="58"/>
      <c r="D84" s="58"/>
      <c r="E84" s="58"/>
      <c r="F84" s="58"/>
      <c r="G84" s="58"/>
      <c r="H84" s="58"/>
      <c r="I84" s="58"/>
      <c r="J84" s="58"/>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8"/>
      <c r="AQ84" s="58"/>
      <c r="AR84" s="58"/>
      <c r="AS84" s="58"/>
      <c r="AT84" s="58"/>
      <c r="AU84" s="58"/>
      <c r="AV84" s="58"/>
      <c r="AW84" s="58"/>
      <c r="AX84" s="58"/>
      <c r="AY84" s="58"/>
      <c r="AZ84" s="58"/>
    </row>
    <row r="85" spans="1:52" hidden="1" x14ac:dyDescent="0.25">
      <c r="A85" s="58"/>
      <c r="B85" s="58"/>
      <c r="C85" s="58"/>
      <c r="D85" s="58"/>
      <c r="E85" s="58"/>
      <c r="F85" s="58"/>
      <c r="G85" s="58"/>
      <c r="H85" s="58"/>
      <c r="I85" s="58"/>
      <c r="J85" s="58"/>
      <c r="K85" s="58"/>
      <c r="L85" s="58"/>
      <c r="M85" s="58"/>
      <c r="N85" s="58"/>
      <c r="O85" s="58"/>
      <c r="P85" s="58"/>
      <c r="Q85" s="58"/>
      <c r="R85" s="58"/>
      <c r="S85" s="58"/>
      <c r="T85" s="58"/>
      <c r="U85" s="58"/>
      <c r="V85" s="58"/>
      <c r="W85" s="58"/>
      <c r="X85" s="58"/>
      <c r="Y85" s="58"/>
      <c r="Z85" s="58"/>
      <c r="AA85" s="58"/>
      <c r="AB85" s="58"/>
      <c r="AC85" s="58"/>
      <c r="AD85" s="58"/>
      <c r="AE85" s="58"/>
      <c r="AF85" s="58"/>
      <c r="AG85" s="58"/>
      <c r="AH85" s="58"/>
      <c r="AI85" s="58"/>
      <c r="AJ85" s="58"/>
      <c r="AK85" s="58"/>
      <c r="AL85" s="58"/>
      <c r="AM85" s="58"/>
      <c r="AN85" s="58"/>
      <c r="AO85" s="58"/>
      <c r="AP85" s="58"/>
      <c r="AQ85" s="58"/>
      <c r="AR85" s="58"/>
      <c r="AS85" s="58"/>
      <c r="AT85" s="58"/>
      <c r="AU85" s="58"/>
      <c r="AV85" s="58"/>
      <c r="AW85" s="58"/>
      <c r="AX85" s="58"/>
      <c r="AY85" s="58"/>
      <c r="AZ85" s="58"/>
    </row>
    <row r="86" spans="1:52" hidden="1" x14ac:dyDescent="0.25">
      <c r="A86" s="58"/>
      <c r="B86" s="58"/>
      <c r="C86" s="58"/>
      <c r="D86" s="58"/>
      <c r="E86" s="58"/>
      <c r="F86" s="58"/>
      <c r="G86" s="58"/>
      <c r="H86" s="58"/>
      <c r="I86" s="58"/>
      <c r="J86" s="58"/>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8"/>
      <c r="AQ86" s="58"/>
      <c r="AR86" s="58"/>
      <c r="AS86" s="58"/>
      <c r="AT86" s="58"/>
      <c r="AU86" s="58"/>
      <c r="AV86" s="58"/>
      <c r="AW86" s="58"/>
      <c r="AX86" s="58"/>
      <c r="AY86" s="58"/>
      <c r="AZ86" s="58"/>
    </row>
    <row r="87" spans="1:52" hidden="1" x14ac:dyDescent="0.25">
      <c r="A87" s="58"/>
      <c r="B87" s="58"/>
      <c r="C87" s="58"/>
      <c r="D87" s="58"/>
      <c r="E87" s="58"/>
      <c r="F87" s="58"/>
      <c r="G87" s="58"/>
      <c r="H87" s="58"/>
      <c r="I87" s="58"/>
      <c r="J87" s="58"/>
      <c r="K87" s="58"/>
      <c r="L87" s="58"/>
      <c r="M87" s="58"/>
      <c r="N87" s="58"/>
      <c r="O87" s="58"/>
      <c r="P87" s="58"/>
      <c r="Q87" s="58"/>
      <c r="R87" s="58"/>
      <c r="S87" s="58"/>
      <c r="T87" s="58"/>
      <c r="U87" s="58"/>
      <c r="V87" s="58"/>
      <c r="W87" s="58"/>
      <c r="X87" s="58"/>
      <c r="Y87" s="58"/>
      <c r="Z87" s="58"/>
      <c r="AA87" s="58"/>
      <c r="AB87" s="58"/>
      <c r="AC87" s="58"/>
      <c r="AD87" s="58"/>
      <c r="AE87" s="58"/>
      <c r="AF87" s="58"/>
      <c r="AG87" s="58"/>
      <c r="AH87" s="58"/>
      <c r="AI87" s="58"/>
      <c r="AJ87" s="58"/>
      <c r="AK87" s="58"/>
      <c r="AL87" s="58"/>
      <c r="AM87" s="58"/>
      <c r="AN87" s="58"/>
      <c r="AO87" s="58"/>
      <c r="AP87" s="58"/>
      <c r="AQ87" s="58"/>
      <c r="AR87" s="58"/>
      <c r="AS87" s="58"/>
      <c r="AT87" s="58"/>
      <c r="AU87" s="58"/>
      <c r="AV87" s="58"/>
      <c r="AW87" s="58"/>
      <c r="AX87" s="58"/>
      <c r="AY87" s="58"/>
      <c r="AZ87" s="58"/>
    </row>
    <row r="88" spans="1:52" hidden="1" x14ac:dyDescent="0.25">
      <c r="A88" s="58"/>
      <c r="B88" s="58"/>
      <c r="C88" s="58"/>
      <c r="D88" s="58"/>
      <c r="E88" s="58"/>
      <c r="F88" s="58"/>
      <c r="G88" s="58"/>
      <c r="H88" s="58"/>
      <c r="I88" s="58"/>
      <c r="J88" s="58"/>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row>
    <row r="89" spans="1:52" hidden="1" x14ac:dyDescent="0.25">
      <c r="A89" s="58"/>
      <c r="B89" s="58"/>
      <c r="C89" s="58"/>
      <c r="D89" s="58"/>
      <c r="E89" s="58"/>
      <c r="F89" s="58"/>
      <c r="G89" s="58"/>
      <c r="H89" s="58"/>
      <c r="I89" s="58"/>
      <c r="J89" s="58"/>
      <c r="K89" s="58"/>
      <c r="L89" s="58"/>
      <c r="M89" s="58"/>
      <c r="N89" s="58"/>
      <c r="O89" s="58"/>
      <c r="P89" s="58"/>
      <c r="Q89" s="58"/>
      <c r="R89" s="58"/>
      <c r="S89" s="58"/>
      <c r="T89" s="58"/>
      <c r="U89" s="58"/>
      <c r="V89" s="58"/>
      <c r="W89" s="58"/>
      <c r="X89" s="58"/>
      <c r="Y89" s="58"/>
      <c r="Z89" s="58"/>
      <c r="AA89" s="58"/>
      <c r="AB89" s="58"/>
      <c r="AC89" s="58"/>
      <c r="AD89" s="58"/>
      <c r="AE89" s="58"/>
      <c r="AF89" s="58"/>
      <c r="AG89" s="58"/>
      <c r="AH89" s="58"/>
      <c r="AI89" s="58"/>
      <c r="AJ89" s="58"/>
      <c r="AK89" s="58"/>
      <c r="AL89" s="58"/>
      <c r="AM89" s="58"/>
      <c r="AN89" s="58"/>
      <c r="AO89" s="58"/>
      <c r="AP89" s="58"/>
      <c r="AQ89" s="58"/>
      <c r="AR89" s="58"/>
      <c r="AS89" s="58"/>
      <c r="AT89" s="58"/>
      <c r="AU89" s="58"/>
      <c r="AV89" s="58"/>
      <c r="AW89" s="58"/>
      <c r="AX89" s="58"/>
      <c r="AY89" s="58"/>
      <c r="AZ89" s="58"/>
    </row>
    <row r="90" spans="1:52" hidden="1" x14ac:dyDescent="0.25">
      <c r="A90" s="58"/>
      <c r="B90" s="58"/>
      <c r="C90" s="58"/>
      <c r="D90" s="58"/>
      <c r="E90" s="58"/>
      <c r="F90" s="58"/>
      <c r="G90" s="58"/>
      <c r="H90" s="58"/>
      <c r="I90" s="58"/>
      <c r="J90" s="58"/>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8"/>
      <c r="AQ90" s="58"/>
      <c r="AR90" s="58"/>
      <c r="AS90" s="58"/>
      <c r="AT90" s="58"/>
      <c r="AU90" s="58"/>
      <c r="AV90" s="58"/>
      <c r="AW90" s="58"/>
      <c r="AX90" s="58"/>
      <c r="AY90" s="58"/>
      <c r="AZ90" s="58"/>
    </row>
    <row r="91" spans="1:52" hidden="1" x14ac:dyDescent="0.25">
      <c r="A91" s="58"/>
      <c r="B91" s="58"/>
      <c r="C91" s="58"/>
      <c r="D91" s="58"/>
      <c r="E91" s="58"/>
      <c r="F91" s="58"/>
      <c r="G91" s="58"/>
      <c r="H91" s="58"/>
      <c r="I91" s="58"/>
      <c r="J91" s="58"/>
      <c r="K91" s="58"/>
      <c r="L91" s="58"/>
      <c r="M91" s="58"/>
      <c r="N91" s="58"/>
      <c r="O91" s="58"/>
      <c r="P91" s="58"/>
      <c r="Q91" s="58"/>
      <c r="R91" s="58"/>
      <c r="S91" s="58"/>
      <c r="T91" s="58"/>
      <c r="U91" s="58"/>
      <c r="V91" s="58"/>
      <c r="W91" s="58"/>
      <c r="X91" s="58"/>
      <c r="Y91" s="58"/>
      <c r="Z91" s="58"/>
      <c r="AA91" s="58"/>
      <c r="AB91" s="58"/>
      <c r="AC91" s="58"/>
      <c r="AD91" s="58"/>
      <c r="AE91" s="58"/>
      <c r="AF91" s="58"/>
      <c r="AG91" s="58"/>
      <c r="AH91" s="58"/>
      <c r="AI91" s="58"/>
      <c r="AJ91" s="58"/>
      <c r="AK91" s="58"/>
      <c r="AL91" s="58"/>
      <c r="AM91" s="58"/>
      <c r="AN91" s="58"/>
      <c r="AO91" s="58"/>
      <c r="AP91" s="58"/>
      <c r="AQ91" s="58"/>
      <c r="AR91" s="58"/>
      <c r="AS91" s="58"/>
      <c r="AT91" s="58"/>
      <c r="AU91" s="58"/>
      <c r="AV91" s="58"/>
      <c r="AW91" s="58"/>
      <c r="AX91" s="58"/>
      <c r="AY91" s="58"/>
      <c r="AZ91" s="58"/>
    </row>
    <row r="92" spans="1:52" hidden="1" x14ac:dyDescent="0.25">
      <c r="A92" s="58"/>
      <c r="B92" s="58"/>
      <c r="C92" s="58"/>
      <c r="D92" s="58"/>
      <c r="E92" s="58"/>
      <c r="F92" s="58"/>
      <c r="G92" s="58"/>
      <c r="H92" s="58"/>
      <c r="I92" s="58"/>
      <c r="J92" s="58"/>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8"/>
      <c r="AQ92" s="58"/>
      <c r="AR92" s="58"/>
      <c r="AS92" s="58"/>
      <c r="AT92" s="58"/>
      <c r="AU92" s="58"/>
      <c r="AV92" s="58"/>
      <c r="AW92" s="58"/>
      <c r="AX92" s="58"/>
      <c r="AY92" s="58"/>
      <c r="AZ92" s="58"/>
    </row>
    <row r="93" spans="1:52" hidden="1" x14ac:dyDescent="0.25">
      <c r="A93" s="58"/>
      <c r="B93" s="58"/>
      <c r="C93" s="58"/>
      <c r="D93" s="58"/>
      <c r="E93" s="58"/>
      <c r="F93" s="58"/>
      <c r="G93" s="58"/>
      <c r="H93" s="58"/>
      <c r="I93" s="58"/>
      <c r="J93" s="58"/>
      <c r="K93" s="58"/>
      <c r="L93" s="58"/>
      <c r="M93" s="58"/>
      <c r="N93" s="58"/>
      <c r="O93" s="58"/>
      <c r="P93" s="58"/>
      <c r="Q93" s="58"/>
      <c r="R93" s="58"/>
      <c r="S93" s="58"/>
      <c r="T93" s="58"/>
      <c r="U93" s="58"/>
      <c r="V93" s="58"/>
      <c r="W93" s="58"/>
      <c r="X93" s="58"/>
      <c r="Y93" s="58"/>
      <c r="Z93" s="58"/>
      <c r="AA93" s="58"/>
      <c r="AB93" s="58"/>
      <c r="AC93" s="58"/>
      <c r="AD93" s="58"/>
      <c r="AE93" s="58"/>
      <c r="AF93" s="58"/>
      <c r="AG93" s="58"/>
      <c r="AH93" s="58"/>
      <c r="AI93" s="58"/>
      <c r="AJ93" s="58"/>
      <c r="AK93" s="58"/>
      <c r="AL93" s="58"/>
      <c r="AM93" s="58"/>
      <c r="AN93" s="58"/>
      <c r="AO93" s="58"/>
      <c r="AP93" s="58"/>
      <c r="AQ93" s="58"/>
      <c r="AR93" s="58"/>
      <c r="AS93" s="58"/>
      <c r="AT93" s="58"/>
      <c r="AU93" s="58"/>
      <c r="AV93" s="58"/>
      <c r="AW93" s="58"/>
      <c r="AX93" s="58"/>
      <c r="AY93" s="58"/>
      <c r="AZ93" s="58"/>
    </row>
    <row r="94" spans="1:52" hidden="1" x14ac:dyDescent="0.25">
      <c r="A94" s="58"/>
      <c r="B94" s="58"/>
      <c r="C94" s="58"/>
      <c r="D94" s="58"/>
      <c r="E94" s="58"/>
      <c r="F94" s="58"/>
      <c r="G94" s="58"/>
      <c r="H94" s="58"/>
      <c r="I94" s="58"/>
      <c r="J94" s="58"/>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8"/>
      <c r="AQ94" s="58"/>
      <c r="AR94" s="58"/>
      <c r="AS94" s="58"/>
      <c r="AT94" s="58"/>
      <c r="AU94" s="58"/>
      <c r="AV94" s="58"/>
      <c r="AW94" s="58"/>
      <c r="AX94" s="58"/>
      <c r="AY94" s="58"/>
      <c r="AZ94" s="58"/>
    </row>
    <row r="95" spans="1:52" hidden="1" x14ac:dyDescent="0.25">
      <c r="A95" s="58"/>
      <c r="B95" s="58"/>
      <c r="C95" s="58"/>
      <c r="D95" s="58"/>
      <c r="E95" s="58"/>
      <c r="F95" s="58"/>
      <c r="G95" s="58"/>
      <c r="H95" s="58"/>
      <c r="I95" s="58"/>
      <c r="J95" s="58"/>
      <c r="K95" s="58"/>
      <c r="L95" s="58"/>
      <c r="M95" s="58"/>
      <c r="N95" s="58"/>
      <c r="O95" s="58"/>
      <c r="P95" s="58"/>
      <c r="Q95" s="58"/>
      <c r="R95" s="58"/>
      <c r="S95" s="58"/>
      <c r="T95" s="58"/>
      <c r="U95" s="58"/>
      <c r="V95" s="58"/>
      <c r="W95" s="58"/>
      <c r="X95" s="58"/>
      <c r="Y95" s="58"/>
      <c r="Z95" s="58"/>
      <c r="AA95" s="58"/>
      <c r="AB95" s="58"/>
      <c r="AC95" s="58"/>
      <c r="AD95" s="58"/>
      <c r="AE95" s="58"/>
      <c r="AF95" s="58"/>
      <c r="AG95" s="58"/>
      <c r="AH95" s="58"/>
      <c r="AI95" s="58"/>
      <c r="AJ95" s="58"/>
      <c r="AK95" s="58"/>
      <c r="AL95" s="58"/>
      <c r="AM95" s="58"/>
      <c r="AN95" s="58"/>
      <c r="AO95" s="58"/>
      <c r="AP95" s="58"/>
      <c r="AQ95" s="58"/>
      <c r="AR95" s="58"/>
      <c r="AS95" s="58"/>
      <c r="AT95" s="58"/>
      <c r="AU95" s="58"/>
      <c r="AV95" s="58"/>
      <c r="AW95" s="58"/>
      <c r="AX95" s="58"/>
      <c r="AY95" s="58"/>
      <c r="AZ95" s="58"/>
    </row>
    <row r="96" spans="1:52" hidden="1" x14ac:dyDescent="0.25">
      <c r="A96" s="58"/>
      <c r="B96" s="58"/>
      <c r="C96" s="58"/>
      <c r="D96" s="58"/>
      <c r="E96" s="58"/>
      <c r="F96" s="58"/>
      <c r="G96" s="58"/>
      <c r="H96" s="58"/>
      <c r="I96" s="58"/>
      <c r="J96" s="58"/>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8"/>
      <c r="AQ96" s="58"/>
      <c r="AR96" s="58"/>
      <c r="AS96" s="58"/>
      <c r="AT96" s="58"/>
      <c r="AU96" s="58"/>
      <c r="AV96" s="58"/>
      <c r="AW96" s="58"/>
      <c r="AX96" s="58"/>
      <c r="AY96" s="58"/>
      <c r="AZ96" s="58"/>
    </row>
    <row r="97" spans="1:52" hidden="1" x14ac:dyDescent="0.25">
      <c r="A97" s="58"/>
      <c r="B97" s="58"/>
      <c r="C97" s="58"/>
      <c r="D97" s="58"/>
      <c r="E97" s="58"/>
      <c r="F97" s="58"/>
      <c r="G97" s="58"/>
      <c r="H97" s="58"/>
      <c r="I97" s="58"/>
      <c r="J97" s="58"/>
      <c r="K97" s="58"/>
      <c r="L97" s="58"/>
      <c r="M97" s="58"/>
      <c r="N97" s="58"/>
      <c r="O97" s="58"/>
      <c r="P97" s="58"/>
      <c r="Q97" s="58"/>
      <c r="R97" s="58"/>
      <c r="S97" s="58"/>
      <c r="T97" s="58"/>
      <c r="U97" s="58"/>
      <c r="V97" s="58"/>
      <c r="W97" s="58"/>
      <c r="X97" s="58"/>
      <c r="Y97" s="58"/>
      <c r="Z97" s="58"/>
      <c r="AA97" s="58"/>
      <c r="AB97" s="58"/>
      <c r="AC97" s="58"/>
      <c r="AD97" s="58"/>
      <c r="AE97" s="58"/>
      <c r="AF97" s="58"/>
      <c r="AG97" s="58"/>
      <c r="AH97" s="58"/>
      <c r="AI97" s="58"/>
      <c r="AJ97" s="58"/>
      <c r="AK97" s="58"/>
      <c r="AL97" s="58"/>
      <c r="AM97" s="58"/>
      <c r="AN97" s="58"/>
      <c r="AO97" s="58"/>
      <c r="AP97" s="58"/>
      <c r="AQ97" s="58"/>
      <c r="AR97" s="58"/>
      <c r="AS97" s="58"/>
      <c r="AT97" s="58"/>
      <c r="AU97" s="58"/>
      <c r="AV97" s="58"/>
      <c r="AW97" s="58"/>
      <c r="AX97" s="58"/>
      <c r="AY97" s="58"/>
      <c r="AZ97" s="58"/>
    </row>
    <row r="98" spans="1:52" hidden="1" x14ac:dyDescent="0.25">
      <c r="A98" s="58"/>
      <c r="B98" s="58"/>
      <c r="C98" s="58"/>
      <c r="D98" s="58"/>
      <c r="E98" s="58"/>
      <c r="F98" s="58"/>
      <c r="G98" s="58"/>
      <c r="H98" s="58"/>
      <c r="I98" s="58"/>
      <c r="J98" s="58"/>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8"/>
      <c r="AQ98" s="58"/>
      <c r="AR98" s="58"/>
      <c r="AS98" s="58"/>
      <c r="AT98" s="58"/>
      <c r="AU98" s="58"/>
      <c r="AV98" s="58"/>
      <c r="AW98" s="58"/>
      <c r="AX98" s="58"/>
      <c r="AY98" s="58"/>
      <c r="AZ98" s="58"/>
    </row>
    <row r="99" spans="1:52" hidden="1" x14ac:dyDescent="0.25">
      <c r="A99" s="58"/>
      <c r="B99" s="58"/>
      <c r="C99" s="58"/>
      <c r="D99" s="58"/>
      <c r="E99" s="58"/>
      <c r="F99" s="58"/>
      <c r="G99" s="58"/>
      <c r="H99" s="58"/>
      <c r="I99" s="58"/>
      <c r="J99" s="58"/>
      <c r="K99" s="58"/>
      <c r="L99" s="58"/>
      <c r="M99" s="58"/>
      <c r="N99" s="58"/>
      <c r="O99" s="58"/>
      <c r="P99" s="58"/>
      <c r="Q99" s="58"/>
      <c r="R99" s="58"/>
      <c r="S99" s="58"/>
      <c r="T99" s="58"/>
      <c r="U99" s="58"/>
      <c r="V99" s="58"/>
      <c r="W99" s="58"/>
      <c r="X99" s="58"/>
      <c r="Y99" s="58"/>
      <c r="Z99" s="58"/>
      <c r="AA99" s="58"/>
      <c r="AB99" s="58"/>
      <c r="AC99" s="58"/>
      <c r="AD99" s="58"/>
      <c r="AE99" s="58"/>
      <c r="AF99" s="58"/>
      <c r="AG99" s="58"/>
      <c r="AH99" s="58"/>
      <c r="AI99" s="58"/>
      <c r="AJ99" s="58"/>
      <c r="AK99" s="58"/>
      <c r="AL99" s="58"/>
      <c r="AM99" s="58"/>
      <c r="AN99" s="58"/>
      <c r="AO99" s="58"/>
      <c r="AP99" s="58"/>
      <c r="AQ99" s="58"/>
      <c r="AR99" s="58"/>
      <c r="AS99" s="58"/>
      <c r="AT99" s="58"/>
      <c r="AU99" s="58"/>
      <c r="AV99" s="58"/>
      <c r="AW99" s="58"/>
      <c r="AX99" s="58"/>
      <c r="AY99" s="58"/>
      <c r="AZ99" s="58"/>
    </row>
    <row r="100" spans="1:52" hidden="1" x14ac:dyDescent="0.25">
      <c r="A100" s="58"/>
      <c r="B100" s="58"/>
      <c r="C100" s="58"/>
      <c r="D100" s="58"/>
      <c r="E100" s="58"/>
      <c r="F100" s="58"/>
      <c r="G100" s="58"/>
      <c r="H100" s="58"/>
      <c r="I100" s="58"/>
      <c r="J100" s="58"/>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8"/>
      <c r="AQ100" s="58"/>
      <c r="AR100" s="58"/>
      <c r="AS100" s="58"/>
      <c r="AT100" s="58"/>
      <c r="AU100" s="58"/>
      <c r="AV100" s="58"/>
      <c r="AW100" s="58"/>
      <c r="AX100" s="58"/>
      <c r="AY100" s="58"/>
      <c r="AZ100" s="58"/>
    </row>
    <row r="101" spans="1:52" hidden="1" x14ac:dyDescent="0.25">
      <c r="A101" s="58"/>
      <c r="B101" s="58"/>
      <c r="C101" s="58"/>
      <c r="D101" s="58"/>
      <c r="E101" s="58"/>
      <c r="F101" s="58"/>
      <c r="G101" s="58"/>
      <c r="H101" s="58"/>
      <c r="I101" s="58"/>
      <c r="J101" s="58"/>
      <c r="K101" s="58"/>
      <c r="L101" s="58"/>
      <c r="M101" s="58"/>
      <c r="N101" s="58"/>
      <c r="O101" s="58"/>
      <c r="P101" s="58"/>
      <c r="Q101" s="58"/>
      <c r="R101" s="58"/>
      <c r="S101" s="58"/>
      <c r="T101" s="58"/>
      <c r="U101" s="58"/>
      <c r="V101" s="58"/>
      <c r="W101" s="58"/>
      <c r="X101" s="58"/>
      <c r="Y101" s="58"/>
      <c r="Z101" s="58"/>
      <c r="AA101" s="58"/>
      <c r="AB101" s="58"/>
      <c r="AC101" s="58"/>
      <c r="AD101" s="58"/>
      <c r="AE101" s="58"/>
      <c r="AF101" s="58"/>
      <c r="AG101" s="58"/>
      <c r="AH101" s="58"/>
      <c r="AI101" s="58"/>
      <c r="AJ101" s="58"/>
      <c r="AK101" s="58"/>
      <c r="AL101" s="58"/>
      <c r="AM101" s="58"/>
      <c r="AN101" s="58"/>
      <c r="AO101" s="58"/>
      <c r="AP101" s="58"/>
      <c r="AQ101" s="58"/>
      <c r="AR101" s="58"/>
      <c r="AS101" s="58"/>
      <c r="AT101" s="58"/>
      <c r="AU101" s="58"/>
      <c r="AV101" s="58"/>
      <c r="AW101" s="58"/>
      <c r="AX101" s="58"/>
      <c r="AY101" s="58"/>
      <c r="AZ101" s="58"/>
    </row>
    <row r="102" spans="1:52" hidden="1" x14ac:dyDescent="0.25">
      <c r="A102" s="58"/>
      <c r="B102" s="58"/>
      <c r="C102" s="58"/>
      <c r="D102" s="58"/>
      <c r="E102" s="58"/>
      <c r="F102" s="58"/>
      <c r="G102" s="58"/>
      <c r="H102" s="58"/>
      <c r="I102" s="58"/>
      <c r="J102" s="58"/>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8"/>
      <c r="AQ102" s="58"/>
      <c r="AR102" s="58"/>
      <c r="AS102" s="58"/>
      <c r="AT102" s="58"/>
      <c r="AU102" s="58"/>
      <c r="AV102" s="58"/>
      <c r="AW102" s="58"/>
      <c r="AX102" s="58"/>
      <c r="AY102" s="58"/>
      <c r="AZ102" s="58"/>
    </row>
    <row r="103" spans="1:52" hidden="1" x14ac:dyDescent="0.25">
      <c r="A103" s="58"/>
      <c r="B103" s="58"/>
      <c r="C103" s="58"/>
      <c r="D103" s="58"/>
      <c r="E103" s="58"/>
      <c r="F103" s="58"/>
      <c r="G103" s="58"/>
      <c r="H103" s="58"/>
      <c r="I103" s="58"/>
      <c r="J103" s="58"/>
      <c r="K103" s="58"/>
      <c r="L103" s="58"/>
      <c r="M103" s="58"/>
      <c r="N103" s="58"/>
      <c r="O103" s="58"/>
      <c r="P103" s="58"/>
      <c r="Q103" s="58"/>
      <c r="R103" s="58"/>
      <c r="S103" s="58"/>
      <c r="T103" s="58"/>
      <c r="U103" s="58"/>
      <c r="V103" s="58"/>
      <c r="W103" s="58"/>
      <c r="X103" s="58"/>
      <c r="Y103" s="58"/>
      <c r="Z103" s="58"/>
      <c r="AA103" s="58"/>
      <c r="AB103" s="58"/>
      <c r="AC103" s="58"/>
      <c r="AD103" s="58"/>
      <c r="AE103" s="58"/>
      <c r="AF103" s="58"/>
      <c r="AG103" s="58"/>
      <c r="AH103" s="58"/>
      <c r="AI103" s="58"/>
      <c r="AJ103" s="58"/>
      <c r="AK103" s="58"/>
      <c r="AL103" s="58"/>
      <c r="AM103" s="58"/>
      <c r="AN103" s="58"/>
      <c r="AO103" s="58"/>
      <c r="AP103" s="58"/>
      <c r="AQ103" s="58"/>
      <c r="AR103" s="58"/>
      <c r="AS103" s="58"/>
      <c r="AT103" s="58"/>
      <c r="AU103" s="58"/>
      <c r="AV103" s="58"/>
      <c r="AW103" s="58"/>
      <c r="AX103" s="58"/>
      <c r="AY103" s="58"/>
      <c r="AZ103" s="58"/>
    </row>
    <row r="104" spans="1:52" hidden="1" x14ac:dyDescent="0.25">
      <c r="A104" s="58"/>
      <c r="B104" s="58"/>
      <c r="C104" s="58"/>
      <c r="D104" s="58"/>
      <c r="E104" s="58"/>
      <c r="F104" s="58"/>
      <c r="G104" s="58"/>
      <c r="H104" s="58"/>
      <c r="I104" s="58"/>
      <c r="J104" s="58"/>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8"/>
      <c r="AQ104" s="58"/>
      <c r="AR104" s="58"/>
      <c r="AS104" s="58"/>
      <c r="AT104" s="58"/>
      <c r="AU104" s="58"/>
      <c r="AV104" s="58"/>
      <c r="AW104" s="58"/>
      <c r="AX104" s="58"/>
      <c r="AY104" s="58"/>
      <c r="AZ104" s="58"/>
    </row>
    <row r="105" spans="1:52" hidden="1" x14ac:dyDescent="0.25">
      <c r="A105" s="58"/>
      <c r="B105" s="58"/>
      <c r="C105" s="58"/>
      <c r="D105" s="58"/>
      <c r="E105" s="58"/>
      <c r="F105" s="58"/>
      <c r="G105" s="58"/>
      <c r="H105" s="58"/>
      <c r="I105" s="58"/>
      <c r="J105" s="58"/>
      <c r="K105" s="58"/>
      <c r="L105" s="58"/>
      <c r="M105" s="58"/>
      <c r="N105" s="58"/>
      <c r="O105" s="58"/>
      <c r="P105" s="58"/>
      <c r="Q105" s="58"/>
      <c r="R105" s="58"/>
      <c r="S105" s="58"/>
      <c r="T105" s="58"/>
      <c r="U105" s="58"/>
      <c r="V105" s="58"/>
      <c r="W105" s="58"/>
      <c r="X105" s="58"/>
      <c r="Y105" s="58"/>
      <c r="Z105" s="58"/>
      <c r="AA105" s="58"/>
      <c r="AB105" s="58"/>
      <c r="AC105" s="58"/>
      <c r="AD105" s="58"/>
      <c r="AE105" s="58"/>
      <c r="AF105" s="58"/>
      <c r="AG105" s="58"/>
      <c r="AH105" s="58"/>
      <c r="AI105" s="58"/>
      <c r="AJ105" s="58"/>
      <c r="AK105" s="58"/>
      <c r="AL105" s="58"/>
      <c r="AM105" s="58"/>
      <c r="AN105" s="58"/>
      <c r="AO105" s="58"/>
      <c r="AP105" s="58"/>
      <c r="AQ105" s="58"/>
      <c r="AR105" s="58"/>
      <c r="AS105" s="58"/>
      <c r="AT105" s="58"/>
      <c r="AU105" s="58"/>
      <c r="AV105" s="58"/>
      <c r="AW105" s="58"/>
      <c r="AX105" s="58"/>
      <c r="AY105" s="58"/>
      <c r="AZ105" s="58"/>
    </row>
    <row r="106" spans="1:52" hidden="1" x14ac:dyDescent="0.25">
      <c r="A106" s="58"/>
      <c r="B106" s="58"/>
      <c r="C106" s="58"/>
      <c r="D106" s="58"/>
      <c r="E106" s="58"/>
      <c r="F106" s="58"/>
      <c r="G106" s="58"/>
      <c r="H106" s="58"/>
      <c r="I106" s="58"/>
      <c r="J106" s="58"/>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8"/>
      <c r="AQ106" s="58"/>
      <c r="AR106" s="58"/>
      <c r="AS106" s="58"/>
      <c r="AT106" s="58"/>
      <c r="AU106" s="58"/>
      <c r="AV106" s="58"/>
      <c r="AW106" s="58"/>
      <c r="AX106" s="58"/>
      <c r="AY106" s="58"/>
      <c r="AZ106" s="58"/>
    </row>
    <row r="107" spans="1:52" hidden="1" x14ac:dyDescent="0.25">
      <c r="A107" s="58"/>
      <c r="B107" s="58"/>
      <c r="C107" s="58"/>
      <c r="D107" s="58"/>
      <c r="E107" s="58"/>
      <c r="F107" s="58"/>
      <c r="G107" s="58"/>
      <c r="H107" s="58"/>
      <c r="I107" s="58"/>
      <c r="J107" s="58"/>
      <c r="K107" s="58"/>
      <c r="L107" s="58"/>
      <c r="M107" s="58"/>
      <c r="N107" s="58"/>
      <c r="O107" s="58"/>
      <c r="P107" s="58"/>
      <c r="Q107" s="58"/>
      <c r="R107" s="58"/>
      <c r="S107" s="58"/>
      <c r="T107" s="58"/>
      <c r="U107" s="58"/>
      <c r="V107" s="58"/>
      <c r="W107" s="58"/>
      <c r="X107" s="58"/>
      <c r="Y107" s="58"/>
      <c r="Z107" s="58"/>
      <c r="AA107" s="58"/>
      <c r="AB107" s="58"/>
      <c r="AC107" s="58"/>
      <c r="AD107" s="58"/>
      <c r="AE107" s="58"/>
      <c r="AF107" s="58"/>
      <c r="AG107" s="58"/>
      <c r="AH107" s="58"/>
      <c r="AI107" s="58"/>
      <c r="AJ107" s="58"/>
      <c r="AK107" s="58"/>
      <c r="AL107" s="58"/>
      <c r="AM107" s="58"/>
      <c r="AN107" s="58"/>
      <c r="AO107" s="58"/>
      <c r="AP107" s="58"/>
      <c r="AQ107" s="58"/>
      <c r="AR107" s="58"/>
      <c r="AS107" s="58"/>
      <c r="AT107" s="58"/>
      <c r="AU107" s="58"/>
      <c r="AV107" s="58"/>
      <c r="AW107" s="58"/>
      <c r="AX107" s="58"/>
      <c r="AY107" s="58"/>
      <c r="AZ107" s="58"/>
    </row>
    <row r="108" spans="1:52" hidden="1" x14ac:dyDescent="0.25">
      <c r="A108" s="58"/>
      <c r="B108" s="58"/>
      <c r="C108" s="58"/>
      <c r="D108" s="58"/>
      <c r="E108" s="58"/>
      <c r="F108" s="58"/>
      <c r="G108" s="58"/>
      <c r="H108" s="58"/>
      <c r="I108" s="58"/>
      <c r="J108" s="58"/>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8"/>
      <c r="AQ108" s="58"/>
      <c r="AR108" s="58"/>
      <c r="AS108" s="58"/>
      <c r="AT108" s="58"/>
      <c r="AU108" s="58"/>
      <c r="AV108" s="58"/>
      <c r="AW108" s="58"/>
      <c r="AX108" s="58"/>
      <c r="AY108" s="58"/>
      <c r="AZ108" s="58"/>
    </row>
    <row r="109" spans="1:52" hidden="1" x14ac:dyDescent="0.25">
      <c r="A109" s="58"/>
      <c r="B109" s="58"/>
      <c r="C109" s="58"/>
      <c r="D109" s="58"/>
      <c r="E109" s="58"/>
      <c r="F109" s="58"/>
      <c r="G109" s="58"/>
      <c r="H109" s="58"/>
      <c r="I109" s="58"/>
      <c r="J109" s="58"/>
      <c r="K109" s="58"/>
      <c r="L109" s="58"/>
      <c r="M109" s="58"/>
      <c r="N109" s="58"/>
      <c r="O109" s="58"/>
      <c r="P109" s="58"/>
      <c r="Q109" s="58"/>
      <c r="R109" s="58"/>
      <c r="S109" s="58"/>
      <c r="T109" s="58"/>
      <c r="U109" s="58"/>
      <c r="V109" s="58"/>
      <c r="W109" s="58"/>
      <c r="X109" s="58"/>
      <c r="Y109" s="58"/>
      <c r="Z109" s="58"/>
      <c r="AA109" s="58"/>
      <c r="AB109" s="58"/>
      <c r="AC109" s="58"/>
      <c r="AD109" s="58"/>
      <c r="AE109" s="58"/>
      <c r="AF109" s="58"/>
      <c r="AG109" s="58"/>
      <c r="AH109" s="58"/>
      <c r="AI109" s="58"/>
      <c r="AJ109" s="58"/>
      <c r="AK109" s="58"/>
      <c r="AL109" s="58"/>
      <c r="AM109" s="58"/>
      <c r="AN109" s="58"/>
      <c r="AO109" s="58"/>
      <c r="AP109" s="58"/>
      <c r="AQ109" s="58"/>
      <c r="AR109" s="58"/>
      <c r="AS109" s="58"/>
      <c r="AT109" s="58"/>
      <c r="AU109" s="58"/>
      <c r="AV109" s="58"/>
      <c r="AW109" s="58"/>
      <c r="AX109" s="58"/>
      <c r="AY109" s="58"/>
      <c r="AZ109" s="58"/>
    </row>
    <row r="110" spans="1:52" hidden="1" x14ac:dyDescent="0.25">
      <c r="A110" s="58"/>
      <c r="B110" s="58"/>
      <c r="C110" s="58"/>
      <c r="D110" s="58"/>
      <c r="E110" s="58"/>
      <c r="F110" s="58"/>
      <c r="G110" s="58"/>
      <c r="H110" s="58"/>
      <c r="I110" s="58"/>
      <c r="J110" s="58"/>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8"/>
      <c r="AQ110" s="58"/>
      <c r="AR110" s="58"/>
      <c r="AS110" s="58"/>
      <c r="AT110" s="58"/>
      <c r="AU110" s="58"/>
      <c r="AV110" s="58"/>
      <c r="AW110" s="58"/>
      <c r="AX110" s="58"/>
      <c r="AY110" s="58"/>
      <c r="AZ110" s="58"/>
    </row>
    <row r="111" spans="1:52" hidden="1" x14ac:dyDescent="0.25">
      <c r="A111" s="58"/>
      <c r="B111" s="58"/>
      <c r="C111" s="58"/>
      <c r="D111" s="58"/>
      <c r="E111" s="58"/>
      <c r="F111" s="58"/>
      <c r="G111" s="58"/>
      <c r="H111" s="58"/>
      <c r="I111" s="58"/>
      <c r="J111" s="58"/>
      <c r="K111" s="58"/>
      <c r="L111" s="58"/>
      <c r="M111" s="58"/>
      <c r="N111" s="58"/>
      <c r="O111" s="58"/>
      <c r="P111" s="58"/>
      <c r="Q111" s="58"/>
      <c r="R111" s="58"/>
      <c r="S111" s="58"/>
      <c r="T111" s="58"/>
      <c r="U111" s="58"/>
      <c r="V111" s="58"/>
      <c r="W111" s="58"/>
      <c r="X111" s="58"/>
      <c r="Y111" s="58"/>
      <c r="Z111" s="58"/>
      <c r="AA111" s="58"/>
      <c r="AB111" s="58"/>
      <c r="AC111" s="58"/>
      <c r="AD111" s="58"/>
      <c r="AE111" s="58"/>
      <c r="AF111" s="58"/>
      <c r="AG111" s="58"/>
      <c r="AH111" s="58"/>
      <c r="AI111" s="58"/>
      <c r="AJ111" s="58"/>
      <c r="AK111" s="58"/>
      <c r="AL111" s="58"/>
      <c r="AM111" s="58"/>
      <c r="AN111" s="58"/>
      <c r="AO111" s="58"/>
      <c r="AP111" s="58"/>
      <c r="AQ111" s="58"/>
      <c r="AR111" s="58"/>
      <c r="AS111" s="58"/>
      <c r="AT111" s="58"/>
      <c r="AU111" s="58"/>
      <c r="AV111" s="58"/>
      <c r="AW111" s="58"/>
      <c r="AX111" s="58"/>
      <c r="AY111" s="58"/>
      <c r="AZ111" s="58"/>
    </row>
    <row r="112" spans="1:52" hidden="1" x14ac:dyDescent="0.25">
      <c r="A112" s="58"/>
      <c r="B112" s="58"/>
      <c r="C112" s="58"/>
      <c r="D112" s="58"/>
      <c r="E112" s="58"/>
      <c r="F112" s="58"/>
      <c r="G112" s="58"/>
      <c r="H112" s="58"/>
      <c r="I112" s="58"/>
      <c r="J112" s="58"/>
      <c r="K112" s="58"/>
      <c r="L112" s="58"/>
      <c r="M112" s="58"/>
      <c r="N112" s="58"/>
      <c r="O112" s="58"/>
      <c r="P112" s="58"/>
      <c r="Q112" s="58"/>
      <c r="R112" s="58"/>
      <c r="S112" s="58"/>
      <c r="T112" s="58"/>
      <c r="U112" s="58"/>
      <c r="V112" s="58"/>
      <c r="W112" s="58"/>
      <c r="X112" s="58"/>
      <c r="Y112" s="58"/>
      <c r="Z112" s="58"/>
      <c r="AA112" s="58"/>
      <c r="AB112" s="58"/>
      <c r="AC112" s="58"/>
      <c r="AD112" s="58"/>
      <c r="AE112" s="58"/>
      <c r="AF112" s="58"/>
      <c r="AG112" s="58"/>
      <c r="AH112" s="58"/>
      <c r="AI112" s="58"/>
      <c r="AJ112" s="58"/>
      <c r="AK112" s="58"/>
      <c r="AL112" s="58"/>
      <c r="AM112" s="58"/>
      <c r="AN112" s="58"/>
      <c r="AO112" s="58"/>
      <c r="AP112" s="58"/>
      <c r="AQ112" s="58"/>
      <c r="AR112" s="58"/>
      <c r="AS112" s="58"/>
      <c r="AT112" s="58"/>
      <c r="AU112" s="58"/>
      <c r="AV112" s="58"/>
      <c r="AW112" s="58"/>
      <c r="AX112" s="58"/>
      <c r="AY112" s="58"/>
      <c r="AZ112" s="58"/>
    </row>
    <row r="113" spans="1:52" hidden="1" x14ac:dyDescent="0.25">
      <c r="A113" s="58"/>
      <c r="B113" s="58"/>
      <c r="C113" s="58"/>
      <c r="D113" s="58"/>
      <c r="E113" s="58"/>
      <c r="F113" s="58"/>
      <c r="G113" s="58"/>
      <c r="H113" s="58"/>
      <c r="I113" s="58"/>
      <c r="J113" s="58"/>
      <c r="K113" s="58"/>
      <c r="L113" s="58"/>
      <c r="M113" s="58"/>
      <c r="N113" s="58"/>
      <c r="O113" s="58"/>
      <c r="P113" s="58"/>
      <c r="Q113" s="58"/>
      <c r="R113" s="58"/>
      <c r="S113" s="58"/>
      <c r="T113" s="58"/>
      <c r="U113" s="58"/>
      <c r="V113" s="58"/>
      <c r="W113" s="58"/>
      <c r="X113" s="58"/>
      <c r="Y113" s="58"/>
      <c r="Z113" s="58"/>
      <c r="AA113" s="58"/>
      <c r="AB113" s="58"/>
      <c r="AC113" s="58"/>
      <c r="AD113" s="58"/>
      <c r="AE113" s="58"/>
      <c r="AF113" s="58"/>
      <c r="AG113" s="58"/>
      <c r="AH113" s="58"/>
      <c r="AI113" s="58"/>
      <c r="AJ113" s="58"/>
      <c r="AK113" s="58"/>
      <c r="AL113" s="58"/>
      <c r="AM113" s="58"/>
      <c r="AN113" s="58"/>
      <c r="AO113" s="58"/>
      <c r="AP113" s="58"/>
      <c r="AQ113" s="58"/>
      <c r="AR113" s="58"/>
      <c r="AS113" s="58"/>
      <c r="AT113" s="58"/>
      <c r="AU113" s="58"/>
      <c r="AV113" s="58"/>
      <c r="AW113" s="58"/>
      <c r="AX113" s="58"/>
      <c r="AY113" s="58"/>
      <c r="AZ113" s="58"/>
    </row>
    <row r="114" spans="1:52" hidden="1" x14ac:dyDescent="0.25">
      <c r="A114" s="58"/>
      <c r="B114" s="58"/>
      <c r="C114" s="58"/>
      <c r="D114" s="58"/>
      <c r="E114" s="58"/>
      <c r="F114" s="58"/>
      <c r="G114" s="58"/>
      <c r="H114" s="58"/>
      <c r="I114" s="58"/>
      <c r="J114" s="58"/>
      <c r="K114" s="58"/>
      <c r="L114" s="58"/>
      <c r="M114" s="58"/>
      <c r="N114" s="58"/>
      <c r="O114" s="58"/>
      <c r="P114" s="58"/>
      <c r="Q114" s="58"/>
      <c r="R114" s="58"/>
      <c r="S114" s="58"/>
      <c r="T114" s="58"/>
      <c r="U114" s="58"/>
      <c r="V114" s="58"/>
      <c r="W114" s="58"/>
      <c r="X114" s="58"/>
      <c r="Y114" s="58"/>
      <c r="Z114" s="58"/>
      <c r="AA114" s="58"/>
      <c r="AB114" s="58"/>
      <c r="AC114" s="58"/>
      <c r="AD114" s="58"/>
      <c r="AE114" s="58"/>
      <c r="AF114" s="58"/>
      <c r="AG114" s="58"/>
      <c r="AH114" s="58"/>
      <c r="AI114" s="58"/>
      <c r="AJ114" s="58"/>
      <c r="AK114" s="58"/>
      <c r="AL114" s="58"/>
      <c r="AM114" s="58"/>
      <c r="AN114" s="58"/>
      <c r="AO114" s="58"/>
      <c r="AP114" s="58"/>
      <c r="AQ114" s="58"/>
      <c r="AR114" s="58"/>
      <c r="AS114" s="58"/>
      <c r="AT114" s="58"/>
      <c r="AU114" s="58"/>
      <c r="AV114" s="58"/>
      <c r="AW114" s="58"/>
      <c r="AX114" s="58"/>
      <c r="AY114" s="58"/>
      <c r="AZ114" s="58"/>
    </row>
    <row r="115" spans="1:52" hidden="1" x14ac:dyDescent="0.25">
      <c r="A115" s="58"/>
      <c r="B115" s="58"/>
      <c r="C115" s="58"/>
      <c r="D115" s="58"/>
      <c r="E115" s="58"/>
      <c r="F115" s="58"/>
      <c r="G115" s="58"/>
      <c r="H115" s="58"/>
      <c r="I115" s="58"/>
      <c r="J115" s="58"/>
      <c r="K115" s="58"/>
      <c r="L115" s="58"/>
      <c r="M115" s="58"/>
      <c r="N115" s="58"/>
      <c r="O115" s="58"/>
      <c r="P115" s="58"/>
      <c r="Q115" s="58"/>
      <c r="R115" s="58"/>
      <c r="S115" s="58"/>
      <c r="T115" s="58"/>
      <c r="U115" s="58"/>
      <c r="V115" s="58"/>
      <c r="W115" s="58"/>
      <c r="X115" s="58"/>
      <c r="Y115" s="58"/>
      <c r="Z115" s="58"/>
      <c r="AA115" s="58"/>
      <c r="AB115" s="58"/>
      <c r="AC115" s="58"/>
      <c r="AD115" s="58"/>
      <c r="AE115" s="58"/>
      <c r="AF115" s="58"/>
      <c r="AG115" s="58"/>
      <c r="AH115" s="58"/>
      <c r="AI115" s="58"/>
      <c r="AJ115" s="58"/>
      <c r="AK115" s="58"/>
      <c r="AL115" s="58"/>
      <c r="AM115" s="58"/>
      <c r="AN115" s="58"/>
      <c r="AO115" s="58"/>
      <c r="AP115" s="58"/>
      <c r="AQ115" s="58"/>
      <c r="AR115" s="58"/>
      <c r="AS115" s="58"/>
      <c r="AT115" s="58"/>
      <c r="AU115" s="58"/>
      <c r="AV115" s="58"/>
      <c r="AW115" s="58"/>
      <c r="AX115" s="58"/>
      <c r="AY115" s="58"/>
      <c r="AZ115" s="58"/>
    </row>
    <row r="116" spans="1:52" hidden="1" x14ac:dyDescent="0.25">
      <c r="A116" s="58"/>
      <c r="B116" s="58"/>
      <c r="C116" s="58"/>
      <c r="D116" s="58"/>
      <c r="E116" s="58"/>
      <c r="F116" s="58"/>
      <c r="G116" s="58"/>
      <c r="H116" s="58"/>
      <c r="I116" s="58"/>
      <c r="J116" s="58"/>
      <c r="K116" s="58"/>
      <c r="L116" s="58"/>
      <c r="M116" s="58"/>
      <c r="N116" s="58"/>
      <c r="O116" s="58"/>
      <c r="P116" s="58"/>
      <c r="Q116" s="58"/>
      <c r="R116" s="58"/>
      <c r="S116" s="58"/>
      <c r="T116" s="58"/>
      <c r="U116" s="58"/>
      <c r="V116" s="58"/>
      <c r="W116" s="58"/>
      <c r="X116" s="58"/>
      <c r="Y116" s="58"/>
      <c r="Z116" s="58"/>
      <c r="AA116" s="58"/>
      <c r="AB116" s="58"/>
      <c r="AC116" s="58"/>
      <c r="AD116" s="58"/>
      <c r="AE116" s="58"/>
      <c r="AF116" s="58"/>
      <c r="AG116" s="58"/>
      <c r="AH116" s="58"/>
      <c r="AI116" s="58"/>
      <c r="AJ116" s="58"/>
      <c r="AK116" s="58"/>
      <c r="AL116" s="58"/>
      <c r="AM116" s="58"/>
      <c r="AN116" s="58"/>
      <c r="AO116" s="58"/>
      <c r="AP116" s="58"/>
      <c r="AQ116" s="58"/>
      <c r="AR116" s="58"/>
      <c r="AS116" s="58"/>
      <c r="AT116" s="58"/>
      <c r="AU116" s="58"/>
      <c r="AV116" s="58"/>
      <c r="AW116" s="58"/>
      <c r="AX116" s="58"/>
      <c r="AY116" s="58"/>
      <c r="AZ116" s="58"/>
    </row>
    <row r="117" spans="1:52" hidden="1" x14ac:dyDescent="0.25">
      <c r="A117" s="58"/>
      <c r="B117" s="58"/>
      <c r="C117" s="58"/>
      <c r="D117" s="58"/>
      <c r="E117" s="58"/>
      <c r="F117" s="58"/>
      <c r="G117" s="58"/>
      <c r="H117" s="58"/>
      <c r="I117" s="58"/>
      <c r="J117" s="58"/>
      <c r="K117" s="58"/>
      <c r="L117" s="58"/>
      <c r="M117" s="58"/>
      <c r="N117" s="58"/>
      <c r="O117" s="58"/>
      <c r="P117" s="58"/>
      <c r="Q117" s="58"/>
      <c r="R117" s="58"/>
      <c r="S117" s="58"/>
      <c r="T117" s="58"/>
      <c r="U117" s="58"/>
      <c r="V117" s="58"/>
      <c r="W117" s="58"/>
      <c r="X117" s="58"/>
      <c r="Y117" s="58"/>
      <c r="Z117" s="58"/>
      <c r="AA117" s="58"/>
      <c r="AB117" s="58"/>
      <c r="AC117" s="58"/>
      <c r="AD117" s="58"/>
      <c r="AE117" s="58"/>
      <c r="AF117" s="58"/>
      <c r="AG117" s="58"/>
      <c r="AH117" s="58"/>
      <c r="AI117" s="58"/>
      <c r="AJ117" s="58"/>
      <c r="AK117" s="58"/>
      <c r="AL117" s="58"/>
      <c r="AM117" s="58"/>
      <c r="AN117" s="58"/>
      <c r="AO117" s="58"/>
      <c r="AP117" s="58"/>
      <c r="AQ117" s="58"/>
      <c r="AR117" s="58"/>
      <c r="AS117" s="58"/>
      <c r="AT117" s="58"/>
      <c r="AU117" s="58"/>
      <c r="AV117" s="58"/>
      <c r="AW117" s="58"/>
      <c r="AX117" s="58"/>
      <c r="AY117" s="58"/>
      <c r="AZ117" s="58"/>
    </row>
    <row r="118" spans="1:52" hidden="1" x14ac:dyDescent="0.25">
      <c r="A118" s="58"/>
      <c r="B118" s="58"/>
      <c r="C118" s="58"/>
      <c r="D118" s="58"/>
      <c r="E118" s="58"/>
      <c r="F118" s="58"/>
      <c r="G118" s="58"/>
      <c r="H118" s="58"/>
      <c r="I118" s="58"/>
      <c r="J118" s="58"/>
      <c r="K118" s="58"/>
      <c r="L118" s="58"/>
      <c r="M118" s="58"/>
      <c r="N118" s="58"/>
      <c r="O118" s="58"/>
      <c r="P118" s="58"/>
      <c r="Q118" s="58"/>
      <c r="R118" s="58"/>
      <c r="S118" s="58"/>
      <c r="T118" s="58"/>
      <c r="U118" s="58"/>
      <c r="V118" s="58"/>
      <c r="W118" s="58"/>
      <c r="X118" s="58"/>
      <c r="Y118" s="58"/>
      <c r="Z118" s="58"/>
      <c r="AA118" s="58"/>
      <c r="AB118" s="58"/>
      <c r="AC118" s="58"/>
      <c r="AD118" s="58"/>
      <c r="AE118" s="58"/>
      <c r="AF118" s="58"/>
      <c r="AG118" s="58"/>
      <c r="AH118" s="58"/>
      <c r="AI118" s="58"/>
      <c r="AJ118" s="58"/>
      <c r="AK118" s="58"/>
      <c r="AL118" s="58"/>
      <c r="AM118" s="58"/>
      <c r="AN118" s="58"/>
      <c r="AO118" s="58"/>
      <c r="AP118" s="58"/>
      <c r="AQ118" s="58"/>
      <c r="AR118" s="58"/>
      <c r="AS118" s="58"/>
      <c r="AT118" s="58"/>
      <c r="AU118" s="58"/>
      <c r="AV118" s="58"/>
      <c r="AW118" s="58"/>
      <c r="AX118" s="58"/>
      <c r="AY118" s="58"/>
      <c r="AZ118" s="58"/>
    </row>
    <row r="119" spans="1:52" hidden="1" x14ac:dyDescent="0.25">
      <c r="A119" s="58"/>
      <c r="B119" s="58"/>
      <c r="C119" s="58"/>
      <c r="D119" s="58"/>
      <c r="E119" s="58"/>
      <c r="F119" s="58"/>
      <c r="G119" s="58"/>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c r="AE119" s="58"/>
      <c r="AF119" s="58"/>
      <c r="AG119" s="58"/>
      <c r="AH119" s="58"/>
      <c r="AI119" s="58"/>
      <c r="AJ119" s="58"/>
      <c r="AK119" s="58"/>
      <c r="AL119" s="58"/>
      <c r="AM119" s="58"/>
      <c r="AN119" s="58"/>
      <c r="AO119" s="58"/>
      <c r="AP119" s="58"/>
      <c r="AQ119" s="58"/>
      <c r="AR119" s="58"/>
      <c r="AS119" s="58"/>
      <c r="AT119" s="58"/>
      <c r="AU119" s="58"/>
      <c r="AV119" s="58"/>
      <c r="AW119" s="58"/>
      <c r="AX119" s="58"/>
      <c r="AY119" s="58"/>
      <c r="AZ119" s="58"/>
    </row>
    <row r="120" spans="1:52" hidden="1" x14ac:dyDescent="0.25">
      <c r="A120" s="58"/>
      <c r="B120" s="58"/>
      <c r="C120" s="58"/>
      <c r="D120" s="58"/>
      <c r="E120" s="58"/>
      <c r="F120" s="58"/>
      <c r="G120" s="58"/>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c r="AE120" s="58"/>
      <c r="AF120" s="58"/>
      <c r="AG120" s="58"/>
      <c r="AH120" s="58"/>
      <c r="AI120" s="58"/>
      <c r="AJ120" s="58"/>
      <c r="AK120" s="58"/>
      <c r="AL120" s="58"/>
      <c r="AM120" s="58"/>
      <c r="AN120" s="58"/>
      <c r="AO120" s="58"/>
      <c r="AP120" s="58"/>
      <c r="AQ120" s="58"/>
      <c r="AR120" s="58"/>
      <c r="AS120" s="58"/>
      <c r="AT120" s="58"/>
      <c r="AU120" s="58"/>
      <c r="AV120" s="58"/>
      <c r="AW120" s="58"/>
      <c r="AX120" s="58"/>
      <c r="AY120" s="58"/>
      <c r="AZ120" s="58"/>
    </row>
    <row r="121" spans="1:52" hidden="1" x14ac:dyDescent="0.25">
      <c r="A121" s="58"/>
      <c r="B121" s="58"/>
      <c r="C121" s="58"/>
      <c r="D121" s="58"/>
      <c r="E121" s="58"/>
      <c r="F121" s="58"/>
      <c r="G121" s="58"/>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c r="AE121" s="58"/>
      <c r="AF121" s="58"/>
      <c r="AG121" s="58"/>
      <c r="AH121" s="58"/>
      <c r="AI121" s="58"/>
      <c r="AJ121" s="58"/>
      <c r="AK121" s="58"/>
      <c r="AL121" s="58"/>
      <c r="AM121" s="58"/>
      <c r="AN121" s="58"/>
      <c r="AO121" s="58"/>
      <c r="AP121" s="58"/>
      <c r="AQ121" s="58"/>
      <c r="AR121" s="58"/>
      <c r="AS121" s="58"/>
      <c r="AT121" s="58"/>
      <c r="AU121" s="58"/>
      <c r="AV121" s="58"/>
      <c r="AW121" s="58"/>
      <c r="AX121" s="58"/>
      <c r="AY121" s="58"/>
      <c r="AZ121" s="58"/>
    </row>
    <row r="122" spans="1:52" hidden="1" x14ac:dyDescent="0.25">
      <c r="A122" s="58"/>
      <c r="B122" s="58"/>
      <c r="C122" s="58"/>
      <c r="D122" s="58"/>
      <c r="E122" s="58"/>
      <c r="F122" s="58"/>
      <c r="G122" s="58"/>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c r="AE122" s="58"/>
      <c r="AF122" s="58"/>
      <c r="AG122" s="58"/>
      <c r="AH122" s="58"/>
      <c r="AI122" s="58"/>
      <c r="AJ122" s="58"/>
      <c r="AK122" s="58"/>
      <c r="AL122" s="58"/>
      <c r="AM122" s="58"/>
      <c r="AN122" s="58"/>
      <c r="AO122" s="58"/>
      <c r="AP122" s="58"/>
      <c r="AQ122" s="58"/>
      <c r="AR122" s="58"/>
      <c r="AS122" s="58"/>
      <c r="AT122" s="58"/>
      <c r="AU122" s="58"/>
      <c r="AV122" s="58"/>
      <c r="AW122" s="58"/>
      <c r="AX122" s="58"/>
      <c r="AY122" s="58"/>
      <c r="AZ122" s="58"/>
    </row>
    <row r="123" spans="1:52" hidden="1" x14ac:dyDescent="0.25">
      <c r="A123" s="58"/>
      <c r="B123" s="58"/>
      <c r="C123" s="58"/>
      <c r="D123" s="58"/>
      <c r="E123" s="58"/>
      <c r="F123" s="58"/>
      <c r="G123" s="58"/>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c r="AE123" s="58"/>
      <c r="AF123" s="58"/>
      <c r="AG123" s="58"/>
      <c r="AH123" s="58"/>
      <c r="AI123" s="58"/>
      <c r="AJ123" s="58"/>
      <c r="AK123" s="58"/>
      <c r="AL123" s="58"/>
      <c r="AM123" s="58"/>
      <c r="AN123" s="58"/>
      <c r="AO123" s="58"/>
      <c r="AP123" s="58"/>
      <c r="AQ123" s="58"/>
      <c r="AR123" s="58"/>
      <c r="AS123" s="58"/>
      <c r="AT123" s="58"/>
      <c r="AU123" s="58"/>
      <c r="AV123" s="58"/>
      <c r="AW123" s="58"/>
      <c r="AX123" s="58"/>
      <c r="AY123" s="58"/>
      <c r="AZ123" s="58"/>
    </row>
    <row r="124" spans="1:52" hidden="1" x14ac:dyDescent="0.25">
      <c r="A124" s="58"/>
      <c r="B124" s="58"/>
      <c r="C124" s="58"/>
      <c r="D124" s="58"/>
      <c r="E124" s="58"/>
      <c r="F124" s="58"/>
      <c r="G124" s="58"/>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c r="AE124" s="58"/>
      <c r="AF124" s="58"/>
      <c r="AG124" s="58"/>
      <c r="AH124" s="58"/>
      <c r="AI124" s="58"/>
      <c r="AJ124" s="58"/>
      <c r="AK124" s="58"/>
      <c r="AL124" s="58"/>
      <c r="AM124" s="58"/>
      <c r="AN124" s="58"/>
      <c r="AO124" s="58"/>
      <c r="AP124" s="58"/>
      <c r="AQ124" s="58"/>
      <c r="AR124" s="58"/>
      <c r="AS124" s="58"/>
      <c r="AT124" s="58"/>
      <c r="AU124" s="58"/>
      <c r="AV124" s="58"/>
      <c r="AW124" s="58"/>
      <c r="AX124" s="58"/>
      <c r="AY124" s="58"/>
      <c r="AZ124" s="58"/>
    </row>
    <row r="125" spans="1:52" hidden="1" x14ac:dyDescent="0.25">
      <c r="A125" s="58"/>
      <c r="B125" s="58"/>
      <c r="C125" s="58"/>
      <c r="D125" s="58"/>
      <c r="E125" s="58"/>
      <c r="F125" s="58"/>
      <c r="G125" s="58"/>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c r="AE125" s="58"/>
      <c r="AF125" s="58"/>
      <c r="AG125" s="58"/>
      <c r="AH125" s="58"/>
      <c r="AI125" s="58"/>
      <c r="AJ125" s="58"/>
      <c r="AK125" s="58"/>
      <c r="AL125" s="58"/>
      <c r="AM125" s="58"/>
      <c r="AN125" s="58"/>
      <c r="AO125" s="58"/>
      <c r="AP125" s="58"/>
      <c r="AQ125" s="58"/>
      <c r="AR125" s="58"/>
      <c r="AS125" s="58"/>
      <c r="AT125" s="58"/>
      <c r="AU125" s="58"/>
      <c r="AV125" s="58"/>
      <c r="AW125" s="58"/>
      <c r="AX125" s="58"/>
      <c r="AY125" s="58"/>
      <c r="AZ125" s="58"/>
    </row>
    <row r="126" spans="1:52" hidden="1" x14ac:dyDescent="0.25">
      <c r="A126" s="58"/>
      <c r="B126" s="58"/>
      <c r="C126" s="58"/>
      <c r="D126" s="58"/>
      <c r="E126" s="58"/>
      <c r="F126" s="58"/>
      <c r="G126" s="58"/>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c r="AE126" s="58"/>
      <c r="AF126" s="58"/>
      <c r="AG126" s="58"/>
      <c r="AH126" s="58"/>
      <c r="AI126" s="58"/>
      <c r="AJ126" s="58"/>
      <c r="AK126" s="58"/>
      <c r="AL126" s="58"/>
      <c r="AM126" s="58"/>
      <c r="AN126" s="58"/>
      <c r="AO126" s="58"/>
      <c r="AP126" s="58"/>
      <c r="AQ126" s="58"/>
      <c r="AR126" s="58"/>
      <c r="AS126" s="58"/>
      <c r="AT126" s="58"/>
      <c r="AU126" s="58"/>
      <c r="AV126" s="58"/>
      <c r="AW126" s="58"/>
      <c r="AX126" s="58"/>
      <c r="AY126" s="58"/>
      <c r="AZ126" s="58"/>
    </row>
    <row r="127" spans="1:52" hidden="1" x14ac:dyDescent="0.25">
      <c r="A127" s="58"/>
      <c r="B127" s="58"/>
      <c r="C127" s="58"/>
      <c r="D127" s="58"/>
      <c r="E127" s="58"/>
      <c r="F127" s="58"/>
      <c r="G127" s="58"/>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c r="AE127" s="58"/>
      <c r="AF127" s="58"/>
      <c r="AG127" s="58"/>
      <c r="AH127" s="58"/>
      <c r="AI127" s="58"/>
      <c r="AJ127" s="58"/>
      <c r="AK127" s="58"/>
      <c r="AL127" s="58"/>
      <c r="AM127" s="58"/>
      <c r="AN127" s="58"/>
      <c r="AO127" s="58"/>
      <c r="AP127" s="58"/>
      <c r="AQ127" s="58"/>
      <c r="AR127" s="58"/>
      <c r="AS127" s="58"/>
      <c r="AT127" s="58"/>
      <c r="AU127" s="58"/>
      <c r="AV127" s="58"/>
      <c r="AW127" s="58"/>
      <c r="AX127" s="58"/>
      <c r="AY127" s="58"/>
      <c r="AZ127" s="58"/>
    </row>
    <row r="128" spans="1:52" hidden="1" x14ac:dyDescent="0.25">
      <c r="A128" s="58"/>
      <c r="B128" s="58"/>
      <c r="C128" s="58"/>
      <c r="D128" s="58"/>
      <c r="E128" s="58"/>
      <c r="F128" s="58"/>
      <c r="G128" s="58"/>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c r="AE128" s="58"/>
      <c r="AF128" s="58"/>
      <c r="AG128" s="58"/>
      <c r="AH128" s="58"/>
      <c r="AI128" s="58"/>
      <c r="AJ128" s="58"/>
      <c r="AK128" s="58"/>
      <c r="AL128" s="58"/>
      <c r="AM128" s="58"/>
      <c r="AN128" s="58"/>
      <c r="AO128" s="58"/>
      <c r="AP128" s="58"/>
      <c r="AQ128" s="58"/>
      <c r="AR128" s="58"/>
      <c r="AS128" s="58"/>
      <c r="AT128" s="58"/>
      <c r="AU128" s="58"/>
      <c r="AV128" s="58"/>
      <c r="AW128" s="58"/>
      <c r="AX128" s="58"/>
      <c r="AY128" s="58"/>
      <c r="AZ128" s="58"/>
    </row>
    <row r="129" spans="1:52" hidden="1" x14ac:dyDescent="0.25">
      <c r="A129" s="58"/>
      <c r="B129" s="58"/>
      <c r="C129" s="58"/>
      <c r="D129" s="58"/>
      <c r="E129" s="58"/>
      <c r="F129" s="58"/>
      <c r="G129" s="58"/>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c r="AE129" s="58"/>
      <c r="AF129" s="58"/>
      <c r="AG129" s="58"/>
      <c r="AH129" s="58"/>
      <c r="AI129" s="58"/>
      <c r="AJ129" s="58"/>
      <c r="AK129" s="58"/>
      <c r="AL129" s="58"/>
      <c r="AM129" s="58"/>
      <c r="AN129" s="58"/>
      <c r="AO129" s="58"/>
      <c r="AP129" s="58"/>
      <c r="AQ129" s="58"/>
      <c r="AR129" s="58"/>
      <c r="AS129" s="58"/>
      <c r="AT129" s="58"/>
      <c r="AU129" s="58"/>
      <c r="AV129" s="58"/>
      <c r="AW129" s="58"/>
      <c r="AX129" s="58"/>
      <c r="AY129" s="58"/>
      <c r="AZ129" s="58"/>
    </row>
    <row r="130" spans="1:52" hidden="1" x14ac:dyDescent="0.25">
      <c r="A130" s="58"/>
      <c r="B130" s="58"/>
      <c r="C130" s="58"/>
      <c r="D130" s="58"/>
      <c r="E130" s="58"/>
      <c r="F130" s="58"/>
      <c r="G130" s="58"/>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c r="AE130" s="58"/>
      <c r="AF130" s="58"/>
      <c r="AG130" s="58"/>
      <c r="AH130" s="58"/>
      <c r="AI130" s="58"/>
      <c r="AJ130" s="58"/>
      <c r="AK130" s="58"/>
      <c r="AL130" s="58"/>
      <c r="AM130" s="58"/>
      <c r="AN130" s="58"/>
      <c r="AO130" s="58"/>
      <c r="AP130" s="58"/>
      <c r="AQ130" s="58"/>
      <c r="AR130" s="58"/>
      <c r="AS130" s="58"/>
      <c r="AT130" s="58"/>
      <c r="AU130" s="58"/>
      <c r="AV130" s="58"/>
      <c r="AW130" s="58"/>
      <c r="AX130" s="58"/>
      <c r="AY130" s="58"/>
      <c r="AZ130" s="58"/>
    </row>
    <row r="131" spans="1:52" hidden="1" x14ac:dyDescent="0.25">
      <c r="A131" s="58"/>
      <c r="B131" s="58"/>
      <c r="C131" s="58"/>
      <c r="D131" s="58"/>
      <c r="E131" s="58"/>
      <c r="F131" s="58"/>
      <c r="G131" s="58"/>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c r="AE131" s="58"/>
      <c r="AF131" s="58"/>
      <c r="AG131" s="58"/>
      <c r="AH131" s="58"/>
      <c r="AI131" s="58"/>
      <c r="AJ131" s="58"/>
      <c r="AK131" s="58"/>
      <c r="AL131" s="58"/>
      <c r="AM131" s="58"/>
      <c r="AN131" s="58"/>
      <c r="AO131" s="58"/>
      <c r="AP131" s="58"/>
      <c r="AQ131" s="58"/>
      <c r="AR131" s="58"/>
      <c r="AS131" s="58"/>
      <c r="AT131" s="58"/>
      <c r="AU131" s="58"/>
      <c r="AV131" s="58"/>
      <c r="AW131" s="58"/>
      <c r="AX131" s="58"/>
      <c r="AY131" s="58"/>
      <c r="AZ131" s="58"/>
    </row>
    <row r="132" spans="1:52" hidden="1" x14ac:dyDescent="0.25">
      <c r="A132" s="58"/>
      <c r="B132" s="58"/>
      <c r="C132" s="58"/>
      <c r="D132" s="58"/>
      <c r="E132" s="58"/>
      <c r="F132" s="58"/>
      <c r="G132" s="58"/>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c r="AE132" s="58"/>
      <c r="AF132" s="58"/>
      <c r="AG132" s="58"/>
      <c r="AH132" s="58"/>
      <c r="AI132" s="58"/>
      <c r="AJ132" s="58"/>
      <c r="AK132" s="58"/>
      <c r="AL132" s="58"/>
      <c r="AM132" s="58"/>
      <c r="AN132" s="58"/>
      <c r="AO132" s="58"/>
      <c r="AP132" s="58"/>
      <c r="AQ132" s="58"/>
      <c r="AR132" s="58"/>
      <c r="AS132" s="58"/>
      <c r="AT132" s="58"/>
      <c r="AU132" s="58"/>
      <c r="AV132" s="58"/>
      <c r="AW132" s="58"/>
      <c r="AX132" s="58"/>
      <c r="AY132" s="58"/>
      <c r="AZ132" s="58"/>
    </row>
    <row r="133" spans="1:52" hidden="1" x14ac:dyDescent="0.25">
      <c r="A133" s="58"/>
      <c r="B133" s="58"/>
      <c r="C133" s="58"/>
      <c r="D133" s="58"/>
      <c r="E133" s="58"/>
      <c r="F133" s="58"/>
      <c r="G133" s="58"/>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c r="AE133" s="58"/>
      <c r="AF133" s="58"/>
      <c r="AG133" s="58"/>
      <c r="AH133" s="58"/>
      <c r="AI133" s="58"/>
      <c r="AJ133" s="58"/>
      <c r="AK133" s="58"/>
      <c r="AL133" s="58"/>
      <c r="AM133" s="58"/>
      <c r="AN133" s="58"/>
      <c r="AO133" s="58"/>
      <c r="AP133" s="58"/>
      <c r="AQ133" s="58"/>
      <c r="AR133" s="58"/>
      <c r="AS133" s="58"/>
      <c r="AT133" s="58"/>
      <c r="AU133" s="58"/>
      <c r="AV133" s="58"/>
      <c r="AW133" s="58"/>
      <c r="AX133" s="58"/>
      <c r="AY133" s="58"/>
      <c r="AZ133" s="58"/>
    </row>
    <row r="134" spans="1:52" hidden="1" x14ac:dyDescent="0.25">
      <c r="A134" s="58"/>
      <c r="B134" s="58"/>
      <c r="C134" s="58"/>
      <c r="D134" s="58"/>
      <c r="E134" s="58"/>
      <c r="F134" s="58"/>
      <c r="G134" s="58"/>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c r="AE134" s="58"/>
      <c r="AF134" s="58"/>
      <c r="AG134" s="58"/>
      <c r="AH134" s="58"/>
      <c r="AI134" s="58"/>
      <c r="AJ134" s="58"/>
      <c r="AK134" s="58"/>
      <c r="AL134" s="58"/>
      <c r="AM134" s="58"/>
      <c r="AN134" s="58"/>
      <c r="AO134" s="58"/>
      <c r="AP134" s="58"/>
      <c r="AQ134" s="58"/>
      <c r="AR134" s="58"/>
      <c r="AS134" s="58"/>
      <c r="AT134" s="58"/>
      <c r="AU134" s="58"/>
      <c r="AV134" s="58"/>
      <c r="AW134" s="58"/>
      <c r="AX134" s="58"/>
      <c r="AY134" s="58"/>
      <c r="AZ134" s="58"/>
    </row>
    <row r="135" spans="1:52" hidden="1" x14ac:dyDescent="0.25">
      <c r="A135" s="58"/>
      <c r="B135" s="58"/>
      <c r="C135" s="58"/>
      <c r="D135" s="58"/>
      <c r="E135" s="58"/>
      <c r="F135" s="58"/>
      <c r="G135" s="58"/>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c r="AE135" s="58"/>
      <c r="AF135" s="58"/>
      <c r="AG135" s="58"/>
      <c r="AH135" s="58"/>
      <c r="AI135" s="58"/>
      <c r="AJ135" s="58"/>
      <c r="AK135" s="58"/>
      <c r="AL135" s="58"/>
      <c r="AM135" s="58"/>
      <c r="AN135" s="58"/>
      <c r="AO135" s="58"/>
      <c r="AP135" s="58"/>
      <c r="AQ135" s="58"/>
      <c r="AR135" s="58"/>
      <c r="AS135" s="58"/>
      <c r="AT135" s="58"/>
      <c r="AU135" s="58"/>
      <c r="AV135" s="58"/>
      <c r="AW135" s="58"/>
      <c r="AX135" s="58"/>
      <c r="AY135" s="58"/>
      <c r="AZ135" s="58"/>
    </row>
    <row r="136" spans="1:52" hidden="1" x14ac:dyDescent="0.25">
      <c r="A136" s="58"/>
      <c r="B136" s="58"/>
      <c r="C136" s="58"/>
      <c r="D136" s="58"/>
      <c r="E136" s="58"/>
      <c r="F136" s="58"/>
      <c r="G136" s="58"/>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c r="AE136" s="58"/>
      <c r="AF136" s="58"/>
      <c r="AG136" s="58"/>
      <c r="AH136" s="58"/>
      <c r="AI136" s="58"/>
      <c r="AJ136" s="58"/>
      <c r="AK136" s="58"/>
      <c r="AL136" s="58"/>
      <c r="AM136" s="58"/>
      <c r="AN136" s="58"/>
      <c r="AO136" s="58"/>
      <c r="AP136" s="58"/>
      <c r="AQ136" s="58"/>
      <c r="AR136" s="58"/>
      <c r="AS136" s="58"/>
      <c r="AT136" s="58"/>
      <c r="AU136" s="58"/>
      <c r="AV136" s="58"/>
      <c r="AW136" s="58"/>
      <c r="AX136" s="58"/>
      <c r="AY136" s="58"/>
      <c r="AZ136" s="58"/>
    </row>
    <row r="137" spans="1:52" hidden="1" x14ac:dyDescent="0.25">
      <c r="A137" s="58"/>
      <c r="B137" s="58"/>
      <c r="C137" s="58"/>
      <c r="D137" s="58"/>
      <c r="E137" s="58"/>
      <c r="F137" s="58"/>
      <c r="G137" s="58"/>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c r="AE137" s="58"/>
      <c r="AF137" s="58"/>
      <c r="AG137" s="58"/>
      <c r="AH137" s="58"/>
      <c r="AI137" s="58"/>
      <c r="AJ137" s="58"/>
      <c r="AK137" s="58"/>
      <c r="AL137" s="58"/>
      <c r="AM137" s="58"/>
      <c r="AN137" s="58"/>
      <c r="AO137" s="58"/>
      <c r="AP137" s="58"/>
      <c r="AQ137" s="58"/>
      <c r="AR137" s="58"/>
      <c r="AS137" s="58"/>
      <c r="AT137" s="58"/>
      <c r="AU137" s="58"/>
      <c r="AV137" s="58"/>
      <c r="AW137" s="58"/>
      <c r="AX137" s="58"/>
      <c r="AY137" s="58"/>
      <c r="AZ137" s="58"/>
    </row>
    <row r="138" spans="1:52" hidden="1" x14ac:dyDescent="0.25">
      <c r="A138" s="58"/>
      <c r="B138" s="58"/>
      <c r="C138" s="58"/>
      <c r="D138" s="58"/>
      <c r="E138" s="58"/>
      <c r="F138" s="58"/>
      <c r="G138" s="58"/>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c r="AE138" s="58"/>
      <c r="AF138" s="58"/>
      <c r="AG138" s="58"/>
      <c r="AH138" s="58"/>
      <c r="AI138" s="58"/>
      <c r="AJ138" s="58"/>
      <c r="AK138" s="58"/>
      <c r="AL138" s="58"/>
      <c r="AM138" s="58"/>
      <c r="AN138" s="58"/>
      <c r="AO138" s="58"/>
      <c r="AP138" s="58"/>
      <c r="AQ138" s="58"/>
      <c r="AR138" s="58"/>
      <c r="AS138" s="58"/>
      <c r="AT138" s="58"/>
      <c r="AU138" s="58"/>
      <c r="AV138" s="58"/>
      <c r="AW138" s="58"/>
      <c r="AX138" s="58"/>
      <c r="AY138" s="58"/>
      <c r="AZ138" s="58"/>
    </row>
    <row r="139" spans="1:52" hidden="1" x14ac:dyDescent="0.25">
      <c r="A139" s="58"/>
      <c r="B139" s="58"/>
      <c r="C139" s="58"/>
      <c r="D139" s="58"/>
      <c r="E139" s="58"/>
      <c r="F139" s="58"/>
      <c r="G139" s="58"/>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c r="AE139" s="58"/>
      <c r="AF139" s="58"/>
      <c r="AG139" s="58"/>
      <c r="AH139" s="58"/>
      <c r="AI139" s="58"/>
      <c r="AJ139" s="58"/>
      <c r="AK139" s="58"/>
      <c r="AL139" s="58"/>
      <c r="AM139" s="58"/>
      <c r="AN139" s="58"/>
      <c r="AO139" s="58"/>
      <c r="AP139" s="58"/>
      <c r="AQ139" s="58"/>
      <c r="AR139" s="58"/>
      <c r="AS139" s="58"/>
      <c r="AT139" s="58"/>
      <c r="AU139" s="58"/>
      <c r="AV139" s="58"/>
      <c r="AW139" s="58"/>
      <c r="AX139" s="58"/>
      <c r="AY139" s="58"/>
      <c r="AZ139" s="58"/>
    </row>
    <row r="140" spans="1:52" hidden="1" x14ac:dyDescent="0.25">
      <c r="A140" s="58"/>
      <c r="B140" s="58"/>
      <c r="C140" s="58"/>
      <c r="D140" s="58"/>
      <c r="E140" s="58"/>
      <c r="F140" s="58"/>
      <c r="G140" s="58"/>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c r="AE140" s="58"/>
      <c r="AF140" s="58"/>
      <c r="AG140" s="58"/>
      <c r="AH140" s="58"/>
      <c r="AI140" s="58"/>
      <c r="AJ140" s="58"/>
      <c r="AK140" s="58"/>
      <c r="AL140" s="58"/>
      <c r="AM140" s="58"/>
      <c r="AN140" s="58"/>
      <c r="AO140" s="58"/>
      <c r="AP140" s="58"/>
      <c r="AQ140" s="58"/>
      <c r="AR140" s="58"/>
      <c r="AS140" s="58"/>
      <c r="AT140" s="58"/>
      <c r="AU140" s="58"/>
      <c r="AV140" s="58"/>
      <c r="AW140" s="58"/>
      <c r="AX140" s="58"/>
      <c r="AY140" s="58"/>
      <c r="AZ140" s="58"/>
    </row>
    <row r="141" spans="1:52" hidden="1" x14ac:dyDescent="0.25">
      <c r="A141" s="58"/>
      <c r="B141" s="58"/>
      <c r="C141" s="58"/>
      <c r="D141" s="58"/>
      <c r="E141" s="58"/>
      <c r="F141" s="58"/>
      <c r="G141" s="58"/>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c r="AE141" s="58"/>
      <c r="AF141" s="58"/>
      <c r="AG141" s="58"/>
      <c r="AH141" s="58"/>
      <c r="AI141" s="58"/>
      <c r="AJ141" s="58"/>
      <c r="AK141" s="58"/>
      <c r="AL141" s="58"/>
      <c r="AM141" s="58"/>
      <c r="AN141" s="58"/>
      <c r="AO141" s="58"/>
      <c r="AP141" s="58"/>
      <c r="AQ141" s="58"/>
      <c r="AR141" s="58"/>
      <c r="AS141" s="58"/>
      <c r="AT141" s="58"/>
      <c r="AU141" s="58"/>
      <c r="AV141" s="58"/>
      <c r="AW141" s="58"/>
      <c r="AX141" s="58"/>
      <c r="AY141" s="58"/>
      <c r="AZ141" s="58"/>
    </row>
    <row r="142" spans="1:52" hidden="1" x14ac:dyDescent="0.25">
      <c r="A142" s="58"/>
      <c r="B142" s="58"/>
      <c r="C142" s="58"/>
      <c r="D142" s="58"/>
      <c r="E142" s="58"/>
      <c r="F142" s="58"/>
      <c r="G142" s="58"/>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c r="AE142" s="58"/>
      <c r="AF142" s="58"/>
      <c r="AG142" s="58"/>
      <c r="AH142" s="58"/>
      <c r="AI142" s="58"/>
      <c r="AJ142" s="58"/>
      <c r="AK142" s="58"/>
      <c r="AL142" s="58"/>
      <c r="AM142" s="58"/>
      <c r="AN142" s="58"/>
      <c r="AO142" s="58"/>
      <c r="AP142" s="58"/>
      <c r="AQ142" s="58"/>
      <c r="AR142" s="58"/>
      <c r="AS142" s="58"/>
      <c r="AT142" s="58"/>
      <c r="AU142" s="58"/>
      <c r="AV142" s="58"/>
      <c r="AW142" s="58"/>
      <c r="AX142" s="58"/>
      <c r="AY142" s="58"/>
      <c r="AZ142" s="58"/>
    </row>
    <row r="143" spans="1:52" hidden="1" x14ac:dyDescent="0.25">
      <c r="A143" s="58"/>
      <c r="B143" s="58"/>
      <c r="C143" s="58"/>
      <c r="D143" s="58"/>
      <c r="E143" s="58"/>
      <c r="F143" s="58"/>
      <c r="G143" s="58"/>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c r="AE143" s="58"/>
      <c r="AF143" s="58"/>
      <c r="AG143" s="58"/>
      <c r="AH143" s="58"/>
      <c r="AI143" s="58"/>
      <c r="AJ143" s="58"/>
      <c r="AK143" s="58"/>
      <c r="AL143" s="58"/>
      <c r="AM143" s="58"/>
      <c r="AN143" s="58"/>
      <c r="AO143" s="58"/>
      <c r="AP143" s="58"/>
      <c r="AQ143" s="58"/>
      <c r="AR143" s="58"/>
      <c r="AS143" s="58"/>
      <c r="AT143" s="58"/>
      <c r="AU143" s="58"/>
      <c r="AV143" s="58"/>
      <c r="AW143" s="58"/>
      <c r="AX143" s="58"/>
      <c r="AY143" s="58"/>
      <c r="AZ143" s="58"/>
    </row>
    <row r="144" spans="1:52" hidden="1" x14ac:dyDescent="0.25">
      <c r="A144" s="58"/>
      <c r="B144" s="58"/>
      <c r="C144" s="58"/>
      <c r="D144" s="58"/>
      <c r="E144" s="58"/>
      <c r="F144" s="58"/>
      <c r="G144" s="58"/>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c r="AE144" s="58"/>
      <c r="AF144" s="58"/>
      <c r="AG144" s="58"/>
      <c r="AH144" s="58"/>
      <c r="AI144" s="58"/>
      <c r="AJ144" s="58"/>
      <c r="AK144" s="58"/>
      <c r="AL144" s="58"/>
      <c r="AM144" s="58"/>
      <c r="AN144" s="58"/>
      <c r="AO144" s="58"/>
      <c r="AP144" s="58"/>
      <c r="AQ144" s="58"/>
      <c r="AR144" s="58"/>
      <c r="AS144" s="58"/>
      <c r="AT144" s="58"/>
      <c r="AU144" s="58"/>
      <c r="AV144" s="58"/>
      <c r="AW144" s="58"/>
      <c r="AX144" s="58"/>
      <c r="AY144" s="58"/>
      <c r="AZ144" s="58"/>
    </row>
    <row r="145" spans="1:52" hidden="1" x14ac:dyDescent="0.25">
      <c r="A145" s="58"/>
      <c r="B145" s="58"/>
      <c r="C145" s="58"/>
      <c r="D145" s="58"/>
      <c r="E145" s="58"/>
      <c r="F145" s="58"/>
      <c r="G145" s="58"/>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c r="AE145" s="58"/>
      <c r="AF145" s="58"/>
      <c r="AG145" s="58"/>
      <c r="AH145" s="58"/>
      <c r="AI145" s="58"/>
      <c r="AJ145" s="58"/>
      <c r="AK145" s="58"/>
      <c r="AL145" s="58"/>
      <c r="AM145" s="58"/>
      <c r="AN145" s="58"/>
      <c r="AO145" s="58"/>
      <c r="AP145" s="58"/>
      <c r="AQ145" s="58"/>
      <c r="AR145" s="58"/>
      <c r="AS145" s="58"/>
      <c r="AT145" s="58"/>
      <c r="AU145" s="58"/>
      <c r="AV145" s="58"/>
      <c r="AW145" s="58"/>
      <c r="AX145" s="58"/>
      <c r="AY145" s="58"/>
      <c r="AZ145" s="58"/>
    </row>
    <row r="146" spans="1:52" hidden="1" x14ac:dyDescent="0.25">
      <c r="A146" s="58"/>
      <c r="B146" s="58"/>
      <c r="C146" s="58"/>
      <c r="D146" s="58"/>
      <c r="E146" s="58"/>
      <c r="F146" s="58"/>
      <c r="G146" s="58"/>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c r="AE146" s="58"/>
      <c r="AF146" s="58"/>
      <c r="AG146" s="58"/>
      <c r="AH146" s="58"/>
      <c r="AI146" s="58"/>
      <c r="AJ146" s="58"/>
      <c r="AK146" s="58"/>
      <c r="AL146" s="58"/>
      <c r="AM146" s="58"/>
      <c r="AN146" s="58"/>
      <c r="AO146" s="58"/>
      <c r="AP146" s="58"/>
      <c r="AQ146" s="58"/>
      <c r="AR146" s="58"/>
      <c r="AS146" s="58"/>
      <c r="AT146" s="58"/>
      <c r="AU146" s="58"/>
      <c r="AV146" s="58"/>
      <c r="AW146" s="58"/>
      <c r="AX146" s="58"/>
      <c r="AY146" s="58"/>
      <c r="AZ146" s="58"/>
    </row>
    <row r="147" spans="1:52" hidden="1" x14ac:dyDescent="0.25">
      <c r="A147" s="58"/>
      <c r="B147" s="58"/>
      <c r="C147" s="58"/>
      <c r="D147" s="58"/>
      <c r="E147" s="58"/>
      <c r="F147" s="58"/>
      <c r="G147" s="58"/>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c r="AE147" s="58"/>
      <c r="AF147" s="58"/>
      <c r="AG147" s="58"/>
      <c r="AH147" s="58"/>
      <c r="AI147" s="58"/>
      <c r="AJ147" s="58"/>
      <c r="AK147" s="58"/>
      <c r="AL147" s="58"/>
      <c r="AM147" s="58"/>
      <c r="AN147" s="58"/>
      <c r="AO147" s="58"/>
      <c r="AP147" s="58"/>
      <c r="AQ147" s="58"/>
      <c r="AR147" s="58"/>
      <c r="AS147" s="58"/>
      <c r="AT147" s="58"/>
      <c r="AU147" s="58"/>
      <c r="AV147" s="58"/>
      <c r="AW147" s="58"/>
      <c r="AX147" s="58"/>
      <c r="AY147" s="58"/>
      <c r="AZ147" s="58"/>
    </row>
    <row r="148" spans="1:52" hidden="1" x14ac:dyDescent="0.25">
      <c r="A148" s="58"/>
      <c r="B148" s="58"/>
      <c r="C148" s="58"/>
      <c r="D148" s="58"/>
      <c r="E148" s="58"/>
      <c r="F148" s="58"/>
      <c r="G148" s="58"/>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c r="AE148" s="58"/>
      <c r="AF148" s="58"/>
      <c r="AG148" s="58"/>
      <c r="AH148" s="58"/>
      <c r="AI148" s="58"/>
      <c r="AJ148" s="58"/>
      <c r="AK148" s="58"/>
      <c r="AL148" s="58"/>
      <c r="AM148" s="58"/>
      <c r="AN148" s="58"/>
      <c r="AO148" s="58"/>
      <c r="AP148" s="58"/>
      <c r="AQ148" s="58"/>
      <c r="AR148" s="58"/>
      <c r="AS148" s="58"/>
      <c r="AT148" s="58"/>
      <c r="AU148" s="58"/>
      <c r="AV148" s="58"/>
      <c r="AW148" s="58"/>
      <c r="AX148" s="58"/>
      <c r="AY148" s="58"/>
      <c r="AZ148" s="58"/>
    </row>
    <row r="149" spans="1:52" hidden="1" x14ac:dyDescent="0.25">
      <c r="A149" s="58"/>
      <c r="B149" s="58"/>
      <c r="C149" s="58"/>
      <c r="D149" s="58"/>
      <c r="E149" s="58"/>
      <c r="F149" s="58"/>
      <c r="G149" s="58"/>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c r="AE149" s="58"/>
      <c r="AF149" s="58"/>
      <c r="AG149" s="58"/>
      <c r="AH149" s="58"/>
      <c r="AI149" s="58"/>
      <c r="AJ149" s="58"/>
      <c r="AK149" s="58"/>
      <c r="AL149" s="58"/>
      <c r="AM149" s="58"/>
      <c r="AN149" s="58"/>
      <c r="AO149" s="58"/>
      <c r="AP149" s="58"/>
      <c r="AQ149" s="58"/>
      <c r="AR149" s="58"/>
      <c r="AS149" s="58"/>
      <c r="AT149" s="58"/>
      <c r="AU149" s="58"/>
      <c r="AV149" s="58"/>
      <c r="AW149" s="58"/>
      <c r="AX149" s="58"/>
      <c r="AY149" s="58"/>
      <c r="AZ149" s="58"/>
    </row>
    <row r="150" spans="1:52" hidden="1" x14ac:dyDescent="0.25">
      <c r="A150" s="58"/>
      <c r="B150" s="58"/>
      <c r="C150" s="58"/>
      <c r="D150" s="58"/>
      <c r="E150" s="58"/>
      <c r="F150" s="58"/>
      <c r="G150" s="58"/>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c r="AE150" s="58"/>
      <c r="AF150" s="58"/>
      <c r="AG150" s="58"/>
      <c r="AH150" s="58"/>
      <c r="AI150" s="58"/>
      <c r="AJ150" s="58"/>
      <c r="AK150" s="58"/>
      <c r="AL150" s="58"/>
      <c r="AM150" s="58"/>
      <c r="AN150" s="58"/>
      <c r="AO150" s="58"/>
      <c r="AP150" s="58"/>
      <c r="AQ150" s="58"/>
      <c r="AR150" s="58"/>
      <c r="AS150" s="58"/>
      <c r="AT150" s="58"/>
      <c r="AU150" s="58"/>
      <c r="AV150" s="58"/>
      <c r="AW150" s="58"/>
      <c r="AX150" s="58"/>
      <c r="AY150" s="58"/>
      <c r="AZ150" s="58"/>
    </row>
    <row r="151" spans="1:52" hidden="1" x14ac:dyDescent="0.25">
      <c r="A151" s="58"/>
      <c r="B151" s="58"/>
      <c r="C151" s="58"/>
      <c r="D151" s="58"/>
      <c r="E151" s="58"/>
      <c r="F151" s="58"/>
      <c r="G151" s="58"/>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c r="AE151" s="58"/>
      <c r="AF151" s="58"/>
      <c r="AG151" s="58"/>
      <c r="AH151" s="58"/>
      <c r="AI151" s="58"/>
      <c r="AJ151" s="58"/>
      <c r="AK151" s="58"/>
      <c r="AL151" s="58"/>
      <c r="AM151" s="58"/>
      <c r="AN151" s="58"/>
      <c r="AO151" s="58"/>
      <c r="AP151" s="58"/>
      <c r="AQ151" s="58"/>
      <c r="AR151" s="58"/>
      <c r="AS151" s="58"/>
      <c r="AT151" s="58"/>
      <c r="AU151" s="58"/>
      <c r="AV151" s="58"/>
      <c r="AW151" s="58"/>
      <c r="AX151" s="58"/>
      <c r="AY151" s="58"/>
      <c r="AZ151" s="58"/>
    </row>
    <row r="152" spans="1:52" hidden="1" x14ac:dyDescent="0.25">
      <c r="A152" s="58"/>
      <c r="B152" s="58"/>
      <c r="C152" s="58"/>
      <c r="D152" s="58"/>
      <c r="E152" s="58"/>
      <c r="F152" s="58"/>
      <c r="G152" s="58"/>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c r="AE152" s="58"/>
      <c r="AF152" s="58"/>
      <c r="AG152" s="58"/>
      <c r="AH152" s="58"/>
      <c r="AI152" s="58"/>
      <c r="AJ152" s="58"/>
      <c r="AK152" s="58"/>
      <c r="AL152" s="58"/>
      <c r="AM152" s="58"/>
      <c r="AN152" s="58"/>
      <c r="AO152" s="58"/>
      <c r="AP152" s="58"/>
      <c r="AQ152" s="58"/>
      <c r="AR152" s="58"/>
      <c r="AS152" s="58"/>
      <c r="AT152" s="58"/>
      <c r="AU152" s="58"/>
      <c r="AV152" s="58"/>
      <c r="AW152" s="58"/>
      <c r="AX152" s="58"/>
      <c r="AY152" s="58"/>
      <c r="AZ152" s="58"/>
    </row>
    <row r="153" spans="1:52" hidden="1" x14ac:dyDescent="0.25">
      <c r="A153" s="58"/>
      <c r="B153" s="58"/>
      <c r="C153" s="58"/>
      <c r="D153" s="58"/>
      <c r="E153" s="58"/>
      <c r="F153" s="58"/>
      <c r="G153" s="58"/>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c r="AE153" s="58"/>
      <c r="AF153" s="58"/>
      <c r="AG153" s="58"/>
      <c r="AH153" s="58"/>
      <c r="AI153" s="58"/>
      <c r="AJ153" s="58"/>
      <c r="AK153" s="58"/>
      <c r="AL153" s="58"/>
      <c r="AM153" s="58"/>
      <c r="AN153" s="58"/>
      <c r="AO153" s="58"/>
      <c r="AP153" s="58"/>
      <c r="AQ153" s="58"/>
      <c r="AR153" s="58"/>
      <c r="AS153" s="58"/>
      <c r="AT153" s="58"/>
      <c r="AU153" s="58"/>
      <c r="AV153" s="58"/>
      <c r="AW153" s="58"/>
      <c r="AX153" s="58"/>
      <c r="AY153" s="58"/>
      <c r="AZ153" s="58"/>
    </row>
    <row r="154" spans="1:52" hidden="1" x14ac:dyDescent="0.25">
      <c r="A154" s="58"/>
      <c r="B154" s="58"/>
      <c r="C154" s="58"/>
      <c r="D154" s="58"/>
      <c r="E154" s="58"/>
      <c r="F154" s="58"/>
      <c r="G154" s="58"/>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c r="AE154" s="58"/>
      <c r="AF154" s="58"/>
      <c r="AG154" s="58"/>
      <c r="AH154" s="58"/>
      <c r="AI154" s="58"/>
      <c r="AJ154" s="58"/>
      <c r="AK154" s="58"/>
      <c r="AL154" s="58"/>
      <c r="AM154" s="58"/>
      <c r="AN154" s="58"/>
      <c r="AO154" s="58"/>
      <c r="AP154" s="58"/>
      <c r="AQ154" s="58"/>
      <c r="AR154" s="58"/>
      <c r="AS154" s="58"/>
      <c r="AT154" s="58"/>
      <c r="AU154" s="58"/>
      <c r="AV154" s="58"/>
      <c r="AW154" s="58"/>
      <c r="AX154" s="58"/>
      <c r="AY154" s="58"/>
      <c r="AZ154" s="58"/>
    </row>
    <row r="155" spans="1:52" hidden="1" x14ac:dyDescent="0.25">
      <c r="A155" s="58"/>
      <c r="B155" s="58"/>
      <c r="C155" s="58"/>
      <c r="D155" s="58"/>
      <c r="E155" s="58"/>
      <c r="F155" s="58"/>
      <c r="G155" s="58"/>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c r="AE155" s="58"/>
      <c r="AF155" s="58"/>
      <c r="AG155" s="58"/>
      <c r="AH155" s="58"/>
      <c r="AI155" s="58"/>
      <c r="AJ155" s="58"/>
      <c r="AK155" s="58"/>
      <c r="AL155" s="58"/>
      <c r="AM155" s="58"/>
      <c r="AN155" s="58"/>
      <c r="AO155" s="58"/>
      <c r="AP155" s="58"/>
      <c r="AQ155" s="58"/>
      <c r="AR155" s="58"/>
      <c r="AS155" s="58"/>
      <c r="AT155" s="58"/>
      <c r="AU155" s="58"/>
      <c r="AV155" s="58"/>
      <c r="AW155" s="58"/>
      <c r="AX155" s="58"/>
      <c r="AY155" s="58"/>
      <c r="AZ155" s="58"/>
    </row>
    <row r="156" spans="1:52" hidden="1" x14ac:dyDescent="0.25">
      <c r="A156" s="58"/>
      <c r="B156" s="58"/>
      <c r="C156" s="58"/>
      <c r="D156" s="58"/>
      <c r="E156" s="58"/>
      <c r="F156" s="58"/>
      <c r="G156" s="58"/>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c r="AE156" s="58"/>
      <c r="AF156" s="58"/>
      <c r="AG156" s="58"/>
      <c r="AH156" s="58"/>
      <c r="AI156" s="58"/>
      <c r="AJ156" s="58"/>
      <c r="AK156" s="58"/>
      <c r="AL156" s="58"/>
      <c r="AM156" s="58"/>
      <c r="AN156" s="58"/>
      <c r="AO156" s="58"/>
      <c r="AP156" s="58"/>
      <c r="AQ156" s="58"/>
      <c r="AR156" s="58"/>
      <c r="AS156" s="58"/>
      <c r="AT156" s="58"/>
      <c r="AU156" s="58"/>
      <c r="AV156" s="58"/>
      <c r="AW156" s="58"/>
      <c r="AX156" s="58"/>
      <c r="AY156" s="58"/>
      <c r="AZ156" s="58"/>
    </row>
    <row r="157" spans="1:52" hidden="1" x14ac:dyDescent="0.25">
      <c r="A157" s="58"/>
      <c r="B157" s="58"/>
      <c r="C157" s="58"/>
      <c r="D157" s="58"/>
      <c r="E157" s="58"/>
      <c r="F157" s="58"/>
      <c r="G157" s="58"/>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c r="AE157" s="58"/>
      <c r="AF157" s="58"/>
      <c r="AG157" s="58"/>
      <c r="AH157" s="58"/>
      <c r="AI157" s="58"/>
      <c r="AJ157" s="58"/>
      <c r="AK157" s="58"/>
      <c r="AL157" s="58"/>
      <c r="AM157" s="58"/>
      <c r="AN157" s="58"/>
      <c r="AO157" s="58"/>
      <c r="AP157" s="58"/>
      <c r="AQ157" s="58"/>
      <c r="AR157" s="58"/>
      <c r="AS157" s="58"/>
      <c r="AT157" s="58"/>
      <c r="AU157" s="58"/>
      <c r="AV157" s="58"/>
      <c r="AW157" s="58"/>
      <c r="AX157" s="58"/>
      <c r="AY157" s="58"/>
      <c r="AZ157" s="58"/>
    </row>
    <row r="158" spans="1:52" hidden="1" x14ac:dyDescent="0.25">
      <c r="A158" s="58"/>
      <c r="B158" s="58"/>
      <c r="C158" s="58"/>
      <c r="D158" s="58"/>
      <c r="E158" s="58"/>
      <c r="F158" s="58"/>
      <c r="G158" s="58"/>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c r="AE158" s="58"/>
      <c r="AF158" s="58"/>
      <c r="AG158" s="58"/>
      <c r="AH158" s="58"/>
      <c r="AI158" s="58"/>
      <c r="AJ158" s="58"/>
      <c r="AK158" s="58"/>
      <c r="AL158" s="58"/>
      <c r="AM158" s="58"/>
      <c r="AN158" s="58"/>
      <c r="AO158" s="58"/>
      <c r="AP158" s="58"/>
      <c r="AQ158" s="58"/>
      <c r="AR158" s="58"/>
      <c r="AS158" s="58"/>
      <c r="AT158" s="58"/>
      <c r="AU158" s="58"/>
      <c r="AV158" s="58"/>
      <c r="AW158" s="58"/>
      <c r="AX158" s="58"/>
      <c r="AY158" s="58"/>
      <c r="AZ158" s="58"/>
    </row>
    <row r="159" spans="1:52" hidden="1" x14ac:dyDescent="0.25">
      <c r="A159" s="58"/>
      <c r="B159" s="58"/>
      <c r="C159" s="58"/>
      <c r="D159" s="58"/>
      <c r="E159" s="58"/>
      <c r="F159" s="58"/>
      <c r="G159" s="58"/>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c r="AE159" s="58"/>
      <c r="AF159" s="58"/>
      <c r="AG159" s="58"/>
      <c r="AH159" s="58"/>
      <c r="AI159" s="58"/>
      <c r="AJ159" s="58"/>
      <c r="AK159" s="58"/>
      <c r="AL159" s="58"/>
      <c r="AM159" s="58"/>
      <c r="AN159" s="58"/>
      <c r="AO159" s="58"/>
      <c r="AP159" s="58"/>
      <c r="AQ159" s="58"/>
      <c r="AR159" s="58"/>
      <c r="AS159" s="58"/>
      <c r="AT159" s="58"/>
      <c r="AU159" s="58"/>
      <c r="AV159" s="58"/>
      <c r="AW159" s="58"/>
      <c r="AX159" s="58"/>
      <c r="AY159" s="58"/>
      <c r="AZ159" s="58"/>
    </row>
    <row r="160" spans="1:52" hidden="1" x14ac:dyDescent="0.25">
      <c r="A160" s="58"/>
      <c r="B160" s="58"/>
      <c r="C160" s="58"/>
      <c r="D160" s="58"/>
      <c r="E160" s="58"/>
      <c r="F160" s="58"/>
      <c r="G160" s="58"/>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c r="AE160" s="58"/>
      <c r="AF160" s="58"/>
      <c r="AG160" s="58"/>
      <c r="AH160" s="58"/>
      <c r="AI160" s="58"/>
      <c r="AJ160" s="58"/>
      <c r="AK160" s="58"/>
      <c r="AL160" s="58"/>
      <c r="AM160" s="58"/>
      <c r="AN160" s="58"/>
      <c r="AO160" s="58"/>
      <c r="AP160" s="58"/>
      <c r="AQ160" s="58"/>
      <c r="AR160" s="58"/>
      <c r="AS160" s="58"/>
      <c r="AT160" s="58"/>
      <c r="AU160" s="58"/>
      <c r="AV160" s="58"/>
      <c r="AW160" s="58"/>
      <c r="AX160" s="58"/>
      <c r="AY160" s="58"/>
      <c r="AZ160" s="58"/>
    </row>
    <row r="161" spans="1:52" hidden="1" x14ac:dyDescent="0.25">
      <c r="A161" s="58"/>
      <c r="B161" s="58"/>
      <c r="C161" s="58"/>
      <c r="D161" s="58"/>
      <c r="E161" s="58"/>
      <c r="F161" s="58"/>
      <c r="G161" s="58"/>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c r="AE161" s="58"/>
      <c r="AF161" s="58"/>
      <c r="AG161" s="58"/>
      <c r="AH161" s="58"/>
      <c r="AI161" s="58"/>
      <c r="AJ161" s="58"/>
      <c r="AK161" s="58"/>
      <c r="AL161" s="58"/>
      <c r="AM161" s="58"/>
      <c r="AN161" s="58"/>
      <c r="AO161" s="58"/>
      <c r="AP161" s="58"/>
      <c r="AQ161" s="58"/>
      <c r="AR161" s="58"/>
      <c r="AS161" s="58"/>
      <c r="AT161" s="58"/>
      <c r="AU161" s="58"/>
      <c r="AV161" s="58"/>
      <c r="AW161" s="58"/>
      <c r="AX161" s="58"/>
      <c r="AY161" s="58"/>
      <c r="AZ161" s="58"/>
    </row>
    <row r="162" spans="1:52" hidden="1" x14ac:dyDescent="0.25">
      <c r="A162" s="58"/>
      <c r="B162" s="58"/>
      <c r="C162" s="58"/>
      <c r="D162" s="58"/>
      <c r="E162" s="58"/>
      <c r="F162" s="58"/>
      <c r="G162" s="58"/>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c r="AE162" s="58"/>
      <c r="AF162" s="58"/>
      <c r="AG162" s="58"/>
      <c r="AH162" s="58"/>
      <c r="AI162" s="58"/>
      <c r="AJ162" s="58"/>
      <c r="AK162" s="58"/>
      <c r="AL162" s="58"/>
      <c r="AM162" s="58"/>
      <c r="AN162" s="58"/>
      <c r="AO162" s="58"/>
      <c r="AP162" s="58"/>
      <c r="AQ162" s="58"/>
      <c r="AR162" s="58"/>
      <c r="AS162" s="58"/>
      <c r="AT162" s="58"/>
      <c r="AU162" s="58"/>
      <c r="AV162" s="58"/>
      <c r="AW162" s="58"/>
      <c r="AX162" s="58"/>
      <c r="AY162" s="58"/>
      <c r="AZ162" s="58"/>
    </row>
    <row r="163" spans="1:52" hidden="1" x14ac:dyDescent="0.25">
      <c r="A163" s="58"/>
      <c r="B163" s="58"/>
      <c r="C163" s="58"/>
      <c r="D163" s="58"/>
      <c r="E163" s="58"/>
      <c r="F163" s="58"/>
      <c r="G163" s="58"/>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c r="AE163" s="58"/>
      <c r="AF163" s="58"/>
      <c r="AG163" s="58"/>
      <c r="AH163" s="58"/>
      <c r="AI163" s="58"/>
      <c r="AJ163" s="58"/>
      <c r="AK163" s="58"/>
      <c r="AL163" s="58"/>
      <c r="AM163" s="58"/>
      <c r="AN163" s="58"/>
      <c r="AO163" s="58"/>
      <c r="AP163" s="58"/>
      <c r="AQ163" s="58"/>
      <c r="AR163" s="58"/>
      <c r="AS163" s="58"/>
      <c r="AT163" s="58"/>
      <c r="AU163" s="58"/>
      <c r="AV163" s="58"/>
      <c r="AW163" s="58"/>
      <c r="AX163" s="58"/>
      <c r="AY163" s="58"/>
      <c r="AZ163" s="58"/>
    </row>
    <row r="164" spans="1:52" hidden="1" x14ac:dyDescent="0.25">
      <c r="A164" s="58"/>
      <c r="B164" s="58"/>
      <c r="C164" s="58"/>
      <c r="D164" s="58"/>
      <c r="E164" s="58"/>
      <c r="F164" s="58"/>
      <c r="G164" s="58"/>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c r="AE164" s="58"/>
      <c r="AF164" s="58"/>
      <c r="AG164" s="58"/>
      <c r="AH164" s="58"/>
      <c r="AI164" s="58"/>
      <c r="AJ164" s="58"/>
      <c r="AK164" s="58"/>
      <c r="AL164" s="58"/>
      <c r="AM164" s="58"/>
      <c r="AN164" s="58"/>
      <c r="AO164" s="58"/>
      <c r="AP164" s="58"/>
      <c r="AQ164" s="58"/>
      <c r="AR164" s="58"/>
      <c r="AS164" s="58"/>
      <c r="AT164" s="58"/>
      <c r="AU164" s="58"/>
      <c r="AV164" s="58"/>
      <c r="AW164" s="58"/>
      <c r="AX164" s="58"/>
      <c r="AY164" s="58"/>
      <c r="AZ164" s="58"/>
    </row>
    <row r="165" spans="1:52" hidden="1" x14ac:dyDescent="0.25">
      <c r="A165" s="58"/>
      <c r="B165" s="58"/>
      <c r="C165" s="58"/>
      <c r="D165" s="58"/>
      <c r="E165" s="58"/>
      <c r="F165" s="58"/>
      <c r="G165" s="58"/>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c r="AE165" s="58"/>
      <c r="AF165" s="58"/>
      <c r="AG165" s="58"/>
      <c r="AH165" s="58"/>
      <c r="AI165" s="58"/>
      <c r="AJ165" s="58"/>
      <c r="AK165" s="58"/>
      <c r="AL165" s="58"/>
      <c r="AM165" s="58"/>
      <c r="AN165" s="58"/>
      <c r="AO165" s="58"/>
      <c r="AP165" s="58"/>
      <c r="AQ165" s="58"/>
      <c r="AR165" s="58"/>
      <c r="AS165" s="58"/>
      <c r="AT165" s="58"/>
      <c r="AU165" s="58"/>
      <c r="AV165" s="58"/>
      <c r="AW165" s="58"/>
      <c r="AX165" s="58"/>
      <c r="AY165" s="58"/>
      <c r="AZ165" s="58"/>
    </row>
    <row r="166" spans="1:52" hidden="1" x14ac:dyDescent="0.25">
      <c r="A166" s="58"/>
      <c r="B166" s="58"/>
      <c r="C166" s="58"/>
      <c r="D166" s="58"/>
      <c r="E166" s="58"/>
      <c r="F166" s="58"/>
      <c r="G166" s="58"/>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c r="AE166" s="58"/>
      <c r="AF166" s="58"/>
      <c r="AG166" s="58"/>
      <c r="AH166" s="58"/>
      <c r="AI166" s="58"/>
      <c r="AJ166" s="58"/>
      <c r="AK166" s="58"/>
      <c r="AL166" s="58"/>
      <c r="AM166" s="58"/>
      <c r="AN166" s="58"/>
      <c r="AO166" s="58"/>
      <c r="AP166" s="58"/>
      <c r="AQ166" s="58"/>
      <c r="AR166" s="58"/>
      <c r="AS166" s="58"/>
      <c r="AT166" s="58"/>
      <c r="AU166" s="58"/>
      <c r="AV166" s="58"/>
      <c r="AW166" s="58"/>
      <c r="AX166" s="58"/>
      <c r="AY166" s="58"/>
      <c r="AZ166" s="58"/>
    </row>
    <row r="167" spans="1:52" hidden="1" x14ac:dyDescent="0.25">
      <c r="A167" s="58"/>
      <c r="B167" s="58"/>
      <c r="C167" s="58"/>
      <c r="D167" s="58"/>
      <c r="E167" s="58"/>
      <c r="F167" s="58"/>
      <c r="G167" s="58"/>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c r="AE167" s="58"/>
      <c r="AF167" s="58"/>
      <c r="AG167" s="58"/>
      <c r="AH167" s="58"/>
      <c r="AI167" s="58"/>
      <c r="AJ167" s="58"/>
      <c r="AK167" s="58"/>
      <c r="AL167" s="58"/>
      <c r="AM167" s="58"/>
      <c r="AN167" s="58"/>
      <c r="AO167" s="58"/>
      <c r="AP167" s="58"/>
      <c r="AQ167" s="58"/>
      <c r="AR167" s="58"/>
      <c r="AS167" s="58"/>
      <c r="AT167" s="58"/>
      <c r="AU167" s="58"/>
      <c r="AV167" s="58"/>
      <c r="AW167" s="58"/>
      <c r="AX167" s="58"/>
      <c r="AY167" s="58"/>
      <c r="AZ167" s="58"/>
    </row>
    <row r="168" spans="1:52" hidden="1" x14ac:dyDescent="0.25">
      <c r="A168" s="58"/>
      <c r="B168" s="58"/>
      <c r="C168" s="58"/>
      <c r="D168" s="58"/>
      <c r="E168" s="58"/>
      <c r="F168" s="58"/>
      <c r="G168" s="58"/>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c r="AE168" s="58"/>
      <c r="AF168" s="58"/>
      <c r="AG168" s="58"/>
      <c r="AH168" s="58"/>
      <c r="AI168" s="58"/>
      <c r="AJ168" s="58"/>
      <c r="AK168" s="58"/>
      <c r="AL168" s="58"/>
      <c r="AM168" s="58"/>
      <c r="AN168" s="58"/>
      <c r="AO168" s="58"/>
      <c r="AP168" s="58"/>
      <c r="AQ168" s="58"/>
      <c r="AR168" s="58"/>
      <c r="AS168" s="58"/>
      <c r="AT168" s="58"/>
      <c r="AU168" s="58"/>
      <c r="AV168" s="58"/>
      <c r="AW168" s="58"/>
      <c r="AX168" s="58"/>
      <c r="AY168" s="58"/>
      <c r="AZ168" s="58"/>
    </row>
    <row r="169" spans="1:52" hidden="1" x14ac:dyDescent="0.25">
      <c r="A169" s="58"/>
      <c r="B169" s="58"/>
      <c r="C169" s="58"/>
      <c r="D169" s="58"/>
      <c r="E169" s="58"/>
      <c r="F169" s="58"/>
      <c r="G169" s="58"/>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c r="AE169" s="58"/>
      <c r="AF169" s="58"/>
      <c r="AG169" s="58"/>
      <c r="AH169" s="58"/>
      <c r="AI169" s="58"/>
      <c r="AJ169" s="58"/>
      <c r="AK169" s="58"/>
      <c r="AL169" s="58"/>
      <c r="AM169" s="58"/>
      <c r="AN169" s="58"/>
      <c r="AO169" s="58"/>
      <c r="AP169" s="58"/>
      <c r="AQ169" s="58"/>
      <c r="AR169" s="58"/>
      <c r="AS169" s="58"/>
      <c r="AT169" s="58"/>
      <c r="AU169" s="58"/>
      <c r="AV169" s="58"/>
      <c r="AW169" s="58"/>
      <c r="AX169" s="58"/>
      <c r="AY169" s="58"/>
      <c r="AZ169" s="58"/>
    </row>
    <row r="170" spans="1:52" hidden="1" x14ac:dyDescent="0.25">
      <c r="A170" s="58"/>
      <c r="B170" s="58"/>
      <c r="C170" s="58"/>
      <c r="D170" s="58"/>
      <c r="E170" s="58"/>
      <c r="F170" s="58"/>
      <c r="G170" s="58"/>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c r="AE170" s="58"/>
      <c r="AF170" s="58"/>
      <c r="AG170" s="58"/>
      <c r="AH170" s="58"/>
      <c r="AI170" s="58"/>
      <c r="AJ170" s="58"/>
      <c r="AK170" s="58"/>
      <c r="AL170" s="58"/>
      <c r="AM170" s="58"/>
      <c r="AN170" s="58"/>
      <c r="AO170" s="58"/>
      <c r="AP170" s="58"/>
      <c r="AQ170" s="58"/>
      <c r="AR170" s="58"/>
      <c r="AS170" s="58"/>
      <c r="AT170" s="58"/>
      <c r="AU170" s="58"/>
      <c r="AV170" s="58"/>
      <c r="AW170" s="58"/>
      <c r="AX170" s="58"/>
      <c r="AY170" s="58"/>
      <c r="AZ170" s="58"/>
    </row>
    <row r="171" spans="1:52" hidden="1" x14ac:dyDescent="0.25">
      <c r="A171" s="58"/>
      <c r="B171" s="58"/>
      <c r="C171" s="58"/>
      <c r="D171" s="58"/>
      <c r="E171" s="58"/>
      <c r="F171" s="58"/>
      <c r="G171" s="58"/>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c r="AE171" s="58"/>
      <c r="AF171" s="58"/>
      <c r="AG171" s="58"/>
      <c r="AH171" s="58"/>
      <c r="AI171" s="58"/>
      <c r="AJ171" s="58"/>
      <c r="AK171" s="58"/>
      <c r="AL171" s="58"/>
      <c r="AM171" s="58"/>
      <c r="AN171" s="58"/>
      <c r="AO171" s="58"/>
      <c r="AP171" s="58"/>
      <c r="AQ171" s="58"/>
      <c r="AR171" s="58"/>
      <c r="AS171" s="58"/>
      <c r="AT171" s="58"/>
      <c r="AU171" s="58"/>
      <c r="AV171" s="58"/>
      <c r="AW171" s="58"/>
      <c r="AX171" s="58"/>
      <c r="AY171" s="58"/>
      <c r="AZ171" s="58"/>
    </row>
    <row r="172" spans="1:52" hidden="1" x14ac:dyDescent="0.25">
      <c r="A172" s="58"/>
      <c r="B172" s="58"/>
      <c r="C172" s="58"/>
      <c r="D172" s="58"/>
      <c r="E172" s="58"/>
      <c r="F172" s="58"/>
      <c r="G172" s="58"/>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c r="AE172" s="58"/>
      <c r="AF172" s="58"/>
      <c r="AG172" s="58"/>
      <c r="AH172" s="58"/>
      <c r="AI172" s="58"/>
      <c r="AJ172" s="58"/>
      <c r="AK172" s="58"/>
      <c r="AL172" s="58"/>
      <c r="AM172" s="58"/>
      <c r="AN172" s="58"/>
      <c r="AO172" s="58"/>
      <c r="AP172" s="58"/>
      <c r="AQ172" s="58"/>
      <c r="AR172" s="58"/>
      <c r="AS172" s="58"/>
      <c r="AT172" s="58"/>
      <c r="AU172" s="58"/>
      <c r="AV172" s="58"/>
      <c r="AW172" s="58"/>
      <c r="AX172" s="58"/>
      <c r="AY172" s="58"/>
      <c r="AZ172" s="58"/>
    </row>
    <row r="173" spans="1:52" hidden="1" x14ac:dyDescent="0.25">
      <c r="A173" s="58"/>
      <c r="B173" s="58"/>
      <c r="C173" s="58"/>
      <c r="D173" s="58"/>
      <c r="E173" s="58"/>
      <c r="F173" s="58"/>
      <c r="G173" s="58"/>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c r="AE173" s="58"/>
      <c r="AF173" s="58"/>
      <c r="AG173" s="58"/>
      <c r="AH173" s="58"/>
      <c r="AI173" s="58"/>
      <c r="AJ173" s="58"/>
      <c r="AK173" s="58"/>
      <c r="AL173" s="58"/>
      <c r="AM173" s="58"/>
      <c r="AN173" s="58"/>
      <c r="AO173" s="58"/>
      <c r="AP173" s="58"/>
      <c r="AQ173" s="58"/>
      <c r="AR173" s="58"/>
      <c r="AS173" s="58"/>
      <c r="AT173" s="58"/>
      <c r="AU173" s="58"/>
      <c r="AV173" s="58"/>
      <c r="AW173" s="58"/>
      <c r="AX173" s="58"/>
      <c r="AY173" s="58"/>
      <c r="AZ173" s="58"/>
    </row>
    <row r="174" spans="1:52" hidden="1" x14ac:dyDescent="0.25">
      <c r="A174" s="58"/>
      <c r="B174" s="58"/>
      <c r="C174" s="58"/>
      <c r="D174" s="58"/>
      <c r="E174" s="58"/>
      <c r="F174" s="58"/>
      <c r="G174" s="58"/>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c r="AE174" s="58"/>
      <c r="AF174" s="58"/>
      <c r="AG174" s="58"/>
      <c r="AH174" s="58"/>
      <c r="AI174" s="58"/>
      <c r="AJ174" s="58"/>
      <c r="AK174" s="58"/>
      <c r="AL174" s="58"/>
      <c r="AM174" s="58"/>
      <c r="AN174" s="58"/>
      <c r="AO174" s="58"/>
      <c r="AP174" s="58"/>
      <c r="AQ174" s="58"/>
      <c r="AR174" s="58"/>
      <c r="AS174" s="58"/>
      <c r="AT174" s="58"/>
      <c r="AU174" s="58"/>
      <c r="AV174" s="58"/>
      <c r="AW174" s="58"/>
      <c r="AX174" s="58"/>
      <c r="AY174" s="58"/>
      <c r="AZ174" s="58"/>
    </row>
    <row r="175" spans="1:52" hidden="1" x14ac:dyDescent="0.25">
      <c r="A175" s="58"/>
      <c r="B175" s="58"/>
      <c r="C175" s="58"/>
      <c r="D175" s="58"/>
      <c r="E175" s="58"/>
      <c r="F175" s="58"/>
      <c r="G175" s="58"/>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c r="AE175" s="58"/>
      <c r="AF175" s="58"/>
      <c r="AG175" s="58"/>
      <c r="AH175" s="58"/>
      <c r="AI175" s="58"/>
      <c r="AJ175" s="58"/>
      <c r="AK175" s="58"/>
      <c r="AL175" s="58"/>
      <c r="AM175" s="58"/>
      <c r="AN175" s="58"/>
      <c r="AO175" s="58"/>
      <c r="AP175" s="58"/>
      <c r="AQ175" s="58"/>
      <c r="AR175" s="58"/>
      <c r="AS175" s="58"/>
      <c r="AT175" s="58"/>
      <c r="AU175" s="58"/>
      <c r="AV175" s="58"/>
      <c r="AW175" s="58"/>
      <c r="AX175" s="58"/>
      <c r="AY175" s="58"/>
      <c r="AZ175" s="58"/>
    </row>
    <row r="176" spans="1:52" hidden="1" x14ac:dyDescent="0.25">
      <c r="A176" s="58"/>
      <c r="B176" s="58"/>
      <c r="C176" s="58"/>
      <c r="D176" s="58"/>
      <c r="E176" s="58"/>
      <c r="F176" s="58"/>
      <c r="G176" s="58"/>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c r="AE176" s="58"/>
      <c r="AF176" s="58"/>
      <c r="AG176" s="58"/>
      <c r="AH176" s="58"/>
      <c r="AI176" s="58"/>
      <c r="AJ176" s="58"/>
      <c r="AK176" s="58"/>
      <c r="AL176" s="58"/>
      <c r="AM176" s="58"/>
      <c r="AN176" s="58"/>
      <c r="AO176" s="58"/>
      <c r="AP176" s="58"/>
      <c r="AQ176" s="58"/>
      <c r="AR176" s="58"/>
      <c r="AS176" s="58"/>
      <c r="AT176" s="58"/>
      <c r="AU176" s="58"/>
      <c r="AV176" s="58"/>
      <c r="AW176" s="58"/>
      <c r="AX176" s="58"/>
      <c r="AY176" s="58"/>
      <c r="AZ176" s="58"/>
    </row>
    <row r="177" spans="1:52" hidden="1" x14ac:dyDescent="0.25">
      <c r="A177" s="58"/>
      <c r="B177" s="58"/>
      <c r="C177" s="58"/>
      <c r="D177" s="58"/>
      <c r="E177" s="58"/>
      <c r="F177" s="58"/>
      <c r="G177" s="58"/>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c r="AE177" s="58"/>
      <c r="AF177" s="58"/>
      <c r="AG177" s="58"/>
      <c r="AH177" s="58"/>
      <c r="AI177" s="58"/>
      <c r="AJ177" s="58"/>
      <c r="AK177" s="58"/>
      <c r="AL177" s="58"/>
      <c r="AM177" s="58"/>
      <c r="AN177" s="58"/>
      <c r="AO177" s="58"/>
      <c r="AP177" s="58"/>
      <c r="AQ177" s="58"/>
      <c r="AR177" s="58"/>
      <c r="AS177" s="58"/>
      <c r="AT177" s="58"/>
      <c r="AU177" s="58"/>
      <c r="AV177" s="58"/>
      <c r="AW177" s="58"/>
      <c r="AX177" s="58"/>
      <c r="AY177" s="58"/>
      <c r="AZ177" s="58"/>
    </row>
    <row r="178" spans="1:52" hidden="1" x14ac:dyDescent="0.25">
      <c r="A178" s="58"/>
      <c r="B178" s="58"/>
      <c r="C178" s="58"/>
      <c r="D178" s="58"/>
      <c r="E178" s="58"/>
      <c r="F178" s="58"/>
      <c r="G178" s="58"/>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c r="AE178" s="58"/>
      <c r="AF178" s="58"/>
      <c r="AG178" s="58"/>
      <c r="AH178" s="58"/>
      <c r="AI178" s="58"/>
      <c r="AJ178" s="58"/>
      <c r="AK178" s="58"/>
      <c r="AL178" s="58"/>
      <c r="AM178" s="58"/>
      <c r="AN178" s="58"/>
      <c r="AO178" s="58"/>
      <c r="AP178" s="58"/>
      <c r="AQ178" s="58"/>
      <c r="AR178" s="58"/>
      <c r="AS178" s="58"/>
      <c r="AT178" s="58"/>
      <c r="AU178" s="58"/>
      <c r="AV178" s="58"/>
      <c r="AW178" s="58"/>
      <c r="AX178" s="58"/>
      <c r="AY178" s="58"/>
      <c r="AZ178" s="58"/>
    </row>
    <row r="179" spans="1:52" hidden="1" x14ac:dyDescent="0.25">
      <c r="A179" s="58"/>
      <c r="B179" s="58"/>
      <c r="C179" s="58"/>
      <c r="D179" s="58"/>
      <c r="E179" s="58"/>
      <c r="F179" s="58"/>
      <c r="G179" s="58"/>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c r="AE179" s="58"/>
      <c r="AF179" s="58"/>
      <c r="AG179" s="58"/>
      <c r="AH179" s="58"/>
      <c r="AI179" s="58"/>
      <c r="AJ179" s="58"/>
      <c r="AK179" s="58"/>
      <c r="AL179" s="58"/>
      <c r="AM179" s="58"/>
      <c r="AN179" s="58"/>
      <c r="AO179" s="58"/>
      <c r="AP179" s="58"/>
      <c r="AQ179" s="58"/>
      <c r="AR179" s="58"/>
      <c r="AS179" s="58"/>
      <c r="AT179" s="58"/>
      <c r="AU179" s="58"/>
      <c r="AV179" s="58"/>
      <c r="AW179" s="58"/>
      <c r="AX179" s="58"/>
      <c r="AY179" s="58"/>
      <c r="AZ179" s="58"/>
    </row>
    <row r="180" spans="1:52" hidden="1" x14ac:dyDescent="0.25">
      <c r="A180" s="58"/>
      <c r="B180" s="58"/>
      <c r="C180" s="58"/>
      <c r="D180" s="58"/>
      <c r="E180" s="58"/>
      <c r="F180" s="58"/>
      <c r="G180" s="58"/>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c r="AE180" s="58"/>
      <c r="AF180" s="58"/>
      <c r="AG180" s="58"/>
      <c r="AH180" s="58"/>
      <c r="AI180" s="58"/>
      <c r="AJ180" s="58"/>
      <c r="AK180" s="58"/>
      <c r="AL180" s="58"/>
      <c r="AM180" s="58"/>
      <c r="AN180" s="58"/>
      <c r="AO180" s="58"/>
      <c r="AP180" s="58"/>
      <c r="AQ180" s="58"/>
      <c r="AR180" s="58"/>
      <c r="AS180" s="58"/>
      <c r="AT180" s="58"/>
      <c r="AU180" s="58"/>
      <c r="AV180" s="58"/>
      <c r="AW180" s="58"/>
      <c r="AX180" s="58"/>
      <c r="AY180" s="58"/>
      <c r="AZ180" s="58"/>
    </row>
    <row r="181" spans="1:52" hidden="1" x14ac:dyDescent="0.25">
      <c r="A181" s="58"/>
      <c r="B181" s="58"/>
      <c r="C181" s="58"/>
      <c r="D181" s="58"/>
      <c r="E181" s="58"/>
      <c r="F181" s="58"/>
      <c r="G181" s="58"/>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c r="AE181" s="58"/>
      <c r="AF181" s="58"/>
      <c r="AG181" s="58"/>
      <c r="AH181" s="58"/>
      <c r="AI181" s="58"/>
      <c r="AJ181" s="58"/>
      <c r="AK181" s="58"/>
      <c r="AL181" s="58"/>
      <c r="AM181" s="58"/>
      <c r="AN181" s="58"/>
      <c r="AO181" s="58"/>
      <c r="AP181" s="58"/>
      <c r="AQ181" s="58"/>
      <c r="AR181" s="58"/>
      <c r="AS181" s="58"/>
      <c r="AT181" s="58"/>
      <c r="AU181" s="58"/>
      <c r="AV181" s="58"/>
      <c r="AW181" s="58"/>
      <c r="AX181" s="58"/>
      <c r="AY181" s="58"/>
      <c r="AZ181" s="58"/>
    </row>
    <row r="182" spans="1:52" hidden="1" x14ac:dyDescent="0.25">
      <c r="A182" s="58"/>
      <c r="B182" s="58"/>
      <c r="C182" s="58"/>
      <c r="D182" s="58"/>
      <c r="E182" s="58"/>
      <c r="F182" s="58"/>
      <c r="G182" s="58"/>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c r="AE182" s="58"/>
      <c r="AF182" s="58"/>
      <c r="AG182" s="58"/>
      <c r="AH182" s="58"/>
      <c r="AI182" s="58"/>
      <c r="AJ182" s="58"/>
      <c r="AK182" s="58"/>
      <c r="AL182" s="58"/>
      <c r="AM182" s="58"/>
      <c r="AN182" s="58"/>
      <c r="AO182" s="58"/>
      <c r="AP182" s="58"/>
      <c r="AQ182" s="58"/>
      <c r="AR182" s="58"/>
      <c r="AS182" s="58"/>
      <c r="AT182" s="58"/>
      <c r="AU182" s="58"/>
      <c r="AV182" s="58"/>
      <c r="AW182" s="58"/>
      <c r="AX182" s="58"/>
      <c r="AY182" s="58"/>
      <c r="AZ182" s="58"/>
    </row>
    <row r="183" spans="1:52" hidden="1" x14ac:dyDescent="0.25">
      <c r="A183" s="58"/>
      <c r="B183" s="58"/>
      <c r="C183" s="58"/>
      <c r="D183" s="58"/>
      <c r="E183" s="58"/>
      <c r="F183" s="58"/>
      <c r="G183" s="58"/>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c r="AE183" s="58"/>
      <c r="AF183" s="58"/>
      <c r="AG183" s="58"/>
      <c r="AH183" s="58"/>
      <c r="AI183" s="58"/>
      <c r="AJ183" s="58"/>
      <c r="AK183" s="58"/>
      <c r="AL183" s="58"/>
      <c r="AM183" s="58"/>
      <c r="AN183" s="58"/>
      <c r="AO183" s="58"/>
      <c r="AP183" s="58"/>
      <c r="AQ183" s="58"/>
      <c r="AR183" s="58"/>
      <c r="AS183" s="58"/>
      <c r="AT183" s="58"/>
      <c r="AU183" s="58"/>
      <c r="AV183" s="58"/>
      <c r="AW183" s="58"/>
      <c r="AX183" s="58"/>
      <c r="AY183" s="58"/>
      <c r="AZ183" s="58"/>
    </row>
    <row r="184" spans="1:52" hidden="1" x14ac:dyDescent="0.25">
      <c r="A184" s="58"/>
      <c r="B184" s="58"/>
      <c r="C184" s="58"/>
      <c r="D184" s="58"/>
      <c r="E184" s="58"/>
      <c r="F184" s="58"/>
      <c r="G184" s="58"/>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c r="AE184" s="58"/>
      <c r="AF184" s="58"/>
      <c r="AG184" s="58"/>
      <c r="AH184" s="58"/>
      <c r="AI184" s="58"/>
      <c r="AJ184" s="58"/>
      <c r="AK184" s="58"/>
      <c r="AL184" s="58"/>
      <c r="AM184" s="58"/>
      <c r="AN184" s="58"/>
      <c r="AO184" s="58"/>
      <c r="AP184" s="58"/>
      <c r="AQ184" s="58"/>
      <c r="AR184" s="58"/>
      <c r="AS184" s="58"/>
      <c r="AT184" s="58"/>
      <c r="AU184" s="58"/>
      <c r="AV184" s="58"/>
      <c r="AW184" s="58"/>
      <c r="AX184" s="58"/>
      <c r="AY184" s="58"/>
      <c r="AZ184" s="58"/>
    </row>
    <row r="185" spans="1:52" hidden="1" x14ac:dyDescent="0.25">
      <c r="A185" s="58"/>
      <c r="B185" s="58"/>
      <c r="C185" s="58"/>
      <c r="D185" s="58"/>
      <c r="E185" s="58"/>
      <c r="F185" s="58"/>
      <c r="G185" s="58"/>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c r="AE185" s="58"/>
      <c r="AF185" s="58"/>
      <c r="AG185" s="58"/>
      <c r="AH185" s="58"/>
      <c r="AI185" s="58"/>
      <c r="AJ185" s="58"/>
      <c r="AK185" s="58"/>
      <c r="AL185" s="58"/>
      <c r="AM185" s="58"/>
      <c r="AN185" s="58"/>
      <c r="AO185" s="58"/>
      <c r="AP185" s="58"/>
      <c r="AQ185" s="58"/>
      <c r="AR185" s="58"/>
      <c r="AS185" s="58"/>
      <c r="AT185" s="58"/>
      <c r="AU185" s="58"/>
      <c r="AV185" s="58"/>
      <c r="AW185" s="58"/>
      <c r="AX185" s="58"/>
      <c r="AY185" s="58"/>
      <c r="AZ185" s="58"/>
    </row>
    <row r="186" spans="1:52" hidden="1" x14ac:dyDescent="0.25">
      <c r="A186" s="58"/>
      <c r="B186" s="58"/>
      <c r="C186" s="58"/>
      <c r="D186" s="58"/>
      <c r="E186" s="58"/>
      <c r="F186" s="58"/>
      <c r="G186" s="58"/>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c r="AE186" s="58"/>
      <c r="AF186" s="58"/>
      <c r="AG186" s="58"/>
      <c r="AH186" s="58"/>
      <c r="AI186" s="58"/>
      <c r="AJ186" s="58"/>
      <c r="AK186" s="58"/>
      <c r="AL186" s="58"/>
      <c r="AM186" s="58"/>
      <c r="AN186" s="58"/>
      <c r="AO186" s="58"/>
      <c r="AP186" s="58"/>
      <c r="AQ186" s="58"/>
      <c r="AR186" s="58"/>
      <c r="AS186" s="58"/>
      <c r="AT186" s="58"/>
      <c r="AU186" s="58"/>
      <c r="AV186" s="58"/>
      <c r="AW186" s="58"/>
      <c r="AX186" s="58"/>
      <c r="AY186" s="58"/>
      <c r="AZ186" s="58"/>
    </row>
    <row r="187" spans="1:52" hidden="1" x14ac:dyDescent="0.25">
      <c r="A187" s="58"/>
      <c r="B187" s="58"/>
      <c r="C187" s="58"/>
      <c r="D187" s="58"/>
      <c r="E187" s="58"/>
      <c r="F187" s="58"/>
      <c r="G187" s="58"/>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c r="AE187" s="58"/>
      <c r="AF187" s="58"/>
      <c r="AG187" s="58"/>
      <c r="AH187" s="58"/>
      <c r="AI187" s="58"/>
      <c r="AJ187" s="58"/>
      <c r="AK187" s="58"/>
      <c r="AL187" s="58"/>
      <c r="AM187" s="58"/>
      <c r="AN187" s="58"/>
      <c r="AO187" s="58"/>
      <c r="AP187" s="58"/>
      <c r="AQ187" s="58"/>
      <c r="AR187" s="58"/>
      <c r="AS187" s="58"/>
      <c r="AT187" s="58"/>
      <c r="AU187" s="58"/>
      <c r="AV187" s="58"/>
      <c r="AW187" s="58"/>
      <c r="AX187" s="58"/>
      <c r="AY187" s="58"/>
      <c r="AZ187" s="58"/>
    </row>
    <row r="188" spans="1:52" hidden="1" x14ac:dyDescent="0.25">
      <c r="A188" s="58"/>
      <c r="B188" s="58"/>
      <c r="C188" s="58"/>
      <c r="D188" s="58"/>
      <c r="E188" s="58"/>
      <c r="F188" s="58"/>
      <c r="G188" s="58"/>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c r="AE188" s="58"/>
      <c r="AF188" s="58"/>
      <c r="AG188" s="58"/>
      <c r="AH188" s="58"/>
      <c r="AI188" s="58"/>
      <c r="AJ188" s="58"/>
      <c r="AK188" s="58"/>
      <c r="AL188" s="58"/>
      <c r="AM188" s="58"/>
      <c r="AN188" s="58"/>
      <c r="AO188" s="58"/>
      <c r="AP188" s="58"/>
      <c r="AQ188" s="58"/>
      <c r="AR188" s="58"/>
      <c r="AS188" s="58"/>
      <c r="AT188" s="58"/>
      <c r="AU188" s="58"/>
      <c r="AV188" s="58"/>
      <c r="AW188" s="58"/>
      <c r="AX188" s="58"/>
      <c r="AY188" s="58"/>
      <c r="AZ188" s="58"/>
    </row>
    <row r="189" spans="1:52" hidden="1" x14ac:dyDescent="0.25">
      <c r="A189" s="58"/>
      <c r="B189" s="58"/>
      <c r="C189" s="58"/>
      <c r="D189" s="58"/>
      <c r="E189" s="58"/>
      <c r="F189" s="58"/>
      <c r="G189" s="58"/>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c r="AE189" s="58"/>
      <c r="AF189" s="58"/>
      <c r="AG189" s="58"/>
      <c r="AH189" s="58"/>
      <c r="AI189" s="58"/>
      <c r="AJ189" s="58"/>
      <c r="AK189" s="58"/>
      <c r="AL189" s="58"/>
      <c r="AM189" s="58"/>
      <c r="AN189" s="58"/>
      <c r="AO189" s="58"/>
      <c r="AP189" s="58"/>
      <c r="AQ189" s="58"/>
      <c r="AR189" s="58"/>
      <c r="AS189" s="58"/>
      <c r="AT189" s="58"/>
      <c r="AU189" s="58"/>
      <c r="AV189" s="58"/>
      <c r="AW189" s="58"/>
      <c r="AX189" s="58"/>
      <c r="AY189" s="58"/>
      <c r="AZ189" s="58"/>
    </row>
    <row r="190" spans="1:52" hidden="1" x14ac:dyDescent="0.25">
      <c r="A190" s="58"/>
      <c r="B190" s="58"/>
      <c r="C190" s="58"/>
      <c r="D190" s="58"/>
      <c r="E190" s="58"/>
      <c r="F190" s="58"/>
      <c r="G190" s="58"/>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c r="AE190" s="58"/>
      <c r="AF190" s="58"/>
      <c r="AG190" s="58"/>
      <c r="AH190" s="58"/>
      <c r="AI190" s="58"/>
      <c r="AJ190" s="58"/>
      <c r="AK190" s="58"/>
      <c r="AL190" s="58"/>
      <c r="AM190" s="58"/>
      <c r="AN190" s="58"/>
      <c r="AO190" s="58"/>
      <c r="AP190" s="58"/>
      <c r="AQ190" s="58"/>
      <c r="AR190" s="58"/>
      <c r="AS190" s="58"/>
      <c r="AT190" s="58"/>
      <c r="AU190" s="58"/>
      <c r="AV190" s="58"/>
      <c r="AW190" s="58"/>
      <c r="AX190" s="58"/>
      <c r="AY190" s="58"/>
      <c r="AZ190" s="58"/>
    </row>
    <row r="191" spans="1:52" hidden="1" x14ac:dyDescent="0.25">
      <c r="A191" s="58"/>
      <c r="B191" s="58"/>
      <c r="C191" s="58"/>
      <c r="D191" s="58"/>
      <c r="E191" s="58"/>
      <c r="F191" s="58"/>
      <c r="G191" s="58"/>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c r="AE191" s="58"/>
      <c r="AF191" s="58"/>
      <c r="AG191" s="58"/>
      <c r="AH191" s="58"/>
      <c r="AI191" s="58"/>
      <c r="AJ191" s="58"/>
      <c r="AK191" s="58"/>
      <c r="AL191" s="58"/>
      <c r="AM191" s="58"/>
      <c r="AN191" s="58"/>
      <c r="AO191" s="58"/>
      <c r="AP191" s="58"/>
      <c r="AQ191" s="58"/>
      <c r="AR191" s="58"/>
      <c r="AS191" s="58"/>
      <c r="AT191" s="58"/>
      <c r="AU191" s="58"/>
      <c r="AV191" s="58"/>
      <c r="AW191" s="58"/>
      <c r="AX191" s="58"/>
      <c r="AY191" s="58"/>
      <c r="AZ191" s="58"/>
    </row>
    <row r="192" spans="1:52" hidden="1" x14ac:dyDescent="0.25">
      <c r="A192" s="58"/>
      <c r="B192" s="58"/>
      <c r="C192" s="58"/>
      <c r="D192" s="58"/>
      <c r="E192" s="58"/>
      <c r="F192" s="58"/>
      <c r="G192" s="58"/>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c r="AE192" s="58"/>
      <c r="AF192" s="58"/>
      <c r="AG192" s="58"/>
      <c r="AH192" s="58"/>
      <c r="AI192" s="58"/>
      <c r="AJ192" s="58"/>
      <c r="AK192" s="58"/>
      <c r="AL192" s="58"/>
      <c r="AM192" s="58"/>
      <c r="AN192" s="58"/>
      <c r="AO192" s="58"/>
      <c r="AP192" s="58"/>
      <c r="AQ192" s="58"/>
      <c r="AR192" s="58"/>
      <c r="AS192" s="58"/>
      <c r="AT192" s="58"/>
      <c r="AU192" s="58"/>
      <c r="AV192" s="58"/>
      <c r="AW192" s="58"/>
      <c r="AX192" s="58"/>
      <c r="AY192" s="58"/>
      <c r="AZ192" s="58"/>
    </row>
    <row r="193" spans="1:52" hidden="1" x14ac:dyDescent="0.25">
      <c r="A193" s="58"/>
      <c r="B193" s="58"/>
      <c r="C193" s="58"/>
      <c r="D193" s="58"/>
      <c r="E193" s="58"/>
      <c r="F193" s="58"/>
      <c r="G193" s="58"/>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c r="AE193" s="58"/>
      <c r="AF193" s="58"/>
      <c r="AG193" s="58"/>
      <c r="AH193" s="58"/>
      <c r="AI193" s="58"/>
      <c r="AJ193" s="58"/>
      <c r="AK193" s="58"/>
      <c r="AL193" s="58"/>
      <c r="AM193" s="58"/>
      <c r="AN193" s="58"/>
      <c r="AO193" s="58"/>
      <c r="AP193" s="58"/>
      <c r="AQ193" s="58"/>
      <c r="AR193" s="58"/>
      <c r="AS193" s="58"/>
      <c r="AT193" s="58"/>
      <c r="AU193" s="58"/>
      <c r="AV193" s="58"/>
      <c r="AW193" s="58"/>
      <c r="AX193" s="58"/>
      <c r="AY193" s="58"/>
      <c r="AZ193" s="58"/>
    </row>
    <row r="194" spans="1:52" hidden="1" x14ac:dyDescent="0.25">
      <c r="A194" s="58"/>
      <c r="B194" s="58"/>
      <c r="C194" s="58"/>
      <c r="D194" s="58"/>
      <c r="E194" s="58"/>
      <c r="F194" s="58"/>
      <c r="G194" s="58"/>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c r="AE194" s="58"/>
      <c r="AF194" s="58"/>
      <c r="AG194" s="58"/>
      <c r="AH194" s="58"/>
      <c r="AI194" s="58"/>
      <c r="AJ194" s="58"/>
      <c r="AK194" s="58"/>
      <c r="AL194" s="58"/>
      <c r="AM194" s="58"/>
      <c r="AN194" s="58"/>
      <c r="AO194" s="58"/>
      <c r="AP194" s="58"/>
      <c r="AQ194" s="58"/>
      <c r="AR194" s="58"/>
      <c r="AS194" s="58"/>
      <c r="AT194" s="58"/>
      <c r="AU194" s="58"/>
      <c r="AV194" s="58"/>
      <c r="AW194" s="58"/>
      <c r="AX194" s="58"/>
      <c r="AY194" s="58"/>
      <c r="AZ194" s="58"/>
    </row>
    <row r="195" spans="1:52" hidden="1" x14ac:dyDescent="0.25">
      <c r="A195" s="58"/>
      <c r="B195" s="58"/>
      <c r="C195" s="58"/>
      <c r="D195" s="58"/>
      <c r="E195" s="58"/>
      <c r="F195" s="58"/>
      <c r="G195" s="58"/>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c r="AE195" s="58"/>
      <c r="AF195" s="58"/>
      <c r="AG195" s="58"/>
      <c r="AH195" s="58"/>
      <c r="AI195" s="58"/>
      <c r="AJ195" s="58"/>
      <c r="AK195" s="58"/>
      <c r="AL195" s="58"/>
      <c r="AM195" s="58"/>
      <c r="AN195" s="58"/>
      <c r="AO195" s="58"/>
      <c r="AP195" s="58"/>
      <c r="AQ195" s="58"/>
      <c r="AR195" s="58"/>
      <c r="AS195" s="58"/>
      <c r="AT195" s="58"/>
      <c r="AU195" s="58"/>
      <c r="AV195" s="58"/>
      <c r="AW195" s="58"/>
      <c r="AX195" s="58"/>
      <c r="AY195" s="58"/>
      <c r="AZ195" s="58"/>
    </row>
    <row r="196" spans="1:52" hidden="1" x14ac:dyDescent="0.25">
      <c r="A196" s="58"/>
      <c r="B196" s="58"/>
      <c r="C196" s="58"/>
      <c r="D196" s="58"/>
      <c r="E196" s="58"/>
      <c r="F196" s="58"/>
      <c r="G196" s="58"/>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c r="AE196" s="58"/>
      <c r="AF196" s="58"/>
      <c r="AG196" s="58"/>
      <c r="AH196" s="58"/>
      <c r="AI196" s="58"/>
      <c r="AJ196" s="58"/>
      <c r="AK196" s="58"/>
      <c r="AL196" s="58"/>
      <c r="AM196" s="58"/>
      <c r="AN196" s="58"/>
      <c r="AO196" s="58"/>
      <c r="AP196" s="58"/>
      <c r="AQ196" s="58"/>
      <c r="AR196" s="58"/>
      <c r="AS196" s="58"/>
      <c r="AT196" s="58"/>
      <c r="AU196" s="58"/>
      <c r="AV196" s="58"/>
      <c r="AW196" s="58"/>
      <c r="AX196" s="58"/>
      <c r="AY196" s="58"/>
      <c r="AZ196" s="58"/>
    </row>
    <row r="197" spans="1:52" hidden="1" x14ac:dyDescent="0.25">
      <c r="A197" s="58"/>
      <c r="B197" s="58"/>
      <c r="C197" s="58"/>
      <c r="D197" s="58"/>
      <c r="E197" s="58"/>
      <c r="F197" s="58"/>
      <c r="G197" s="58"/>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c r="AE197" s="58"/>
      <c r="AF197" s="58"/>
      <c r="AG197" s="58"/>
      <c r="AH197" s="58"/>
      <c r="AI197" s="58"/>
      <c r="AJ197" s="58"/>
      <c r="AK197" s="58"/>
      <c r="AL197" s="58"/>
      <c r="AM197" s="58"/>
      <c r="AN197" s="58"/>
      <c r="AO197" s="58"/>
      <c r="AP197" s="58"/>
      <c r="AQ197" s="58"/>
      <c r="AR197" s="58"/>
      <c r="AS197" s="58"/>
      <c r="AT197" s="58"/>
      <c r="AU197" s="58"/>
      <c r="AV197" s="58"/>
      <c r="AW197" s="58"/>
      <c r="AX197" s="58"/>
      <c r="AY197" s="58"/>
      <c r="AZ197" s="58"/>
    </row>
    <row r="198" spans="1:52" hidden="1" x14ac:dyDescent="0.25">
      <c r="A198" s="58"/>
      <c r="B198" s="58"/>
      <c r="C198" s="58"/>
      <c r="D198" s="58"/>
      <c r="E198" s="58"/>
      <c r="F198" s="58"/>
      <c r="G198" s="58"/>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c r="AE198" s="58"/>
      <c r="AF198" s="58"/>
      <c r="AG198" s="58"/>
      <c r="AH198" s="58"/>
      <c r="AI198" s="58"/>
      <c r="AJ198" s="58"/>
      <c r="AK198" s="58"/>
      <c r="AL198" s="58"/>
      <c r="AM198" s="58"/>
      <c r="AN198" s="58"/>
      <c r="AO198" s="58"/>
      <c r="AP198" s="58"/>
      <c r="AQ198" s="58"/>
      <c r="AR198" s="58"/>
      <c r="AS198" s="58"/>
      <c r="AT198" s="58"/>
      <c r="AU198" s="58"/>
      <c r="AV198" s="58"/>
      <c r="AW198" s="58"/>
      <c r="AX198" s="58"/>
      <c r="AY198" s="58"/>
      <c r="AZ198" s="58"/>
    </row>
    <row r="199" spans="1:52" hidden="1" x14ac:dyDescent="0.25">
      <c r="A199" s="58"/>
      <c r="B199" s="58"/>
      <c r="C199" s="58"/>
      <c r="D199" s="58"/>
      <c r="E199" s="58"/>
      <c r="F199" s="58"/>
      <c r="G199" s="58"/>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c r="AE199" s="58"/>
      <c r="AF199" s="58"/>
      <c r="AG199" s="58"/>
      <c r="AH199" s="58"/>
      <c r="AI199" s="58"/>
      <c r="AJ199" s="58"/>
      <c r="AK199" s="58"/>
      <c r="AL199" s="58"/>
      <c r="AM199" s="58"/>
      <c r="AN199" s="58"/>
      <c r="AO199" s="58"/>
      <c r="AP199" s="58"/>
      <c r="AQ199" s="58"/>
      <c r="AR199" s="58"/>
      <c r="AS199" s="58"/>
      <c r="AT199" s="58"/>
      <c r="AU199" s="58"/>
      <c r="AV199" s="58"/>
      <c r="AW199" s="58"/>
      <c r="AX199" s="58"/>
      <c r="AY199" s="58"/>
      <c r="AZ199" s="58"/>
    </row>
    <row r="200" spans="1:52" hidden="1" x14ac:dyDescent="0.25">
      <c r="A200" s="58"/>
      <c r="B200" s="58"/>
      <c r="C200" s="58"/>
      <c r="D200" s="58"/>
      <c r="E200" s="58"/>
      <c r="F200" s="58"/>
      <c r="G200" s="58"/>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c r="AE200" s="58"/>
      <c r="AF200" s="58"/>
      <c r="AG200" s="58"/>
      <c r="AH200" s="58"/>
      <c r="AI200" s="58"/>
      <c r="AJ200" s="58"/>
      <c r="AK200" s="58"/>
      <c r="AL200" s="58"/>
      <c r="AM200" s="58"/>
      <c r="AN200" s="58"/>
      <c r="AO200" s="58"/>
      <c r="AP200" s="58"/>
      <c r="AQ200" s="58"/>
      <c r="AR200" s="58"/>
      <c r="AS200" s="58"/>
      <c r="AT200" s="58"/>
      <c r="AU200" s="58"/>
      <c r="AV200" s="58"/>
      <c r="AW200" s="58"/>
      <c r="AX200" s="58"/>
      <c r="AY200" s="58"/>
      <c r="AZ200" s="58"/>
    </row>
    <row r="201" spans="1:52" hidden="1" x14ac:dyDescent="0.25">
      <c r="A201" s="58"/>
      <c r="B201" s="58"/>
      <c r="C201" s="58"/>
      <c r="D201" s="58"/>
      <c r="E201" s="58"/>
      <c r="F201" s="58"/>
      <c r="G201" s="58"/>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c r="AE201" s="58"/>
      <c r="AF201" s="58"/>
      <c r="AG201" s="58"/>
      <c r="AH201" s="58"/>
      <c r="AI201" s="58"/>
      <c r="AJ201" s="58"/>
      <c r="AK201" s="58"/>
      <c r="AL201" s="58"/>
      <c r="AM201" s="58"/>
      <c r="AN201" s="58"/>
      <c r="AO201" s="58"/>
      <c r="AP201" s="58"/>
      <c r="AQ201" s="58"/>
      <c r="AR201" s="58"/>
      <c r="AS201" s="58"/>
      <c r="AT201" s="58"/>
      <c r="AU201" s="58"/>
      <c r="AV201" s="58"/>
      <c r="AW201" s="58"/>
      <c r="AX201" s="58"/>
      <c r="AY201" s="58"/>
      <c r="AZ201" s="58"/>
    </row>
    <row r="202" spans="1:52" hidden="1" x14ac:dyDescent="0.25">
      <c r="A202" s="58"/>
      <c r="B202" s="58"/>
      <c r="C202" s="58"/>
      <c r="D202" s="58"/>
      <c r="E202" s="58"/>
      <c r="F202" s="58"/>
      <c r="G202" s="58"/>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c r="AE202" s="58"/>
      <c r="AF202" s="58"/>
      <c r="AG202" s="58"/>
      <c r="AH202" s="58"/>
      <c r="AI202" s="58"/>
      <c r="AJ202" s="58"/>
      <c r="AK202" s="58"/>
      <c r="AL202" s="58"/>
      <c r="AM202" s="58"/>
      <c r="AN202" s="58"/>
      <c r="AO202" s="58"/>
      <c r="AP202" s="58"/>
      <c r="AQ202" s="58"/>
      <c r="AR202" s="58"/>
      <c r="AS202" s="58"/>
      <c r="AT202" s="58"/>
      <c r="AU202" s="58"/>
      <c r="AV202" s="58"/>
      <c r="AW202" s="58"/>
      <c r="AX202" s="58"/>
      <c r="AY202" s="58"/>
      <c r="AZ202" s="58"/>
    </row>
    <row r="203" spans="1:52" hidden="1" x14ac:dyDescent="0.25">
      <c r="A203" s="58"/>
      <c r="B203" s="58"/>
      <c r="C203" s="58"/>
      <c r="D203" s="58"/>
      <c r="E203" s="58"/>
      <c r="F203" s="58"/>
      <c r="G203" s="58"/>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c r="AE203" s="58"/>
      <c r="AF203" s="58"/>
      <c r="AG203" s="58"/>
      <c r="AH203" s="58"/>
      <c r="AI203" s="58"/>
      <c r="AJ203" s="58"/>
      <c r="AK203" s="58"/>
      <c r="AL203" s="58"/>
      <c r="AM203" s="58"/>
      <c r="AN203" s="58"/>
      <c r="AO203" s="58"/>
      <c r="AP203" s="58"/>
      <c r="AQ203" s="58"/>
      <c r="AR203" s="58"/>
      <c r="AS203" s="58"/>
      <c r="AT203" s="58"/>
      <c r="AU203" s="58"/>
      <c r="AV203" s="58"/>
      <c r="AW203" s="58"/>
      <c r="AX203" s="58"/>
      <c r="AY203" s="58"/>
      <c r="AZ203" s="58"/>
    </row>
    <row r="204" spans="1:52" hidden="1" x14ac:dyDescent="0.25">
      <c r="A204" s="58"/>
      <c r="B204" s="58"/>
      <c r="C204" s="58"/>
      <c r="D204" s="58"/>
      <c r="E204" s="58"/>
      <c r="F204" s="58"/>
      <c r="G204" s="58"/>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c r="AE204" s="58"/>
      <c r="AF204" s="58"/>
      <c r="AG204" s="58"/>
      <c r="AH204" s="58"/>
      <c r="AI204" s="58"/>
      <c r="AJ204" s="58"/>
      <c r="AK204" s="58"/>
      <c r="AL204" s="58"/>
      <c r="AM204" s="58"/>
      <c r="AN204" s="58"/>
      <c r="AO204" s="58"/>
      <c r="AP204" s="58"/>
      <c r="AQ204" s="58"/>
      <c r="AR204" s="58"/>
      <c r="AS204" s="58"/>
      <c r="AT204" s="58"/>
      <c r="AU204" s="58"/>
      <c r="AV204" s="58"/>
      <c r="AW204" s="58"/>
      <c r="AX204" s="58"/>
      <c r="AY204" s="58"/>
      <c r="AZ204" s="58"/>
    </row>
    <row r="205" spans="1:52" hidden="1" x14ac:dyDescent="0.25">
      <c r="A205" s="58"/>
      <c r="B205" s="58"/>
      <c r="C205" s="58"/>
      <c r="D205" s="58"/>
      <c r="E205" s="58"/>
      <c r="F205" s="58"/>
      <c r="G205" s="58"/>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c r="AE205" s="58"/>
      <c r="AF205" s="58"/>
      <c r="AG205" s="58"/>
      <c r="AH205" s="58"/>
      <c r="AI205" s="58"/>
      <c r="AJ205" s="58"/>
      <c r="AK205" s="58"/>
      <c r="AL205" s="58"/>
      <c r="AM205" s="58"/>
      <c r="AN205" s="58"/>
      <c r="AO205" s="58"/>
      <c r="AP205" s="58"/>
      <c r="AQ205" s="58"/>
      <c r="AR205" s="58"/>
      <c r="AS205" s="58"/>
      <c r="AT205" s="58"/>
      <c r="AU205" s="58"/>
      <c r="AV205" s="58"/>
      <c r="AW205" s="58"/>
      <c r="AX205" s="58"/>
      <c r="AY205" s="58"/>
      <c r="AZ205" s="58"/>
    </row>
    <row r="206" spans="1:52" hidden="1" x14ac:dyDescent="0.25">
      <c r="A206" s="58"/>
      <c r="B206" s="58"/>
      <c r="C206" s="58"/>
      <c r="D206" s="58"/>
      <c r="E206" s="58"/>
      <c r="F206" s="58"/>
      <c r="G206" s="58"/>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c r="AE206" s="58"/>
      <c r="AF206" s="58"/>
      <c r="AG206" s="58"/>
      <c r="AH206" s="58"/>
      <c r="AI206" s="58"/>
      <c r="AJ206" s="58"/>
      <c r="AK206" s="58"/>
      <c r="AL206" s="58"/>
      <c r="AM206" s="58"/>
      <c r="AN206" s="58"/>
      <c r="AO206" s="58"/>
      <c r="AP206" s="58"/>
      <c r="AQ206" s="58"/>
      <c r="AR206" s="58"/>
      <c r="AS206" s="58"/>
      <c r="AT206" s="58"/>
      <c r="AU206" s="58"/>
      <c r="AV206" s="58"/>
      <c r="AW206" s="58"/>
      <c r="AX206" s="58"/>
      <c r="AY206" s="58"/>
      <c r="AZ206" s="58"/>
    </row>
    <row r="207" spans="1:52" hidden="1" x14ac:dyDescent="0.25">
      <c r="A207" s="58"/>
      <c r="B207" s="58"/>
      <c r="C207" s="58"/>
      <c r="D207" s="58"/>
      <c r="E207" s="58"/>
      <c r="F207" s="58"/>
      <c r="G207" s="58"/>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c r="AE207" s="58"/>
      <c r="AF207" s="58"/>
      <c r="AG207" s="58"/>
      <c r="AH207" s="58"/>
      <c r="AI207" s="58"/>
      <c r="AJ207" s="58"/>
      <c r="AK207" s="58"/>
      <c r="AL207" s="58"/>
      <c r="AM207" s="58"/>
      <c r="AN207" s="58"/>
      <c r="AO207" s="58"/>
      <c r="AP207" s="58"/>
      <c r="AQ207" s="58"/>
      <c r="AR207" s="58"/>
      <c r="AS207" s="58"/>
      <c r="AT207" s="58"/>
      <c r="AU207" s="58"/>
      <c r="AV207" s="58"/>
      <c r="AW207" s="58"/>
      <c r="AX207" s="58"/>
      <c r="AY207" s="58"/>
      <c r="AZ207" s="58"/>
    </row>
    <row r="208" spans="1:52" hidden="1" x14ac:dyDescent="0.25">
      <c r="A208" s="58"/>
      <c r="B208" s="58"/>
      <c r="C208" s="58"/>
      <c r="D208" s="58"/>
      <c r="E208" s="58"/>
      <c r="F208" s="58"/>
      <c r="G208" s="58"/>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c r="AE208" s="58"/>
      <c r="AF208" s="58"/>
      <c r="AG208" s="58"/>
      <c r="AH208" s="58"/>
      <c r="AI208" s="58"/>
      <c r="AJ208" s="58"/>
      <c r="AK208" s="58"/>
      <c r="AL208" s="58"/>
      <c r="AM208" s="58"/>
      <c r="AN208" s="58"/>
      <c r="AO208" s="58"/>
      <c r="AP208" s="58"/>
      <c r="AQ208" s="58"/>
      <c r="AR208" s="58"/>
      <c r="AS208" s="58"/>
      <c r="AT208" s="58"/>
      <c r="AU208" s="58"/>
      <c r="AV208" s="58"/>
      <c r="AW208" s="58"/>
      <c r="AX208" s="58"/>
      <c r="AY208" s="58"/>
      <c r="AZ208" s="58"/>
    </row>
    <row r="209" spans="1:52" hidden="1" x14ac:dyDescent="0.25">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c r="AF209" s="58"/>
      <c r="AG209" s="58"/>
      <c r="AH209" s="58"/>
      <c r="AI209" s="58"/>
      <c r="AJ209" s="58"/>
      <c r="AK209" s="58"/>
      <c r="AL209" s="58"/>
      <c r="AM209" s="58"/>
      <c r="AN209" s="58"/>
      <c r="AO209" s="58"/>
      <c r="AP209" s="58"/>
      <c r="AQ209" s="58"/>
      <c r="AR209" s="58"/>
      <c r="AS209" s="58"/>
      <c r="AT209" s="58"/>
      <c r="AU209" s="58"/>
      <c r="AV209" s="58"/>
      <c r="AW209" s="58"/>
      <c r="AX209" s="58"/>
      <c r="AY209" s="58"/>
      <c r="AZ209" s="58"/>
    </row>
    <row r="210" spans="1:52" hidden="1" x14ac:dyDescent="0.25">
      <c r="A210" s="58"/>
      <c r="B210" s="58"/>
      <c r="C210" s="58"/>
      <c r="D210" s="58"/>
      <c r="E210" s="58"/>
      <c r="F210" s="58"/>
      <c r="G210" s="58"/>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c r="AE210" s="58"/>
      <c r="AF210" s="58"/>
      <c r="AG210" s="58"/>
      <c r="AH210" s="58"/>
      <c r="AI210" s="58"/>
      <c r="AJ210" s="58"/>
      <c r="AK210" s="58"/>
      <c r="AL210" s="58"/>
      <c r="AM210" s="58"/>
      <c r="AN210" s="58"/>
      <c r="AO210" s="58"/>
      <c r="AP210" s="58"/>
      <c r="AQ210" s="58"/>
      <c r="AR210" s="58"/>
      <c r="AS210" s="58"/>
      <c r="AT210" s="58"/>
      <c r="AU210" s="58"/>
      <c r="AV210" s="58"/>
      <c r="AW210" s="58"/>
      <c r="AX210" s="58"/>
      <c r="AY210" s="58"/>
      <c r="AZ210" s="58"/>
    </row>
    <row r="211" spans="1:52" hidden="1" x14ac:dyDescent="0.25">
      <c r="A211" s="58"/>
      <c r="B211" s="58"/>
      <c r="C211" s="58"/>
      <c r="D211" s="58"/>
      <c r="E211" s="58"/>
      <c r="F211" s="58"/>
      <c r="G211" s="58"/>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c r="AE211" s="58"/>
      <c r="AF211" s="58"/>
      <c r="AG211" s="58"/>
      <c r="AH211" s="58"/>
      <c r="AI211" s="58"/>
      <c r="AJ211" s="58"/>
      <c r="AK211" s="58"/>
      <c r="AL211" s="58"/>
      <c r="AM211" s="58"/>
      <c r="AN211" s="58"/>
      <c r="AO211" s="58"/>
      <c r="AP211" s="58"/>
      <c r="AQ211" s="58"/>
      <c r="AR211" s="58"/>
      <c r="AS211" s="58"/>
      <c r="AT211" s="58"/>
      <c r="AU211" s="58"/>
      <c r="AV211" s="58"/>
      <c r="AW211" s="58"/>
      <c r="AX211" s="58"/>
      <c r="AY211" s="58"/>
      <c r="AZ211" s="58"/>
    </row>
    <row r="212" spans="1:52" hidden="1" x14ac:dyDescent="0.25">
      <c r="A212" s="58"/>
      <c r="B212" s="58"/>
      <c r="C212" s="58"/>
      <c r="D212" s="58"/>
      <c r="E212" s="58"/>
      <c r="F212" s="58"/>
      <c r="G212" s="58"/>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c r="AE212" s="58"/>
      <c r="AF212" s="58"/>
      <c r="AG212" s="58"/>
      <c r="AH212" s="58"/>
      <c r="AI212" s="58"/>
      <c r="AJ212" s="58"/>
      <c r="AK212" s="58"/>
      <c r="AL212" s="58"/>
      <c r="AM212" s="58"/>
      <c r="AN212" s="58"/>
      <c r="AO212" s="58"/>
      <c r="AP212" s="58"/>
      <c r="AQ212" s="58"/>
      <c r="AR212" s="58"/>
      <c r="AS212" s="58"/>
      <c r="AT212" s="58"/>
      <c r="AU212" s="58"/>
      <c r="AV212" s="58"/>
      <c r="AW212" s="58"/>
      <c r="AX212" s="58"/>
      <c r="AY212" s="58"/>
      <c r="AZ212" s="58"/>
    </row>
    <row r="213" spans="1:52" hidden="1" x14ac:dyDescent="0.25">
      <c r="A213" s="58"/>
      <c r="B213" s="58"/>
      <c r="C213" s="58"/>
      <c r="D213" s="58"/>
      <c r="E213" s="58"/>
      <c r="F213" s="58"/>
      <c r="G213" s="58"/>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c r="AE213" s="58"/>
      <c r="AF213" s="58"/>
      <c r="AG213" s="58"/>
      <c r="AH213" s="58"/>
      <c r="AI213" s="58"/>
      <c r="AJ213" s="58"/>
      <c r="AK213" s="58"/>
      <c r="AL213" s="58"/>
      <c r="AM213" s="58"/>
      <c r="AN213" s="58"/>
      <c r="AO213" s="58"/>
      <c r="AP213" s="58"/>
      <c r="AQ213" s="58"/>
      <c r="AR213" s="58"/>
      <c r="AS213" s="58"/>
      <c r="AT213" s="58"/>
      <c r="AU213" s="58"/>
      <c r="AV213" s="58"/>
      <c r="AW213" s="58"/>
      <c r="AX213" s="58"/>
      <c r="AY213" s="58"/>
      <c r="AZ213" s="58"/>
    </row>
    <row r="214" spans="1:52" hidden="1" x14ac:dyDescent="0.25">
      <c r="A214" s="58"/>
      <c r="B214" s="58"/>
      <c r="C214" s="58"/>
      <c r="D214" s="58"/>
      <c r="E214" s="58"/>
      <c r="F214" s="58"/>
      <c r="G214" s="58"/>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c r="AE214" s="58"/>
      <c r="AF214" s="58"/>
      <c r="AG214" s="58"/>
      <c r="AH214" s="58"/>
      <c r="AI214" s="58"/>
      <c r="AJ214" s="58"/>
      <c r="AK214" s="58"/>
      <c r="AL214" s="58"/>
      <c r="AM214" s="58"/>
      <c r="AN214" s="58"/>
      <c r="AO214" s="58"/>
      <c r="AP214" s="58"/>
      <c r="AQ214" s="58"/>
      <c r="AR214" s="58"/>
      <c r="AS214" s="58"/>
      <c r="AT214" s="58"/>
      <c r="AU214" s="58"/>
      <c r="AV214" s="58"/>
      <c r="AW214" s="58"/>
      <c r="AX214" s="58"/>
      <c r="AY214" s="58"/>
      <c r="AZ214" s="58"/>
    </row>
    <row r="215" spans="1:52" hidden="1" x14ac:dyDescent="0.25">
      <c r="A215" s="58"/>
      <c r="B215" s="58"/>
      <c r="C215" s="58"/>
      <c r="D215" s="58"/>
      <c r="E215" s="58"/>
      <c r="F215" s="58"/>
      <c r="G215" s="58"/>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c r="AE215" s="58"/>
      <c r="AF215" s="58"/>
      <c r="AG215" s="58"/>
      <c r="AH215" s="58"/>
      <c r="AI215" s="58"/>
      <c r="AJ215" s="58"/>
      <c r="AK215" s="58"/>
      <c r="AL215" s="58"/>
      <c r="AM215" s="58"/>
      <c r="AN215" s="58"/>
      <c r="AO215" s="58"/>
      <c r="AP215" s="58"/>
      <c r="AQ215" s="58"/>
      <c r="AR215" s="58"/>
      <c r="AS215" s="58"/>
      <c r="AT215" s="58"/>
      <c r="AU215" s="58"/>
      <c r="AV215" s="58"/>
      <c r="AW215" s="58"/>
      <c r="AX215" s="58"/>
      <c r="AY215" s="58"/>
      <c r="AZ215" s="58"/>
    </row>
    <row r="216" spans="1:52" hidden="1" x14ac:dyDescent="0.25">
      <c r="A216" s="58"/>
      <c r="B216" s="58"/>
      <c r="C216" s="58"/>
      <c r="D216" s="58"/>
      <c r="E216" s="58"/>
      <c r="F216" s="58"/>
      <c r="G216" s="58"/>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c r="AE216" s="58"/>
      <c r="AF216" s="58"/>
      <c r="AG216" s="58"/>
      <c r="AH216" s="58"/>
      <c r="AI216" s="58"/>
      <c r="AJ216" s="58"/>
      <c r="AK216" s="58"/>
      <c r="AL216" s="58"/>
      <c r="AM216" s="58"/>
      <c r="AN216" s="58"/>
      <c r="AO216" s="58"/>
      <c r="AP216" s="58"/>
      <c r="AQ216" s="58"/>
      <c r="AR216" s="58"/>
      <c r="AS216" s="58"/>
      <c r="AT216" s="58"/>
      <c r="AU216" s="58"/>
      <c r="AV216" s="58"/>
      <c r="AW216" s="58"/>
      <c r="AX216" s="58"/>
      <c r="AY216" s="58"/>
      <c r="AZ216" s="58"/>
    </row>
    <row r="217" spans="1:52" hidden="1" x14ac:dyDescent="0.25">
      <c r="A217" s="58"/>
      <c r="B217" s="58"/>
      <c r="C217" s="58"/>
      <c r="D217" s="58"/>
      <c r="E217" s="58"/>
      <c r="F217" s="58"/>
      <c r="G217" s="58"/>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c r="AE217" s="58"/>
      <c r="AF217" s="58"/>
      <c r="AG217" s="58"/>
      <c r="AH217" s="58"/>
      <c r="AI217" s="58"/>
      <c r="AJ217" s="58"/>
      <c r="AK217" s="58"/>
      <c r="AL217" s="58"/>
      <c r="AM217" s="58"/>
      <c r="AN217" s="58"/>
      <c r="AO217" s="58"/>
      <c r="AP217" s="58"/>
      <c r="AQ217" s="58"/>
      <c r="AR217" s="58"/>
      <c r="AS217" s="58"/>
      <c r="AT217" s="58"/>
      <c r="AU217" s="58"/>
      <c r="AV217" s="58"/>
      <c r="AW217" s="58"/>
      <c r="AX217" s="58"/>
      <c r="AY217" s="58"/>
      <c r="AZ217" s="58"/>
    </row>
    <row r="218" spans="1:52" hidden="1" x14ac:dyDescent="0.25">
      <c r="A218" s="58"/>
      <c r="B218" s="58"/>
      <c r="C218" s="58"/>
      <c r="D218" s="58"/>
      <c r="E218" s="58"/>
      <c r="F218" s="58"/>
      <c r="G218" s="58"/>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c r="AE218" s="58"/>
      <c r="AF218" s="58"/>
      <c r="AG218" s="58"/>
      <c r="AH218" s="58"/>
      <c r="AI218" s="58"/>
      <c r="AJ218" s="58"/>
      <c r="AK218" s="58"/>
      <c r="AL218" s="58"/>
      <c r="AM218" s="58"/>
      <c r="AN218" s="58"/>
      <c r="AO218" s="58"/>
      <c r="AP218" s="58"/>
      <c r="AQ218" s="58"/>
      <c r="AR218" s="58"/>
      <c r="AS218" s="58"/>
      <c r="AT218" s="58"/>
      <c r="AU218" s="58"/>
      <c r="AV218" s="58"/>
      <c r="AW218" s="58"/>
      <c r="AX218" s="58"/>
      <c r="AY218" s="58"/>
      <c r="AZ218" s="58"/>
    </row>
    <row r="219" spans="1:52" hidden="1" x14ac:dyDescent="0.25">
      <c r="A219" s="58"/>
      <c r="B219" s="58"/>
      <c r="C219" s="58"/>
      <c r="D219" s="58"/>
      <c r="E219" s="58"/>
      <c r="F219" s="58"/>
      <c r="G219" s="58"/>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c r="AE219" s="58"/>
      <c r="AF219" s="58"/>
      <c r="AG219" s="58"/>
      <c r="AH219" s="58"/>
      <c r="AI219" s="58"/>
      <c r="AJ219" s="58"/>
      <c r="AK219" s="58"/>
      <c r="AL219" s="58"/>
      <c r="AM219" s="58"/>
      <c r="AN219" s="58"/>
      <c r="AO219" s="58"/>
      <c r="AP219" s="58"/>
      <c r="AQ219" s="58"/>
      <c r="AR219" s="58"/>
      <c r="AS219" s="58"/>
      <c r="AT219" s="58"/>
      <c r="AU219" s="58"/>
      <c r="AV219" s="58"/>
      <c r="AW219" s="58"/>
      <c r="AX219" s="58"/>
      <c r="AY219" s="58"/>
      <c r="AZ219" s="58"/>
    </row>
    <row r="220" spans="1:52" hidden="1" x14ac:dyDescent="0.25"/>
    <row r="221" spans="1:52" hidden="1" x14ac:dyDescent="0.25"/>
    <row r="222" spans="1:52" hidden="1" x14ac:dyDescent="0.25"/>
    <row r="223" spans="1:52" hidden="1" x14ac:dyDescent="0.25"/>
    <row r="224" spans="1:52"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x14ac:dyDescent="0.25"/>
  </sheetData>
  <sheetProtection sort="0" autoFilter="0" pivotTables="0"/>
  <mergeCells count="1">
    <mergeCell ref="B2:G2"/>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vt:i4>
      </vt:variant>
    </vt:vector>
  </HeadingPairs>
  <TitlesOfParts>
    <vt:vector size="8" baseType="lpstr">
      <vt:lpstr>Despesas</vt:lpstr>
      <vt:lpstr>Controle</vt:lpstr>
      <vt:lpstr>Resumo e Rateio</vt:lpstr>
      <vt:lpstr>Config</vt:lpstr>
      <vt:lpstr>Import</vt:lpstr>
      <vt:lpstr>Fila</vt:lpstr>
      <vt:lpstr>Editar</vt:lpstr>
      <vt:lpstr>Cadastros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Usuário do Windows</cp:lastModifiedBy>
  <dcterms:created xsi:type="dcterms:W3CDTF">2026-09-07T18:47:14Z</dcterms:created>
  <dcterms:modified xsi:type="dcterms:W3CDTF">2026-09-15T15:40:39Z</dcterms:modified>
</cp:coreProperties>
</file>