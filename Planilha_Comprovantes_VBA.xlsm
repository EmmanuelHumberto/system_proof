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bookViews>
    <workbookView xWindow="210" yWindow="495" windowWidth="20100" windowHeight="9660"/>
  </bookViews>
  <sheets>
    <sheet name="Despesas" sheetId="1" r:id="rId1"/>
    <sheet name="Controle" sheetId="2" r:id="rId2"/>
    <sheet name="Resumo e Rateio" sheetId="3" r:id="rId3"/>
    <sheet name="Config" sheetId="4" r:id="rId4"/>
    <sheet name="Import" sheetId="5" r:id="rId5"/>
    <sheet name="Fila" sheetId="6" r:id="rId6"/>
    <sheet name="Editar" sheetId="7" state="hidden" r:id="rId7"/>
    <sheet name="Cadastros" sheetId="8" r:id="rId8"/>
  </sheets>
  <functionGroups builtInGroupCount="17"/>
  <definedNames>
    <definedName name="_xlnm._FilterDatabase" localSheetId="1" hidden="1">Controle!$A$3:$I$310</definedName>
  </definedNames>
  <calcPr calcId="145621"/>
</workbook>
</file>

<file path=xl/calcChain.xml><?xml version="1.0" encoding="utf-8"?>
<calcChain xmlns="http://schemas.openxmlformats.org/spreadsheetml/2006/main">
  <c r="G6" i="3" l="1"/>
  <c r="G7" i="3" s="1"/>
  <c r="F6" i="3"/>
  <c r="G5" i="3"/>
  <c r="F5" i="3"/>
  <c r="C13" i="3"/>
  <c r="B13" i="3"/>
  <c r="C11" i="3"/>
  <c r="B11" i="3"/>
  <c r="C10" i="3"/>
  <c r="B10" i="3"/>
  <c r="C9" i="3"/>
  <c r="B9" i="3"/>
  <c r="C7" i="3"/>
  <c r="B7" i="3"/>
  <c r="C6" i="3"/>
  <c r="B6" i="3"/>
  <c r="C4" i="3"/>
  <c r="B4" i="3"/>
  <c r="F306" i="2"/>
  <c r="E306" i="2"/>
  <c r="T120" i="1"/>
  <c r="S120" i="1"/>
  <c r="Q120" i="1"/>
  <c r="P120" i="1"/>
  <c r="T119" i="1"/>
  <c r="S119" i="1"/>
  <c r="Q119" i="1"/>
  <c r="P119" i="1"/>
  <c r="T118" i="1"/>
  <c r="S118" i="1"/>
  <c r="Q118" i="1"/>
  <c r="P118" i="1"/>
  <c r="T117" i="1"/>
  <c r="S117" i="1"/>
  <c r="Q117" i="1"/>
  <c r="P117" i="1"/>
  <c r="T116" i="1"/>
  <c r="S116" i="1"/>
  <c r="Q116" i="1"/>
  <c r="P116" i="1"/>
  <c r="T115" i="1"/>
  <c r="S115" i="1"/>
  <c r="Q115" i="1"/>
  <c r="P115" i="1"/>
  <c r="T114" i="1"/>
  <c r="S114" i="1"/>
  <c r="Q114" i="1"/>
  <c r="P114" i="1"/>
  <c r="T113" i="1"/>
  <c r="S113" i="1"/>
  <c r="Q113" i="1"/>
  <c r="P113" i="1"/>
  <c r="T112" i="1"/>
  <c r="S112" i="1"/>
  <c r="Q112" i="1"/>
  <c r="P112" i="1"/>
  <c r="T111" i="1"/>
  <c r="S111" i="1"/>
  <c r="Q111" i="1"/>
  <c r="P111" i="1"/>
  <c r="T110" i="1"/>
  <c r="S110" i="1"/>
  <c r="Q110" i="1"/>
  <c r="P110" i="1"/>
  <c r="T109" i="1"/>
  <c r="S109" i="1"/>
  <c r="Q109" i="1"/>
  <c r="P109" i="1"/>
  <c r="T108" i="1"/>
  <c r="S108" i="1"/>
  <c r="Q108" i="1"/>
  <c r="P108" i="1"/>
  <c r="T107" i="1"/>
  <c r="S107" i="1"/>
  <c r="Q107" i="1"/>
  <c r="P107" i="1"/>
  <c r="T106" i="1"/>
  <c r="S106" i="1"/>
  <c r="Q106" i="1"/>
  <c r="P106" i="1"/>
  <c r="T105" i="1"/>
  <c r="S105" i="1"/>
  <c r="Q105" i="1"/>
  <c r="P105" i="1"/>
  <c r="T104" i="1"/>
  <c r="S104" i="1"/>
  <c r="Q104" i="1"/>
  <c r="P104" i="1"/>
  <c r="T103" i="1"/>
  <c r="S103" i="1"/>
  <c r="Q103" i="1"/>
  <c r="P103" i="1"/>
  <c r="T102" i="1"/>
  <c r="S102" i="1"/>
  <c r="Q102" i="1"/>
  <c r="P102" i="1"/>
  <c r="T101" i="1"/>
  <c r="S101" i="1"/>
  <c r="Q101" i="1"/>
  <c r="P101" i="1"/>
  <c r="T100" i="1"/>
  <c r="S100" i="1"/>
  <c r="Q100" i="1"/>
  <c r="P100" i="1"/>
  <c r="T99" i="1"/>
  <c r="S99" i="1"/>
  <c r="Q99" i="1"/>
  <c r="P99" i="1"/>
  <c r="T98" i="1"/>
  <c r="S98" i="1"/>
  <c r="Q98" i="1"/>
  <c r="P98" i="1"/>
  <c r="T97" i="1"/>
  <c r="S97" i="1"/>
  <c r="Q97" i="1"/>
  <c r="P97" i="1"/>
  <c r="T96" i="1"/>
  <c r="S96" i="1"/>
  <c r="Q96" i="1"/>
  <c r="P96" i="1"/>
  <c r="T95" i="1"/>
  <c r="S95" i="1"/>
  <c r="Q95" i="1"/>
  <c r="P95" i="1"/>
  <c r="T94" i="1"/>
  <c r="S94" i="1"/>
  <c r="Q94" i="1"/>
  <c r="P94" i="1"/>
  <c r="T93" i="1"/>
  <c r="S93" i="1"/>
  <c r="Q93" i="1"/>
  <c r="P93" i="1"/>
  <c r="T92" i="1"/>
  <c r="S92" i="1"/>
  <c r="Q92" i="1"/>
  <c r="P92" i="1"/>
  <c r="T91" i="1"/>
  <c r="S91" i="1"/>
  <c r="Q91" i="1"/>
  <c r="P91" i="1"/>
  <c r="T90" i="1"/>
  <c r="S90" i="1"/>
  <c r="Q90" i="1"/>
  <c r="P90" i="1"/>
  <c r="T89" i="1"/>
  <c r="S89" i="1"/>
  <c r="Q89" i="1"/>
  <c r="P89" i="1"/>
  <c r="T88" i="1"/>
  <c r="S88" i="1"/>
  <c r="Q88" i="1"/>
  <c r="P88" i="1"/>
  <c r="T87" i="1"/>
  <c r="S87" i="1"/>
  <c r="Q87" i="1"/>
  <c r="P87" i="1"/>
  <c r="T86" i="1"/>
  <c r="S86" i="1"/>
  <c r="Q86" i="1"/>
  <c r="P86" i="1"/>
  <c r="T85" i="1"/>
  <c r="S85" i="1"/>
  <c r="Q85" i="1"/>
  <c r="P85" i="1"/>
  <c r="T84" i="1"/>
  <c r="S84" i="1"/>
  <c r="Q84" i="1"/>
  <c r="P84" i="1"/>
  <c r="T83" i="1"/>
  <c r="S83" i="1"/>
  <c r="Q83" i="1"/>
  <c r="P83" i="1"/>
  <c r="T82" i="1"/>
  <c r="S82" i="1"/>
  <c r="Q82" i="1"/>
  <c r="P82" i="1"/>
  <c r="T81" i="1"/>
  <c r="S81" i="1"/>
  <c r="Q81" i="1"/>
  <c r="P81" i="1"/>
  <c r="T80" i="1"/>
  <c r="S80" i="1"/>
  <c r="Q80" i="1"/>
  <c r="P80" i="1"/>
  <c r="T79" i="1"/>
  <c r="S79" i="1"/>
  <c r="Q79" i="1"/>
  <c r="P79" i="1"/>
  <c r="T78" i="1"/>
  <c r="S78" i="1"/>
  <c r="Q78" i="1"/>
  <c r="P78" i="1"/>
  <c r="T77" i="1"/>
  <c r="S77" i="1"/>
  <c r="Q77" i="1"/>
  <c r="P77" i="1"/>
  <c r="T76" i="1"/>
  <c r="S76" i="1"/>
  <c r="Q76" i="1"/>
  <c r="P76" i="1"/>
  <c r="T75" i="1"/>
  <c r="S75" i="1"/>
  <c r="Q75" i="1"/>
  <c r="P75" i="1"/>
  <c r="T74" i="1"/>
  <c r="S74" i="1"/>
  <c r="Q74" i="1"/>
  <c r="P74" i="1"/>
  <c r="T73" i="1"/>
  <c r="S73" i="1"/>
  <c r="Q73" i="1"/>
  <c r="P73" i="1"/>
  <c r="T72" i="1"/>
  <c r="S72" i="1"/>
  <c r="Q72" i="1"/>
  <c r="P72" i="1"/>
  <c r="T71" i="1"/>
  <c r="S71" i="1"/>
  <c r="Q71" i="1"/>
  <c r="P71" i="1"/>
  <c r="T70" i="1"/>
  <c r="S70" i="1"/>
  <c r="Q70" i="1"/>
  <c r="P70" i="1"/>
  <c r="T69" i="1"/>
  <c r="S69" i="1"/>
  <c r="Q69" i="1"/>
  <c r="P69" i="1"/>
  <c r="T68" i="1"/>
  <c r="S68" i="1"/>
  <c r="Q68" i="1"/>
  <c r="P68" i="1"/>
  <c r="T67" i="1"/>
  <c r="S67" i="1"/>
  <c r="Q67" i="1"/>
  <c r="P67" i="1"/>
  <c r="T66" i="1"/>
  <c r="S66" i="1"/>
  <c r="Q66" i="1"/>
  <c r="P66" i="1"/>
  <c r="T65" i="1"/>
  <c r="S65" i="1"/>
  <c r="Q65" i="1"/>
  <c r="P65" i="1"/>
  <c r="T64" i="1"/>
  <c r="S64" i="1"/>
  <c r="Q64" i="1"/>
  <c r="P64" i="1"/>
  <c r="T63" i="1"/>
  <c r="S63" i="1"/>
  <c r="Q63" i="1"/>
  <c r="P63" i="1"/>
  <c r="T62" i="1"/>
  <c r="S62" i="1"/>
  <c r="Q62" i="1"/>
  <c r="P62" i="1"/>
  <c r="T61" i="1"/>
  <c r="S61" i="1"/>
  <c r="Q61" i="1"/>
  <c r="P61" i="1"/>
  <c r="T60" i="1"/>
  <c r="S60" i="1"/>
  <c r="Q60" i="1"/>
  <c r="P60" i="1"/>
  <c r="Q59" i="1"/>
  <c r="S59" i="1" s="1"/>
  <c r="P59" i="1"/>
  <c r="T59" i="1" s="1"/>
  <c r="Q58" i="1"/>
  <c r="S58" i="1" s="1"/>
  <c r="P58" i="1"/>
  <c r="T58" i="1" s="1"/>
  <c r="T57" i="1"/>
  <c r="Q57" i="1"/>
  <c r="S57" i="1" s="1"/>
  <c r="P57" i="1"/>
  <c r="Q56" i="1"/>
  <c r="S56" i="1" s="1"/>
  <c r="P56" i="1"/>
  <c r="T56" i="1" s="1"/>
  <c r="Q55" i="1"/>
  <c r="S55" i="1" s="1"/>
  <c r="P55" i="1"/>
  <c r="T55" i="1" s="1"/>
  <c r="Q54" i="1"/>
  <c r="S54" i="1" s="1"/>
  <c r="P54" i="1"/>
  <c r="T54" i="1" s="1"/>
  <c r="Q53" i="1"/>
  <c r="S53" i="1" s="1"/>
  <c r="P53" i="1"/>
  <c r="T53" i="1" s="1"/>
  <c r="Q52" i="1"/>
  <c r="S52" i="1" s="1"/>
  <c r="P52" i="1"/>
  <c r="T52" i="1" s="1"/>
  <c r="Q51" i="1"/>
  <c r="S51" i="1" s="1"/>
  <c r="P51" i="1"/>
  <c r="T51" i="1" s="1"/>
  <c r="Q50" i="1"/>
  <c r="S50" i="1" s="1"/>
  <c r="C12" i="3" s="1"/>
  <c r="P50" i="1"/>
  <c r="T50" i="1" s="1"/>
  <c r="B12" i="3" s="1"/>
  <c r="Q49" i="1"/>
  <c r="S49" i="1" s="1"/>
  <c r="P49" i="1"/>
  <c r="T49" i="1" s="1"/>
  <c r="Q48" i="1"/>
  <c r="S48" i="1" s="1"/>
  <c r="P48" i="1"/>
  <c r="T48" i="1" s="1"/>
  <c r="Q47" i="1"/>
  <c r="S47" i="1" s="1"/>
  <c r="P47" i="1"/>
  <c r="T47" i="1" s="1"/>
  <c r="Q46" i="1"/>
  <c r="S46" i="1" s="1"/>
  <c r="P46" i="1"/>
  <c r="T46" i="1" s="1"/>
  <c r="Q45" i="1"/>
  <c r="S45" i="1" s="1"/>
  <c r="P45" i="1"/>
  <c r="T45" i="1" s="1"/>
  <c r="Q44" i="1"/>
  <c r="S44" i="1" s="1"/>
  <c r="P44" i="1"/>
  <c r="T44" i="1" s="1"/>
  <c r="Q43" i="1"/>
  <c r="S43" i="1" s="1"/>
  <c r="P43" i="1"/>
  <c r="T43" i="1" s="1"/>
  <c r="Q42" i="1"/>
  <c r="S42" i="1" s="1"/>
  <c r="P42" i="1"/>
  <c r="T42" i="1" s="1"/>
  <c r="Q41" i="1"/>
  <c r="S41" i="1" s="1"/>
  <c r="P41" i="1"/>
  <c r="T41" i="1" s="1"/>
  <c r="Q40" i="1"/>
  <c r="S40" i="1" s="1"/>
  <c r="P40" i="1"/>
  <c r="T40" i="1" s="1"/>
  <c r="T39" i="1"/>
  <c r="Q39" i="1"/>
  <c r="S39" i="1" s="1"/>
  <c r="P39" i="1"/>
  <c r="Q38" i="1"/>
  <c r="S38" i="1" s="1"/>
  <c r="P38" i="1"/>
  <c r="T38" i="1" s="1"/>
  <c r="Q37" i="1"/>
  <c r="S37" i="1" s="1"/>
  <c r="P37" i="1"/>
  <c r="T37" i="1" s="1"/>
  <c r="Q36" i="1"/>
  <c r="S36" i="1" s="1"/>
  <c r="C8" i="3" s="1"/>
  <c r="P36" i="1"/>
  <c r="T36" i="1" s="1"/>
  <c r="B8" i="3" s="1"/>
  <c r="Q35" i="1"/>
  <c r="S35" i="1" s="1"/>
  <c r="P35" i="1"/>
  <c r="T35" i="1" s="1"/>
  <c r="Q34" i="1"/>
  <c r="S34" i="1" s="1"/>
  <c r="P34" i="1"/>
  <c r="T34" i="1" s="1"/>
  <c r="Q33" i="1"/>
  <c r="S33" i="1" s="1"/>
  <c r="P33" i="1"/>
  <c r="T33" i="1" s="1"/>
  <c r="Q32" i="1"/>
  <c r="S32" i="1" s="1"/>
  <c r="P32" i="1"/>
  <c r="T32" i="1" s="1"/>
  <c r="Q31" i="1"/>
  <c r="S31" i="1" s="1"/>
  <c r="P31" i="1"/>
  <c r="T31" i="1" s="1"/>
  <c r="Q30" i="1"/>
  <c r="S30" i="1" s="1"/>
  <c r="P30" i="1"/>
  <c r="T30" i="1" s="1"/>
  <c r="T29" i="1"/>
  <c r="Q29" i="1"/>
  <c r="S29" i="1" s="1"/>
  <c r="P29" i="1"/>
  <c r="Q28" i="1"/>
  <c r="S28" i="1" s="1"/>
  <c r="P28" i="1"/>
  <c r="T28" i="1" s="1"/>
  <c r="Q27" i="1"/>
  <c r="S27" i="1" s="1"/>
  <c r="P27" i="1"/>
  <c r="T27" i="1" s="1"/>
  <c r="Q26" i="1"/>
  <c r="S26" i="1" s="1"/>
  <c r="P26" i="1"/>
  <c r="T26" i="1" s="1"/>
  <c r="Q25" i="1"/>
  <c r="S25" i="1" s="1"/>
  <c r="P25" i="1"/>
  <c r="T25" i="1" s="1"/>
  <c r="Q24" i="1"/>
  <c r="S24" i="1" s="1"/>
  <c r="P24" i="1"/>
  <c r="T24" i="1" s="1"/>
  <c r="Q23" i="1"/>
  <c r="S23" i="1" s="1"/>
  <c r="P23" i="1"/>
  <c r="T23" i="1" s="1"/>
  <c r="Q22" i="1"/>
  <c r="S22" i="1" s="1"/>
  <c r="P22" i="1"/>
  <c r="T22" i="1" s="1"/>
  <c r="T21" i="1"/>
  <c r="Q21" i="1"/>
  <c r="S21" i="1" s="1"/>
  <c r="P21" i="1"/>
  <c r="Q20" i="1"/>
  <c r="S20" i="1" s="1"/>
  <c r="P20" i="1"/>
  <c r="T20" i="1" s="1"/>
  <c r="Q19" i="1"/>
  <c r="S19" i="1" s="1"/>
  <c r="P19" i="1"/>
  <c r="T19" i="1" s="1"/>
  <c r="Q18" i="1"/>
  <c r="S18" i="1" s="1"/>
  <c r="P18" i="1"/>
  <c r="T18" i="1" s="1"/>
  <c r="Q17" i="1"/>
  <c r="S17" i="1" s="1"/>
  <c r="P17" i="1"/>
  <c r="T17" i="1" s="1"/>
  <c r="Q16" i="1"/>
  <c r="S16" i="1" s="1"/>
  <c r="P16" i="1"/>
  <c r="T16" i="1" s="1"/>
  <c r="Q15" i="1"/>
  <c r="S15" i="1" s="1"/>
  <c r="P15" i="1"/>
  <c r="T15" i="1" s="1"/>
  <c r="Q14" i="1"/>
  <c r="S14" i="1" s="1"/>
  <c r="C5" i="3" s="1"/>
  <c r="P14" i="1"/>
  <c r="T14" i="1" s="1"/>
  <c r="B5" i="3" s="1"/>
  <c r="Q13" i="1"/>
  <c r="S13" i="1" s="1"/>
  <c r="P13" i="1"/>
  <c r="T13" i="1" s="1"/>
  <c r="Q12" i="1"/>
  <c r="S12" i="1" s="1"/>
  <c r="P12" i="1"/>
  <c r="T12" i="1" s="1"/>
  <c r="Q11" i="1"/>
  <c r="S11" i="1" s="1"/>
  <c r="P11" i="1"/>
  <c r="T11" i="1" s="1"/>
  <c r="Q10" i="1"/>
  <c r="S10" i="1" s="1"/>
  <c r="P10" i="1"/>
  <c r="T10" i="1" s="1"/>
  <c r="Q9" i="1"/>
  <c r="S9" i="1" s="1"/>
  <c r="P9" i="1"/>
  <c r="T9" i="1" s="1"/>
  <c r="Q8" i="1"/>
  <c r="S8" i="1" s="1"/>
  <c r="P8" i="1"/>
  <c r="T8" i="1" s="1"/>
  <c r="T7" i="1"/>
  <c r="Q7" i="1"/>
  <c r="S7" i="1" s="1"/>
  <c r="P7" i="1"/>
  <c r="Q6" i="1"/>
  <c r="S6" i="1" s="1"/>
  <c r="P6" i="1"/>
  <c r="T6" i="1" s="1"/>
  <c r="Q5" i="1"/>
  <c r="S5" i="1" s="1"/>
  <c r="P5" i="1"/>
  <c r="B14" i="3" l="1"/>
  <c r="C14" i="3"/>
  <c r="F7" i="3"/>
  <c r="G8" i="3" s="1"/>
  <c r="P122" i="1"/>
  <c r="T5" i="1"/>
  <c r="T122" i="1" s="1"/>
  <c r="S122" i="1"/>
  <c r="Q122" i="1"/>
  <c r="G9" i="3" l="1"/>
  <c r="F8" i="3"/>
  <c r="F9" i="3" s="1"/>
</calcChain>
</file>

<file path=xl/sharedStrings.xml><?xml version="1.0" encoding="utf-8"?>
<sst xmlns="http://schemas.openxmlformats.org/spreadsheetml/2006/main" count="3105" uniqueCount="1150">
  <si>
    <t>PLANILHA ESTRATÉGICA DE DESPESAS DO ADOLESCENTE</t>
  </si>
  <si>
    <t>Categoria</t>
  </si>
  <si>
    <t>Despesa</t>
  </si>
  <si>
    <t>Jan</t>
  </si>
  <si>
    <t>Fev</t>
  </si>
  <si>
    <t>Mar</t>
  </si>
  <si>
    <t>Abr</t>
  </si>
  <si>
    <t>Mai</t>
  </si>
  <si>
    <t>Jun</t>
  </si>
  <si>
    <t>Jul</t>
  </si>
  <si>
    <t>Ago</t>
  </si>
  <si>
    <t>Set</t>
  </si>
  <si>
    <t>Out</t>
  </si>
  <si>
    <t>Nov</t>
  </si>
  <si>
    <t>Dez</t>
  </si>
  <si>
    <t>Despesa eventual/anual</t>
  </si>
  <si>
    <t>Valor mes</t>
  </si>
  <si>
    <t>Valor anual</t>
  </si>
  <si>
    <t>Cota parte?</t>
  </si>
  <si>
    <t>Valor cota parte anual</t>
  </si>
  <si>
    <t>Valor cota parte mes</t>
  </si>
  <si>
    <t>Comprovante</t>
  </si>
  <si>
    <t>Observacoes</t>
  </si>
  <si>
    <t>Moradia</t>
  </si>
  <si>
    <t>Aluguel ou financiamento – quota-parte do adolescente</t>
  </si>
  <si>
    <t>Sim</t>
  </si>
  <si>
    <t>Anexado</t>
  </si>
  <si>
    <t>Controle nº 265, 269</t>
  </si>
  <si>
    <t>Condomínio – quota-parte</t>
  </si>
  <si>
    <t>Controle nº 249, 253, 258, 260, 263, 268</t>
  </si>
  <si>
    <t>IPTU – quota-parte</t>
  </si>
  <si>
    <t>Controle nº 270</t>
  </si>
  <si>
    <t>Energia elétrica – quota-parte</t>
  </si>
  <si>
    <t>Controle nº 251, 257, 262</t>
  </si>
  <si>
    <t>Água e esgoto – quota-parte</t>
  </si>
  <si>
    <t>Controle nº 250, 254, 266, 271</t>
  </si>
  <si>
    <t>Gás – quota-parte</t>
  </si>
  <si>
    <t>Controle nº 255, 264</t>
  </si>
  <si>
    <t>Internet residencial – quota-parte</t>
  </si>
  <si>
    <t>Controle nº 248, 252, 256, 259, 261, 267</t>
  </si>
  <si>
    <t>Alimentação</t>
  </si>
  <si>
    <t>Supermercado e alimentação domiciliar</t>
  </si>
  <si>
    <t>sim</t>
  </si>
  <si>
    <t>Controle nº 1, 2, 3, 4, 5, 6, 7, 8, 9, 10, 12, 13, 14, 15, 16, 17, 18, 19, 20, 21, 22, 23, 24, 25, 26, 27, 28, 29, 30, 31, 32, 34, 35, 36, 37, 38, 39, 40, 41, 42, 43, 44, 45, 46, 47, 48, 49, 50, 51, 52, 53, 54, 55, 56, 57, 58, 59, 60, 61, 62, 63, 64, 65, 66, 67, 68, 69, 70, 71, 72, 73, 74, 75, 76, 77, 78, 79, 80, 81, 82</t>
  </si>
  <si>
    <t>Alimentação escolar / cantina</t>
  </si>
  <si>
    <t>Pendente</t>
  </si>
  <si>
    <t>Suplementos e alimentação especial</t>
  </si>
  <si>
    <t>Controle nº 11, 33</t>
  </si>
  <si>
    <t>Educação</t>
  </si>
  <si>
    <t>Mensalidade escolar</t>
  </si>
  <si>
    <t>Controle nº 91, 93, 94, 95, 96</t>
  </si>
  <si>
    <t>Matrícula escolar</t>
  </si>
  <si>
    <t>Material escolar</t>
  </si>
  <si>
    <t>Uniforme escolar</t>
  </si>
  <si>
    <t>Livros didáticos e paradidáticos</t>
  </si>
  <si>
    <t>Controle nº 90</t>
  </si>
  <si>
    <t>Curso de idiomas</t>
  </si>
  <si>
    <t>Reforço escolar</t>
  </si>
  <si>
    <t>Curso preparatório / profissionalizante</t>
  </si>
  <si>
    <t>Controle nº 92</t>
  </si>
  <si>
    <t>Passeios, excursões e eventos escolares</t>
  </si>
  <si>
    <t>Saúde</t>
  </si>
  <si>
    <t>Plano de saúde</t>
  </si>
  <si>
    <t>Coparticipações do plano</t>
  </si>
  <si>
    <t>Consultas médicas particulares</t>
  </si>
  <si>
    <t>Controle nº 211, 225, 244, 246</t>
  </si>
  <si>
    <t>Medicamentos contínuos</t>
  </si>
  <si>
    <t>Controle nº 213, 214, 215, 216, 217, 219, 221, 222, 224, 226, 227, 228, 229, 230, 231, 232, 233, 234, 236, 237, 238, 239, 240, 241, 242, 243, 245</t>
  </si>
  <si>
    <t>Exames médicos</t>
  </si>
  <si>
    <t>Tratamento odontológico</t>
  </si>
  <si>
    <t>Controle nº 212, 218, 220, 223, 235</t>
  </si>
  <si>
    <t>Psicólogo / psiquiatra</t>
  </si>
  <si>
    <t>Terapias especializadas</t>
  </si>
  <si>
    <t>Óculos, lentes e itens ortopédicos</t>
  </si>
  <si>
    <t>Controle nº 247</t>
  </si>
  <si>
    <t>Transporte</t>
  </si>
  <si>
    <t>Transporte escolar</t>
  </si>
  <si>
    <t>Passagens de transporte coletivo</t>
  </si>
  <si>
    <t>Combustível para deslocamentos</t>
  </si>
  <si>
    <t>Aplicativos de transporte</t>
  </si>
  <si>
    <t>Controle nº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 201, 202, 203, 204, 205, 206, 207, 208, 209, 210</t>
  </si>
  <si>
    <t>Vestuário e higiene</t>
  </si>
  <si>
    <t>Roupas</t>
  </si>
  <si>
    <t>Controle nº 83, 84, 85, 86, 87</t>
  </si>
  <si>
    <t>Calçados</t>
  </si>
  <si>
    <t>Uniformes esportivos</t>
  </si>
  <si>
    <t>Produtos de higiene pessoal</t>
  </si>
  <si>
    <t>Cabeleireiro / cuidados pessoais</t>
  </si>
  <si>
    <t>Controle nº 88, 89</t>
  </si>
  <si>
    <t>Comunicação e tecnologia</t>
  </si>
  <si>
    <t>Plano de telefonia celular</t>
  </si>
  <si>
    <t>Controle nº 303, 304, 305, 306, 307</t>
  </si>
  <si>
    <t>Aparelho celular</t>
  </si>
  <si>
    <t>Notebook / computador</t>
  </si>
  <si>
    <t>Softwares e plataformas educacionais</t>
  </si>
  <si>
    <t>Esporte e desenvolvimento</t>
  </si>
  <si>
    <t>Academia / atividade física</t>
  </si>
  <si>
    <t>Mensalidade esportiva</t>
  </si>
  <si>
    <t>Equipamentos esportivos</t>
  </si>
  <si>
    <t>Cursos de música, arte ou cultura</t>
  </si>
  <si>
    <t>Lazer e convivência</t>
  </si>
  <si>
    <t>Cinema, parques e passeios</t>
  </si>
  <si>
    <t>Controle nº 276, 281, 285, 286, 288, 290, 291, 292, 295, 297, 298, 299, 302</t>
  </si>
  <si>
    <t>Festas, aniversários e confraternizações</t>
  </si>
  <si>
    <t>Viagens e férias</t>
  </si>
  <si>
    <t>Assinaturas de streaming – quota-parte</t>
  </si>
  <si>
    <t>Controle nº 272, 273, 274, 275, 277, 278, 279, 280, 282, 283, 284, 287, 289, 293, 294, 296, 300, 301</t>
  </si>
  <si>
    <t>Outros</t>
  </si>
  <si>
    <t>Mesada</t>
  </si>
  <si>
    <t>Seguro de vida / acidentes</t>
  </si>
  <si>
    <t>Fundo para emergências</t>
  </si>
  <si>
    <t>Outras despesas comprovadas</t>
  </si>
  <si>
    <t>Nao</t>
  </si>
  <si>
    <t>CONTROLE DE DOCUMENTOS E COMPROVANTES</t>
  </si>
  <si>
    <t>Nº</t>
  </si>
  <si>
    <t>Documento / comprovante</t>
  </si>
  <si>
    <t>Competência</t>
  </si>
  <si>
    <t>Valor (R$)</t>
  </si>
  <si>
    <t>Situação</t>
  </si>
  <si>
    <t>Arquivo / Link</t>
  </si>
  <si>
    <t>Observação estratégica</t>
  </si>
  <si>
    <t>Hash</t>
  </si>
  <si>
    <t>alimentacao</t>
  </si>
  <si>
    <t>ABCCABRAL</t>
  </si>
  <si>
    <t>2026-07</t>
  </si>
  <si>
    <t>comprovantes\Alimentação-20260907T002627Z-1-001\Alimentação\Comprovante_20260826T201157067199.png</t>
  </si>
  <si>
    <t>Débito (cartão) - 30/07/2026 - pagador: Daisy Ferreira Braga de Souza</t>
  </si>
  <si>
    <t>418f2cd1e0892296ee31ebf9a57ab42c</t>
  </si>
  <si>
    <t>cs yprRMERCADO CASTELO</t>
  </si>
  <si>
    <t>comprovantes\Alimentação-20260907T002627Z-1-001\Alimentação\Comprovante_20260826T201132377486.png</t>
  </si>
  <si>
    <t>fc1102922e57b9d451a18672199dc39e</t>
  </si>
  <si>
    <t>panARIA PÃO DE MEL</t>
  </si>
  <si>
    <t>comprovantes\Alimentação-20260907T002627Z-1-001\Alimentação\Comprovante_20260826T200956598141.png</t>
  </si>
  <si>
    <t>Débito (cartão) - 26/07/2026 - pagador: Daisy Ferreira Braga de Souza</t>
  </si>
  <si>
    <t>43f9a17ab70fdeb766b200e5fab64632</t>
  </si>
  <si>
    <t>comprovantes\Alimentação-20260907T002627Z-1-001\Alimentação\Comprovante_20260826T200934982533.png</t>
  </si>
  <si>
    <t>Débito (cartão) - 25/07/2026 - pagador: Daisy Ferreira Braga de Souza</t>
  </si>
  <si>
    <t>9afb8bd0420675533b5cc464e9a17e66</t>
  </si>
  <si>
    <t>MSN CABRAL</t>
  </si>
  <si>
    <t>comprovantes\Alimentação-20260907T002627Z-1-001\Alimentação\Comprovante_20260826T200853499992.png</t>
  </si>
  <si>
    <t>Débito (cartão) - 24/07/2026 - pagador: Daisy Ferreira Braga de Souza</t>
  </si>
  <si>
    <t>85f7514ba63961bb4d91ab259ab3b3fe</t>
  </si>
  <si>
    <t>comprovantes\Alimentação-20260907T002627Z-1-001\Alimentação\Comprovante_20260826T200804190311.png</t>
  </si>
  <si>
    <t>9b9d590d8e08b7fcd78997091e739387</t>
  </si>
  <si>
    <t>SUPERMERCADO CASTELO</t>
  </si>
  <si>
    <t>comprovantes\Alimentação-20260907T002627Z-1-001\Alimentação\Comprovante_20260826T200740608352.png</t>
  </si>
  <si>
    <t>e0de970eecf1bfdfb9bf28a6c47e1d64</t>
  </si>
  <si>
    <t>Açougue Costello</t>
  </si>
  <si>
    <t>comprovantes\Alimentação-20260907T002627Z-1-001\Alimentação\Comprovante_20260826T200546962468.png</t>
  </si>
  <si>
    <t>Débito (cartão) - 18/07/2026 - pagador: Daisy Ferreira Braga de Souza</t>
  </si>
  <si>
    <t>ec37e0e5939c11578392b5518cf89e0a</t>
  </si>
  <si>
    <t>MEU PRATA LOJA 1</t>
  </si>
  <si>
    <t>comprovantes\Alimentação-20260907T002627Z-1-001\Alimentação\Comprovante_20260826T200439311001.png</t>
  </si>
  <si>
    <t>Pix (transferência) - 13/07/2026 - pagador: Daisy Ferreira Braga de Souza</t>
  </si>
  <si>
    <t>95eda96f716c9569494a92f90809a26a</t>
  </si>
  <si>
    <t>eae GRAN PANNE EMPREENDIME</t>
  </si>
  <si>
    <t>comprovantes\Alimentação-20260907T002627Z-1-001\Alimentação\Comprovante_20260826T200400897125.png</t>
  </si>
  <si>
    <t>Débito (cartão) - 11/07/2026 - pagador: Daisy Ferreira Braga de Souza</t>
  </si>
  <si>
    <t>4925b6a25e94e883a61017ec29d7eda1</t>
  </si>
  <si>
    <t>SHPP BRASIL INSTITUICAO DE PAG</t>
  </si>
  <si>
    <t>comprovantes\Alimentação-20260907T002627Z-1-001\Alimentação\SuplementoComprovante_20260826T220907562521.png</t>
  </si>
  <si>
    <t>Pix (transferência) - 10/07/2026 - pagador: Daisy Ferreira Braga de Souza</t>
  </si>
  <si>
    <t>facf4c9a660999b3b398e454fba764b7</t>
  </si>
  <si>
    <t>DROGARIA ARAUJO</t>
  </si>
  <si>
    <t>comprovantes\Alimentação-20260907T002627Z-1-001\Alimentação\Compartilhar comprovante.png</t>
  </si>
  <si>
    <t>Pix (pagamento) - 10/07/2026 - pagador: Daisy Ferreira Braga de Souza</t>
  </si>
  <si>
    <t>4c9cb09c773dbec5203e80e5de3715fc</t>
  </si>
  <si>
    <t>iFood</t>
  </si>
  <si>
    <t>comprovantes\Alimentação-20260907T002627Z-1-001\Alimentação\Comprovante_20260826T200252005392.png</t>
  </si>
  <si>
    <t>Pix (pagamento) - 08/07/2026 - pagador: Daisy Ferreira Braga de Souza</t>
  </si>
  <si>
    <t>8f3644d3233574205f38f0b3dee07ee3</t>
  </si>
  <si>
    <t>comprovantes\Alimentação-20260907T002627Z-1-001\Alimentação\Comprovante_20260826T200016499128.png</t>
  </si>
  <si>
    <t>Débito (cartão) - 06/07/2026 - pagador: Daisy Ferreira Braga de Souza</t>
  </si>
  <si>
    <t>94233c53e517833dece6ee0068204418</t>
  </si>
  <si>
    <t>comprovantes\Alimentação-20260907T002627Z-1-001\Alimentação\Comprovante_20260826T195939820470.png</t>
  </si>
  <si>
    <t>9957be47338cc3b1b3239b59b7a9f792</t>
  </si>
  <si>
    <t>comprovantes\Alimentação-20260907T002627Z-1-001\Alimentação\Comprovante_20260826T195832614537.png</t>
  </si>
  <si>
    <t>Pix (pagamento) - 05/07/2026 - pagador: Daisy Ferreira Braga de Souza</t>
  </si>
  <si>
    <t>68e0a53ee62ec2deb6fcc691bb11c87c</t>
  </si>
  <si>
    <t>comprovantes\Alimentação-20260907T002627Z-1-001\Alimentação\Comprovante_20260826T195814500332.png</t>
  </si>
  <si>
    <t>Débito (cartão) - 04/07/2026 - pagador: Daisy Ferreira Braga de Souza</t>
  </si>
  <si>
    <t>25af93a63cfc328881ace4a2dfeae2c7</t>
  </si>
  <si>
    <t>comprovantes\Alimentação-20260907T002627Z-1-001\Alimentação\Comprovante_20260826T195747769005.png</t>
  </si>
  <si>
    <t>f5daf1a0268e1b48143058c40995a06d</t>
  </si>
  <si>
    <t>comprovantes\Alimentação-20260907T002627Z-1-001\Alimentação\Comprovante_20260826T195711998580.png</t>
  </si>
  <si>
    <t>Pix (pagamento) - 04/07/2026 - pagador: Daisy Ferreira Braga de Souza</t>
  </si>
  <si>
    <t>a3bfffb53b20e8c455c7ca8ce6b9795e</t>
  </si>
  <si>
    <t>CACAU SHOW</t>
  </si>
  <si>
    <t>comprovantes\Alimentação-20260907T002627Z-1-001\Alimentação\Comprovante_20260826T195641242081.png</t>
  </si>
  <si>
    <t>Débito (cartão) - 02/07/2026 - pagador: Daisy Ferreira Braga de Souza</t>
  </si>
  <si>
    <t>699e7a4a904aa7a27e2e05f7ecfc1b73</t>
  </si>
  <si>
    <t>[ypnESS CONTAGEM ALI</t>
  </si>
  <si>
    <t>comprovantes\Alimentação-20260907T002627Z-1-001\Alimentação\Comprovante_20260826T195608588349.png</t>
  </si>
  <si>
    <t>f0944c2453149f184797595eb2ec3edf</t>
  </si>
  <si>
    <t>IFOOD COM AGENCIA DE RESTAURANTES ONLINE S A</t>
  </si>
  <si>
    <t>comprovantes\Alimentação-20260907T002627Z-1-001\Alimentação\Comprovante_20260826T195513714083.png</t>
  </si>
  <si>
    <t>Pix (transferência) - 01/07/2026 - pagador: Daisy Ferreira Braga de Souza</t>
  </si>
  <si>
    <t>8b64621fe8b14cbeddce1786aca9e85b</t>
  </si>
  <si>
    <t>SUPTPLUS FLAMINGO</t>
  </si>
  <si>
    <t>2026-06</t>
  </si>
  <si>
    <t>comprovantes\Alimentação-20260907T002627Z-1-001\Alimentação\Comprovante_20260826T195223397534.png</t>
  </si>
  <si>
    <t>Débito (cartão) - 28/06/2026 - pagador: Daisy Ferreira Braga de Souza</t>
  </si>
  <si>
    <t>11bc08ddc6451aeb63d2c89c08d372e0</t>
  </si>
  <si>
    <t>comprovantes\Alimentação-20260907T002627Z-1-001\Alimentação\Comprovante_20260826T195145380654.png</t>
  </si>
  <si>
    <t>Pix (pagamento) - 26/06/2026 - pagador: Daisy Ferreira Braga de Souza</t>
  </si>
  <si>
    <t>1827d55499fb222e3a2a5451d3e78141</t>
  </si>
  <si>
    <t>comprovantes\Alimentação-20260907T002627Z-1-001\Alimentação\Comprovante_20260826T195110725864.png</t>
  </si>
  <si>
    <t>Débito (cartão) - 22/06/2026 - pagador: Daisy Ferreira Braga de Souza</t>
  </si>
  <si>
    <t>60b8b2825ace69d5c70561097937bc91</t>
  </si>
  <si>
    <t>SACOLAO E MERCEARIA DO</t>
  </si>
  <si>
    <t>comprovantes\Alimentação-20260907T002627Z-1-001\Alimentação\Comprovante_20260826T195043442736.png</t>
  </si>
  <si>
    <t>9d7dd33c0f898676d1b3916c12467704</t>
  </si>
  <si>
    <t>comprovantes\Alimentação-20260907T002627Z-1-001\Alimentação\Comprovante_20260826T195000481746.png</t>
  </si>
  <si>
    <t>77fcea85470be0944a54455e5f3f29e2</t>
  </si>
  <si>
    <t>sACOLAO DO NIVALDO</t>
  </si>
  <si>
    <t>comprovantes\Alimentação-20260907T002627Z-1-001\Alimentação\Comprovante_20260826T194925668730.png</t>
  </si>
  <si>
    <t>Débito (cartão) - 20/06/2026 - pagador: Daisy Ferreira Braga de Souza</t>
  </si>
  <si>
    <t>73bce3c7460403df84bfb0ae86ced671</t>
  </si>
  <si>
    <t>comprovantes\Alimentação-20260907T002627Z-1-001\Alimentação\Comprovante_20260826T194845576728.png</t>
  </si>
  <si>
    <t>Pix (pagamento) - 20/06/2026 - pagador: Daisy Ferreira Braga de Souza</t>
  </si>
  <si>
    <t>24f3bbe2da350bdd5ae2c174369bc0aa</t>
  </si>
  <si>
    <t>comprovantes\Alimentação-20260907T002627Z-1-001\Alimentação\Comprovante_20260826T194809321914.png</t>
  </si>
  <si>
    <t>Débito (cartão) - 19/06/2026 - pagador: Daisy Ferreira Braga de Souza</t>
  </si>
  <si>
    <t>7fe00db07f2d4378ba34ab96bd4e6c4d</t>
  </si>
  <si>
    <t>comprovantes\Alimentação-20260907T002627Z-1-001\Alimentação\Comprovante_20260826T194635222102.png</t>
  </si>
  <si>
    <t>Débito (cartão) - 13/06/2026 - pagador: Daisy Ferreira Braga de Souza</t>
  </si>
  <si>
    <t>79f41a7e30b667f3c38e36f0ab853ead</t>
  </si>
  <si>
    <t>PADARIA PAO DE MEL</t>
  </si>
  <si>
    <t>comprovantes\Alimentação-20260907T002627Z-1-001\Alimentação\Compartilhar comprovante(1).png</t>
  </si>
  <si>
    <t>Pix (transferência) - 06/06/2026 - pagador: Daisy Ferreira Braga de Souza</t>
  </si>
  <si>
    <t>ad2e9d8e0f590d7987ae04c915680f11</t>
  </si>
  <si>
    <t>ULTRAFARMA SAUDE LTDA</t>
  </si>
  <si>
    <t>comprovantes\Alimentação-20260907T002627Z-1-001\Alimentação\Suplemento-DANFe.pdf</t>
  </si>
  <si>
    <t>DANFE/NF-e - 03/06/2026 - pagador: DAISY SOUZA</t>
  </si>
  <si>
    <t>29e7465d60d0c6b7903f8799e72295d0</t>
  </si>
  <si>
    <t>2026-05</t>
  </si>
  <si>
    <t>comprovantes\Alimentação-20260907T002627Z-1-001\Alimentação\Comprovante_20260826T194507310346.png</t>
  </si>
  <si>
    <t>Pix (pagamento) - 29/05/2026 - pagador: Daisy Ferreira Braga de Souza</t>
  </si>
  <si>
    <t>e73a632ba4d98b09041ae2fbf5581f0d</t>
  </si>
  <si>
    <t>comprovantes\Alimentação-20260907T002627Z-1-001\Alimentação\Comprovante_20260826T194440144240.png</t>
  </si>
  <si>
    <t>Débito (cartão) - 29/05/2026 - pagador: Daisy Ferreira Braga de Souza</t>
  </si>
  <si>
    <t>8cbfed920d1e7d55f1054a32ae6fb069</t>
  </si>
  <si>
    <t>comprovantes\Alimentação-20260907T002627Z-1-001\Alimentação\Comprovante_20260826T194357797366.png</t>
  </si>
  <si>
    <t>Pix (transferência) - 29/05/2026 - pagador: Daisy Ferreira Braga de Souza</t>
  </si>
  <si>
    <t>cbd32a1549d029b6ed8c3d2f4c94b518</t>
  </si>
  <si>
    <t>HOLLYBURGER</t>
  </si>
  <si>
    <t>comprovantes\Alimentação-20260907T002627Z-1-001\Alimentação\Comprovante_20260826T194244529300.png</t>
  </si>
  <si>
    <t>Débito (cartão) - 22/05/2026 - pagador: Daisy Ferreira Braga de Souza</t>
  </si>
  <si>
    <t>dc37ccb1a53a273ec0db9f7b8c7d88ed</t>
  </si>
  <si>
    <t>comprovantes\Alimentação-20260907T002627Z-1-001\Alimentação\Comprovante_20260826T194214969763.png</t>
  </si>
  <si>
    <t>Pix (pagamento) - 19/05/2026 - pagador: Daisy Ferreira Braga de Souza</t>
  </si>
  <si>
    <t>50c70fa4c45afdcc198a25dc963044af</t>
  </si>
  <si>
    <t>comprovantes\Alimentação-20260907T002627Z-1-001\Alimentação\Comprovante_20260826T194129900746.png</t>
  </si>
  <si>
    <t>Débito (cartão) - 16/05/2026 - pagador: Daisy Ferreira Braga de Souza</t>
  </si>
  <si>
    <t>af3f7ae98f1862669ef3bfa14d7b9140</t>
  </si>
  <si>
    <t>comprovantes\Alimentação-20260907T002627Z-1-001\Alimentação\Comprovante_20260826T194053712456.png</t>
  </si>
  <si>
    <t>Pix (pagamento) - 15/05/2026 - pagador: Daisy Ferreira Braga de Souza</t>
  </si>
  <si>
    <t>7bf4c067fd613f737f925f43a46bcb49</t>
  </si>
  <si>
    <t>comprovantes\Alimentação-20260907T002627Z-1-001\Alimentação\Comprovante_20260826T194006153884.png</t>
  </si>
  <si>
    <t>Pix (pagamento) - 09/05/2026 - pagador: Daisy Ferreira Braga de Souza</t>
  </si>
  <si>
    <t>2bad8962cc02d9196c6baab05b7a7740</t>
  </si>
  <si>
    <t>SMART CHOCOLATES</t>
  </si>
  <si>
    <t>comprovantes\Alimentação-20260907T002627Z-1-001\Alimentação\Comprovante_20260826T193917166552.png</t>
  </si>
  <si>
    <t>Débito (cartão) - 09/05/2026 - pagador: Daisy Ferreira Braga de Souza</t>
  </si>
  <si>
    <t>5e02ffaedc4716598a5eac54bc380bc6</t>
  </si>
  <si>
    <t>HIPER CARIJOS</t>
  </si>
  <si>
    <t>comprovantes\Alimentação-20260907T002627Z-1-001\Alimentação\Comprovante_20260826T193824568202.png</t>
  </si>
  <si>
    <t>918e930b9b056e27fba08e5dd76e9494</t>
  </si>
  <si>
    <t>SUPERMERCADOS BH</t>
  </si>
  <si>
    <t>comprovantes\Alimentação-20260907T002627Z-1-001\Alimentação\Comprovante_20260826T193714916894.png</t>
  </si>
  <si>
    <t>Débito (cartão) - 08/05/2026 - pagador: Daisy Ferreira Braga de Souza</t>
  </si>
  <si>
    <t>33a1ac4fa5b6b605b59c1916dfff9a3a</t>
  </si>
  <si>
    <t>comprovantes\Alimentação-20260907T002627Z-1-001\Alimentação\Comprovante_20260826T193655248497.png</t>
  </si>
  <si>
    <t>Pix (pagamento) - 08/05/2026 - pagador: Daisy Ferreira Braga de Souza</t>
  </si>
  <si>
    <t>e5175cac07cf6f00c835fe19c466a01f</t>
  </si>
  <si>
    <t>2026-04</t>
  </si>
  <si>
    <t>comprovantes\Alimentação-20260907T002627Z-1-001\Alimentação\Compartilhar comprovante(38).png</t>
  </si>
  <si>
    <t>Pix (pagamento) - 30/04/2026 - pagador: Daisy Ferreira Braga de Souza</t>
  </si>
  <si>
    <t>5e7e6d4f3637f147766e0a2e3a408cec</t>
  </si>
  <si>
    <t>comprovantes\Alimentação-20260907T002627Z-1-001\Alimentação\Compartilhar comprovante(37).png</t>
  </si>
  <si>
    <t>Débito (cartão) - 29/04/2026 - pagador: Daisy Ferreira Braga de Souza</t>
  </si>
  <si>
    <t>e3abfe3b9f41843859e5d01b0ec63b97</t>
  </si>
  <si>
    <t>comprovantes\Alimentação-20260907T002627Z-1-001\Alimentação\Compartilhar comprovante(36).png</t>
  </si>
  <si>
    <t>4d15880d97a007b49fdff0211ef9b9c9</t>
  </si>
  <si>
    <t>comprovantes\Alimentação-20260907T002627Z-1-001\Alimentação\Compartilhar comprovante(35).png</t>
  </si>
  <si>
    <t>Pix (pagamento) - 26/04/2026 - pagador: Daisy Ferreira Braga de Souza</t>
  </si>
  <si>
    <t>78e93aee9b633e9655962424686080f8</t>
  </si>
  <si>
    <t>comprovantes\Alimentação-20260907T002627Z-1-001\Alimentação\Compartilhar comprovante(34).png</t>
  </si>
  <si>
    <t>Pix (pagamento) - 24/04/2026 - pagador: Daisy Ferreira Braga de Souza</t>
  </si>
  <si>
    <t>3cb2cb7392db0e69299e527394828263</t>
  </si>
  <si>
    <t>comprovantes\Alimentação-20260907T002627Z-1-001\Alimentação\Compartilhar comprovante(33).png</t>
  </si>
  <si>
    <t>Débito (cartão) - 24/04/2026 - pagador: Daisy Ferreira Braga de Souza</t>
  </si>
  <si>
    <t>e0fe714304148f56dac3c6581e910a47</t>
  </si>
  <si>
    <t>comprovantes\Alimentação-20260907T002627Z-1-001\Alimentação\Compartilhar comprovante(32).png</t>
  </si>
  <si>
    <t>45fb89e5053f42ebf9226a83c7b5e22d</t>
  </si>
  <si>
    <t>comprovantes\Alimentação-20260907T002627Z-1-001\Alimentação\Compartilhar comprovante(31).png</t>
  </si>
  <si>
    <t>Débito (cartão) - 18/04/2026 - pagador: Daisy Ferreira Braga de Souza</t>
  </si>
  <si>
    <t>bb2bb72336e9d0ab7ac6b499d28e54b0</t>
  </si>
  <si>
    <t>comprovantes\Alimentação-20260907T002627Z-1-001\Alimentação\Compartilhar comprovante(30).png</t>
  </si>
  <si>
    <t>Pix (pagamento) - 17/04/2026 - pagador: Daisy Ferreira Braga de Souza</t>
  </si>
  <si>
    <t>992a1bfb3df164b2eafd3b318fb9ae48</t>
  </si>
  <si>
    <t>comprovantes\Alimentação-20260907T002627Z-1-001\Alimentação\Compartilhar comprovante(29).png</t>
  </si>
  <si>
    <t>Débito (cartão) - 14/04/2026 - pagador: Daisy Ferreira Braga de Souza</t>
  </si>
  <si>
    <t>d76f6d57c3fac47df450aaf3355816e8</t>
  </si>
  <si>
    <t>comprovantes\Alimentação-20260907T002627Z-1-001\Alimentação\Compartilhar comprovante(28).png</t>
  </si>
  <si>
    <t>Débito (cartão) - 11/04/2026 - pagador: Daisy Ferreira Braga de Souza</t>
  </si>
  <si>
    <t>ba986122da66d813f66fd191ceca2586</t>
  </si>
  <si>
    <t>comprovantes\Alimentação-20260907T002627Z-1-001\Alimentação\Compartilhar comprovante(27).png</t>
  </si>
  <si>
    <t>Pix (pagamento) - 11/04/2026 - pagador: Daisy Ferreira Braga de Souza</t>
  </si>
  <si>
    <t>447613a1c6bb4738a36a7a8d0a15455b</t>
  </si>
  <si>
    <t>LUIGI FINE FOOD</t>
  </si>
  <si>
    <t>comprovantes\Alimentação-20260907T002627Z-1-001\Alimentação\Compartilhar comprovante(26).png</t>
  </si>
  <si>
    <t>Pix (transferência) - 10/04/2026 - pagador: Daisy Ferreira Braga de Souza</t>
  </si>
  <si>
    <t>914ca7f95582e4645b8d438322cb55a2</t>
  </si>
  <si>
    <t>comprovantes\Alimentação-20260907T002627Z-1-001\Alimentação\Compartilhar comprovante(25).png</t>
  </si>
  <si>
    <t>Débito (cartão) - 06/04/2026 - pagador: Daisy Ferreira Braga de Souza</t>
  </si>
  <si>
    <t>92194107307035cabe233b5e5f529b1b</t>
  </si>
  <si>
    <t>[o ANGUEIRO CARNES</t>
  </si>
  <si>
    <t>comprovantes\Alimentação-20260907T002627Z-1-001\Alimentação\Compartilhar comprovante(24).png</t>
  </si>
  <si>
    <t>Débito (cartão) - 05/04/2026 - pagador: Daisy Ferreira Braga de Souza</t>
  </si>
  <si>
    <t>2789c011b3c53116072da283e2f64a88</t>
  </si>
  <si>
    <t>comprovantes\Alimentação-20260907T002627Z-1-001\Alimentação\Compartilhar comprovante(23).png</t>
  </si>
  <si>
    <t>Débito (cartão) - 04/04/2026 - pagador: Daisy Ferreira Braga de Souza</t>
  </si>
  <si>
    <t>9529a6ce42ba7b6fd7ad803cd5d42eda</t>
  </si>
  <si>
    <t>comprovantes\Alimentação-20260907T002627Z-1-001\Alimentação\Compartilhar comprovante(22).png</t>
  </si>
  <si>
    <t>Débito (cartão) - 03/04/2026 - pagador: Daisy Ferreira Braga de Souza</t>
  </si>
  <si>
    <t>1fb8034190222b5d4705298a89636f44</t>
  </si>
  <si>
    <t>comprovantes\Alimentação-20260907T002627Z-1-001\Alimentação\Compartilhar comprovante(21).png</t>
  </si>
  <si>
    <t>5a09869a8970952250fc5247a1f98f7c</t>
  </si>
  <si>
    <t>comprovantes\Alimentação-20260907T002627Z-1-001\Alimentação\Compartilhar comprovante(20).png</t>
  </si>
  <si>
    <t>62ab8d8794de51171e2ab48d3ed7ed9c</t>
  </si>
  <si>
    <t>comprovantes\Alimentação-20260907T002627Z-1-001\Alimentação\Compartilhar comprovante(19).png</t>
  </si>
  <si>
    <t>Pix (pagamento) - 02/04/2026 - pagador: Daisy Ferreira Braga de Souza</t>
  </si>
  <si>
    <t>023930d42c364fd00b60e5bfefeffb0e</t>
  </si>
  <si>
    <t>comprovantes\Alimentação-20260907T002627Z-1-001\Alimentação\Compartilhar comprovante(18).png</t>
  </si>
  <si>
    <t>Pix (transferência) - 01/04/2026 - pagador: Daisy Ferreira Braga de Souza</t>
  </si>
  <si>
    <t>7716d31955486fe9838daa6e4fad033b</t>
  </si>
  <si>
    <t>2026-03</t>
  </si>
  <si>
    <t>comprovantes\Alimentação-20260907T002627Z-1-001\Alimentação\Compartilhar comprovante(17).png</t>
  </si>
  <si>
    <t>Débito (cartão) - 27/03/2026 - pagador: Daisy Ferreira Braga de Souza</t>
  </si>
  <si>
    <t>03176cb77c2c541ce3c37f57046e2cdb</t>
  </si>
  <si>
    <t>comprovantes\Alimentação-20260907T002627Z-1-001\Alimentação\Compartilhar comprovante(15).png</t>
  </si>
  <si>
    <t>Pix (pagamento) - 26/03/2026 - pagador: Daisy Ferreira Braga de Souza</t>
  </si>
  <si>
    <t>8280c1c811b5eac30642b7feede8d8ee</t>
  </si>
  <si>
    <t>comprovantes\Alimentação-20260907T002627Z-1-001\Alimentação\Compartilhar comprovante(16).png</t>
  </si>
  <si>
    <t>Débito (cartão) - 23/03/2026 - pagador: Daisy Ferreira Braga de Souza</t>
  </si>
  <si>
    <t>eaa3889ffd824e313985dc23724ce438</t>
  </si>
  <si>
    <t>comprovantes\Alimentação-20260907T002627Z-1-001\Alimentação\Compartilhar comprovante(14).png</t>
  </si>
  <si>
    <t>1cb0fabb3190da14c9d33a3ef2094dcb</t>
  </si>
  <si>
    <t>comprovantes\Alimentação-20260907T002627Z-1-001\Alimentação\Compartilhar comprovante(13).png</t>
  </si>
  <si>
    <t>Pix (transferência) - 20/03/2026 - pagador: Daisy Ferreira Braga de Souza</t>
  </si>
  <si>
    <t>ca46083fb854f45a1c89520d0a895009</t>
  </si>
  <si>
    <t>comprovantes\Alimentação-20260907T002627Z-1-001\Alimentação\Compartilhar comprovante(12).png</t>
  </si>
  <si>
    <t>Pix (pagamento) - 18/03/2026 - pagador: Daisy Ferreira Braga de Souza</t>
  </si>
  <si>
    <t>93b5095d8608e5806b0e1a39e0b5ea92</t>
  </si>
  <si>
    <t>comprovantes\Alimentação-20260907T002627Z-1-001\Alimentação\Compartilhar comprovante(11).png</t>
  </si>
  <si>
    <t>Pix (pagamento) - 15/03/2026 - pagador: Daisy Ferreira Braga de Souza</t>
  </si>
  <si>
    <t>c8292ae20ea38d2c37da6c5a9825871a</t>
  </si>
  <si>
    <t>comprovantes\Alimentação-20260907T002627Z-1-001\Alimentação\Compartilhar comprovante(10).png</t>
  </si>
  <si>
    <t>Débito (cartão) - 13/03/2026 - pagador: Daisy Ferreira Braga de Souza</t>
  </si>
  <si>
    <t>a30639dab08f3883f5d12ea99666788e</t>
  </si>
  <si>
    <t>comprovantes\Alimentação-20260907T002627Z-1-001\Alimentação\Compartilhar comprovante(9).png</t>
  </si>
  <si>
    <t>Débito (cartão) - 10/03/2026 - pagador: Daisy Ferreira Braga de Souza</t>
  </si>
  <si>
    <t>4ab406b13cecee2754f5f1025536fdce</t>
  </si>
  <si>
    <t>eae “ABCCABRALDAS GRALH</t>
  </si>
  <si>
    <t>comprovantes\Alimentação-20260907T002627Z-1-001\Alimentação\Compartilhar comprovante(8).png</t>
  </si>
  <si>
    <t>Débito (cartão) - 07/03/2026 - pagador: Daisy Ferreira Braga de Souza</t>
  </si>
  <si>
    <t>36cf6349d2b51b66cc981e68aefad7af</t>
  </si>
  <si>
    <t>comprovantes\Alimentação-20260907T002627Z-1-001\Alimentação\Compartilhar comprovante(7).png</t>
  </si>
  <si>
    <t>873e23fd16bf2ec07ddff1bfbeae8cd8</t>
  </si>
  <si>
    <t>comprovantes\Alimentação-20260907T002627Z-1-001\Alimentação\Compartilhar comprovante(6).png</t>
  </si>
  <si>
    <t>Pix (pagamento) - 06/03/2026 - pagador: Daisy Ferreira Braga de Souza</t>
  </si>
  <si>
    <t>bdb16c78372e1d8cf49217f1e719cabd</t>
  </si>
  <si>
    <t>comprovantes\Alimentação-20260907T002627Z-1-001\Alimentação\Compartilhar comprovante(5).png</t>
  </si>
  <si>
    <t>Pix (transferência) - 05/03/2026 - pagador: Daisy Ferreira Braga de Souza</t>
  </si>
  <si>
    <t>3fdd1cc63ee19bb72eb97ff43c829d7d</t>
  </si>
  <si>
    <t>comprovantes\Alimentação-20260907T002627Z-1-001\Alimentação\Compartilhar comprovante(4).png</t>
  </si>
  <si>
    <t>Débito (cartão) - 04/03/2026 - pagador: Daisy Ferreira Braga de Souza</t>
  </si>
  <si>
    <t>a03ebf0e3ff64c9f68ce822eea558113</t>
  </si>
  <si>
    <t>comprovantes\Alimentação-20260907T002627Z-1-001\Alimentação\Compartilhar comprovante(3).png</t>
  </si>
  <si>
    <t>fc532fda4e10648cd54c8cb8dd37e27f</t>
  </si>
  <si>
    <t>comprovantes\Alimentação-20260907T002627Z-1-001\Alimentação\Compartilhar comprovante(2).png</t>
  </si>
  <si>
    <t>Pix (transferência) - 01/03/2026 - pagador: Daisy Ferreira Braga de Souza</t>
  </si>
  <si>
    <t>522b3e54d9a5ee033131eb44b46fcded</t>
  </si>
  <si>
    <t>vestuario e higiene</t>
  </si>
  <si>
    <t>RIACHUELO - MGC</t>
  </si>
  <si>
    <t>2026-08</t>
  </si>
  <si>
    <t>comprovantes\Vestuário e higiene\Compartilhar comprovante(3).png</t>
  </si>
  <si>
    <t>Débito (cartão) - 31/08/2026 - pagador: Daisy Ferreira Braga de Souza</t>
  </si>
  <si>
    <t>d6cecdb01dd457764cde876c0862012d</t>
  </si>
  <si>
    <t>LOJAS RENNER FL 281</t>
  </si>
  <si>
    <t>comprovantes\Vestuário e higiene\Compartilhar comprovante(6).png</t>
  </si>
  <si>
    <t>bb5d3ad2b1caa5dceea92ada06ecf712</t>
  </si>
  <si>
    <t>comprovantes\Vestuário e higiene\Compartilhar comprovante(2).png</t>
  </si>
  <si>
    <t>cecb58ee8309e467d4ee8154135dd6f9</t>
  </si>
  <si>
    <t>CEA SHC 703 ECPC</t>
  </si>
  <si>
    <t>comprovantes\Vestuário e higiene\Compartilhar comprovante(1).png</t>
  </si>
  <si>
    <t>3e1732ed65e02ca43c9a4350ea85f4d5</t>
  </si>
  <si>
    <t>PIJAMAS</t>
  </si>
  <si>
    <t>comprovantes\Vestuário e higiene\Compartilhar comprovante.png</t>
  </si>
  <si>
    <t>674e68bb61f8d3ac64f581d2086f2f73</t>
  </si>
  <si>
    <t>STUDIO MIRRA</t>
  </si>
  <si>
    <t>2026-01</t>
  </si>
  <si>
    <t>comprovantes\Vestuário e higiene\Compartilhar comprovante(5).png</t>
  </si>
  <si>
    <t>Pix (transferência) - 28/01/2026 - pagador: Daisy Ferreira Braga de Souza</t>
  </si>
  <si>
    <t>4c513c0814e3a3678282e48cc34a478a</t>
  </si>
  <si>
    <t>ADILSON MENEZES COELHO</t>
  </si>
  <si>
    <t>comprovantes\Vestuário e higiene\Compartilhar comprovante(4).png</t>
  </si>
  <si>
    <t>d0fc0756c1634784003c0655b48e5bf3</t>
  </si>
  <si>
    <t>educacao</t>
  </si>
  <si>
    <t>Musicalia Comercio de Livros Musicais</t>
  </si>
  <si>
    <t>comprovantes\Educação\livros-educação-musica.pdf</t>
  </si>
  <si>
    <t>Compra online (livros) - 08/07/2026 - pagador: Daisy Ferreira Braga de Souza</t>
  </si>
  <si>
    <t>a9029295670501e469a19a2b5c62a6c7</t>
  </si>
  <si>
    <t>Target Educacional Eireli EPP</t>
  </si>
  <si>
    <t>comprovantes\Educação\boleto-escola-julho.pdf</t>
  </si>
  <si>
    <t>Boleto (escola) - 01/07/2026 - pagador: DAISY FERREIRA BRAGA DE SOUZA</t>
  </si>
  <si>
    <t>01b5a4c19be4648ff805bf91504e03b2</t>
  </si>
  <si>
    <t>INEP (ENEM)</t>
  </si>
  <si>
    <t>comprovantes\Educação\BoletoENEM.pdf</t>
  </si>
  <si>
    <t>Boleto (ENEM) - 10/06/2026 - pagador: GABRIEL ARTHUR BRAGA FERNANDES</t>
  </si>
  <si>
    <t>4c6c0f32f270256bb8ff1c8822e4fbbb</t>
  </si>
  <si>
    <t>comprovantes\Educação\boleto-escola-jun.pdf</t>
  </si>
  <si>
    <t>Boleto (escola) - 01/06/2026 - pagador: DAISY FERREIRA BRAGA DE SOUZA</t>
  </si>
  <si>
    <t>e1c3939a14e9ee6501d5b31828917b0e</t>
  </si>
  <si>
    <t>comprovantes\Educação\boleto-escola-maio.pdf</t>
  </si>
  <si>
    <t>Boleto (escola) - 01/05/2026 - pagador: DAISY FERREIRA BRAGA DE SOUZA</t>
  </si>
  <si>
    <t>8add6819031a3ed96f4d3e72e2ebaf33</t>
  </si>
  <si>
    <t>comprovantes\Educação\boleto-escola-abril.pdf</t>
  </si>
  <si>
    <t>Boleto (escola) - 01/04/2026 - pagador: DAISY FERREIRA BRAGA DE SOUZA</t>
  </si>
  <si>
    <t>5c1c69b5eed3042d1e6bc650150af94a</t>
  </si>
  <si>
    <t>comprovantes\Educação\boleto-escola-março.pdf</t>
  </si>
  <si>
    <t>Outro - 01/03/2026 - pagador: Daisy Ferreira Braga de Souza</t>
  </si>
  <si>
    <t>43552f1fac6d8df088313781ff7df0d1</t>
  </si>
  <si>
    <t>transporte</t>
  </si>
  <si>
    <t>Uber</t>
  </si>
  <si>
    <t>comprovantes\Transporte\Compartilhar comprovante(91).png</t>
  </si>
  <si>
    <t>Uber (corrida) - 29/07/2026 - pagador: Daisy Ferreira Braga de Souza</t>
  </si>
  <si>
    <t>35f3d2d08fbed204be5e440d871cd64f</t>
  </si>
  <si>
    <t>comprovantes\Transporte\Compartilhar comprovante(90).png</t>
  </si>
  <si>
    <t>876b2ee5e9182da69f29a5f3229bf65a</t>
  </si>
  <si>
    <t>comprovantes\Transporte\Compartilhar comprovante(95).png</t>
  </si>
  <si>
    <t>Uber (corrida) - 28/07/2026 - pagador: Daisy Ferreira Braga de Souza</t>
  </si>
  <si>
    <t>9cfc6fcb6a858a7b2488da0f7517c488</t>
  </si>
  <si>
    <t>comprovantes\Transporte\Compartilhar comprovante(94).png</t>
  </si>
  <si>
    <t>0864906cf3780d3ada6c902042a46162</t>
  </si>
  <si>
    <t>comprovantes\Transporte\Compartilhar comprovante(93).png</t>
  </si>
  <si>
    <t>d0507abbd3e93528a03dcdf00f78d845</t>
  </si>
  <si>
    <t>comprovantes\Transporte\Compartilhar comprovante(92).png</t>
  </si>
  <si>
    <t>bd604cf2dd2e4496eab6b77f7b40593d</t>
  </si>
  <si>
    <t>comprovantes\Transporte\Compartilhar comprovante(98).png</t>
  </si>
  <si>
    <t>Uber (corrida) - 27/07/2026 - pagador: Daisy Ferreira Braga de Souza</t>
  </si>
  <si>
    <t>7b556b353de3eefbf74a7c635449b8b6</t>
  </si>
  <si>
    <t>comprovantes\Transporte\Compartilhar comprovante(97).png</t>
  </si>
  <si>
    <t>20ac4a581b09fe1779632d33957c2793</t>
  </si>
  <si>
    <t>comprovantes\Transporte\Compartilhar comprovante(96).png</t>
  </si>
  <si>
    <t>288c827ce09434e145ff82bf9856f84e</t>
  </si>
  <si>
    <t>comprovantes\Transporte\Compartilhar comprovante(99).png</t>
  </si>
  <si>
    <t>Uber (corrida) - 26/07/2026 - pagador: Daisy Ferreira Braga de Souza</t>
  </si>
  <si>
    <t>6bc88908088459dc4dc9d079cebe1069</t>
  </si>
  <si>
    <t>comprovantes\Transporte\Compartilhar comprovante(101).png</t>
  </si>
  <si>
    <t>66e9f44ce61c3101f0fc22cceab9c4f7</t>
  </si>
  <si>
    <t>comprovantes\Transporte\Compartilhar comprovante(100).png</t>
  </si>
  <si>
    <t>9340c718ec445e613480464986842d32</t>
  </si>
  <si>
    <t>comprovantes\Transporte\Compartilhar comprovante(104).png</t>
  </si>
  <si>
    <t>Uber (corrida) - 23/07/2026 - pagador: Daisy Ferreira Braga de Souza</t>
  </si>
  <si>
    <t>b57030826d4e113973560aa1de865cf4</t>
  </si>
  <si>
    <t>comprovantes\Transporte\Compartilhar comprovante(103).png</t>
  </si>
  <si>
    <t>054b7d5bc6abd4a429cce3dc0d251d29</t>
  </si>
  <si>
    <t>comprovantes\Transporte\Compartilhar comprovante(102).png</t>
  </si>
  <si>
    <t>ee6ee4b1efaafb45a4ddfaebdcb93446</t>
  </si>
  <si>
    <t>comprovantes\Transporte\Compartilhar comprovante(107).png</t>
  </si>
  <si>
    <t>Uber (corrida) - 22/07/2026 - pagador: Daisy Ferreira Braga de Souza</t>
  </si>
  <si>
    <t>e26f91e72e331e8c291ebefca3332bc2</t>
  </si>
  <si>
    <t>comprovantes\Transporte\Compartilhar comprovante(106).png</t>
  </si>
  <si>
    <t>cc55b19f0b183e5e02eaf8cc0716c89c</t>
  </si>
  <si>
    <t>comprovantes\Transporte\Compartilhar comprovante(105).png</t>
  </si>
  <si>
    <t>70097ec2da4189eabac065b73b41c18c</t>
  </si>
  <si>
    <t>comprovantes\Transporte\Compartilhar comprovante(109).png</t>
  </si>
  <si>
    <t>Uber (corrida) - 16/07/2026 - pagador: Daisy Ferreira Braga de Souza</t>
  </si>
  <si>
    <t>de03b82857c260204903a566be77eb9c</t>
  </si>
  <si>
    <t>comprovantes\Transporte\Compartilhar comprovante(108).png</t>
  </si>
  <si>
    <t>67f414161e208a13c6d728fd62cfb916</t>
  </si>
  <si>
    <t>comprovantes\Transporte\Compartilhar comprovante.png</t>
  </si>
  <si>
    <t>Uber (corrida) - 10/07/2026 - pagador: Daisy Ferreira Braga de Souza</t>
  </si>
  <si>
    <t>2e5a89083f115d43764503609f36d88c</t>
  </si>
  <si>
    <t>comprovantes\Transporte\Compartilhar comprovante(2).png</t>
  </si>
  <si>
    <t>7386612b13b990cfeaf3d6198aae64c8</t>
  </si>
  <si>
    <t>comprovantes\Transporte\Compartilhar comprovante(112).png</t>
  </si>
  <si>
    <t>40fc28b325fb6eee4c873c6e71ae9a3e</t>
  </si>
  <si>
    <t>comprovantes\Transporte\Compartilhar comprovante(111).png</t>
  </si>
  <si>
    <t>a6c94a959d138846b3aff8d6f3ca3f83</t>
  </si>
  <si>
    <t>comprovantes\Transporte\Compartilhar comprovante(110).png</t>
  </si>
  <si>
    <t>b9f96dbf7f439df6c84f9a7e52d85791</t>
  </si>
  <si>
    <t>comprovantes\Transporte\Compartilhar comprovante(3).png</t>
  </si>
  <si>
    <t>Uber (corrida) - 06/07/2026 - pagador: Daisy Ferreira Braga de Souza</t>
  </si>
  <si>
    <t>a99fe592be3c50ff20ad5b13f27432d5</t>
  </si>
  <si>
    <t>comprovantes\Transporte\Compartilhar comprovante(115).png</t>
  </si>
  <si>
    <t>71abc605d57cceae7e8506ac7237057b</t>
  </si>
  <si>
    <t>comprovantes\Transporte\Compartilhar comprovante(5).png</t>
  </si>
  <si>
    <t>Uber (corrida) - 03/07/2026 - pagador: Daisy Ferreira Braga de Souza</t>
  </si>
  <si>
    <t>8d52d51ae694ccbde690e1f5c1260e66</t>
  </si>
  <si>
    <t>comprovantes\Transporte\Compartilhar comprovante(4).png</t>
  </si>
  <si>
    <t>ca47675bcfe7f6968df65cbe90d9eb0a</t>
  </si>
  <si>
    <t>comprovantes\Transporte\Compartilhar comprovante(8).png</t>
  </si>
  <si>
    <t>Uber (corrida) - 02/07/2026 - pagador: Daisy Ferreira Braga de Souza</t>
  </si>
  <si>
    <t>b381602bff79ac86b08cdcc5664e7c54</t>
  </si>
  <si>
    <t>comprovantes\Transporte\Compartilhar comprovante(7).png</t>
  </si>
  <si>
    <t>231e09ba0930c8f46d42dfd1539bf3ff</t>
  </si>
  <si>
    <t>comprovantes\Transporte\Compartilhar comprovante(6).png</t>
  </si>
  <si>
    <t>d3519616e4dda1e50cfcd259f3146c8d</t>
  </si>
  <si>
    <t>comprovantes\Transporte\Compartilhar comprovante(9).png</t>
  </si>
  <si>
    <t>Uber (corrida) - 30/06/2026 - pagador: Daisy Ferreira Braga de Souza</t>
  </si>
  <si>
    <t>9fc7dff515111cf34ec35cc4790499fe</t>
  </si>
  <si>
    <t>comprovantes\Transporte\Compartilhar comprovante(124).png</t>
  </si>
  <si>
    <t>7942dc09bae40be0d49b7b8f391a4113</t>
  </si>
  <si>
    <t>comprovantes\Transporte\Compartilhar comprovante(123).png</t>
  </si>
  <si>
    <t>0a2f695404ef86e332b6608386e16c83</t>
  </si>
  <si>
    <t>comprovantes\Transporte\Compartilhar comprovante(125).png</t>
  </si>
  <si>
    <t>Uber (corrida) - 29/06/2026 - pagador: Daisy Ferreira Braga de Souza</t>
  </si>
  <si>
    <t>0eb5161691eb920b49491ae6f34b5258</t>
  </si>
  <si>
    <t>comprovantes\Transporte\Compartilhar comprovante(13).png</t>
  </si>
  <si>
    <t>Uber (corrida) - 28/06/2026 - pagador: Daisy Ferreira Braga de Souza</t>
  </si>
  <si>
    <t>e6f68013940cd776908cf64a90240c8f</t>
  </si>
  <si>
    <t>comprovantes\Transporte\Compartilhar comprovante(14).png</t>
  </si>
  <si>
    <t>Uber (corrida) - 25/06/2026 - pagador: Daisy Ferreira Braga de Souza</t>
  </si>
  <si>
    <t>cc17add3adeeeec597bca7f5fa98342b</t>
  </si>
  <si>
    <t>comprovantes\Transporte\Compartilhar comprovante(127).png</t>
  </si>
  <si>
    <t>b24ce640aff473f62e85c1a7b28daf67</t>
  </si>
  <si>
    <t>comprovantes\Transporte\Compartilhar comprovante(17).png</t>
  </si>
  <si>
    <t>Uber (corrida) - 16/06/2026 - pagador: Daisy Ferreira Braga de Souza</t>
  </si>
  <si>
    <t>23a170ee760fa4f8bce71e19dbfd8d9c</t>
  </si>
  <si>
    <t>comprovantes\Transporte\Compartilhar comprovante(16).png</t>
  </si>
  <si>
    <t>bc10a33a9bf9673cc88e7d34f2cc839e</t>
  </si>
  <si>
    <t>comprovantes\Transporte\Compartilhar comprovante(15).png</t>
  </si>
  <si>
    <t>dfca67a74a79f3956c65ff8a5ab175e0</t>
  </si>
  <si>
    <t>comprovantes\Transporte\Compartilhar comprovante(18).png</t>
  </si>
  <si>
    <t>Uber (corrida) - 14/06/2026 - pagador: Daisy Ferreira Braga de Souza</t>
  </si>
  <si>
    <t>dc4b08a5241401c319733cea05cfd739</t>
  </si>
  <si>
    <t>comprovantes\Transporte\Compartilhar comprovante(19).png</t>
  </si>
  <si>
    <t>Uber (corrida) - 13/06/2026 - pagador: Daisy Ferreira Braga de Souza</t>
  </si>
  <si>
    <t>cdf27b6b9ae748a7a2d3b388cc265282</t>
  </si>
  <si>
    <t>comprovantes\Transporte\Compartilhar comprovante(20).png</t>
  </si>
  <si>
    <t>Uber (corrida) - 21/05/2026 - pagador: Daisy Ferreira Braga de Souza</t>
  </si>
  <si>
    <t>2e949d8573f18aa93c64aac6ced6ae97</t>
  </si>
  <si>
    <t>comprovantes\Transporte\Compartilhar comprovante(22).png</t>
  </si>
  <si>
    <t>Uber (corrida) - 18/05/2026 - pagador: Daisy Ferreira Braga de Souza</t>
  </si>
  <si>
    <t>b06902517833adcc9661d0f8a0384e8a</t>
  </si>
  <si>
    <t>comprovantes\Transporte\Compartilhar comprovante(21).png</t>
  </si>
  <si>
    <t>43c7dd793796af4bf29d963227dbbcab</t>
  </si>
  <si>
    <t>comprovantes\Transporte\Compartilhar comprovante(23).png</t>
  </si>
  <si>
    <t>Uber (corrida) - 14/05/2026 - pagador: Daisy Ferreira Braga de Souza</t>
  </si>
  <si>
    <t>1b43088d491b833af1aefd343e932a25</t>
  </si>
  <si>
    <t>comprovantes\Transporte\Compartilhar comprovante(25).png</t>
  </si>
  <si>
    <t>Uber (corrida) - 13/05/2026 - pagador: Daisy Ferreira Braga de Souza</t>
  </si>
  <si>
    <t>014ce0cd7b9327622ddb477ad3c1d04e</t>
  </si>
  <si>
    <t>comprovantes\Transporte\Compartilhar comprovante(24).png</t>
  </si>
  <si>
    <t>6d43710c7773f83ce8eb464c744d9908</t>
  </si>
  <si>
    <t>comprovantes\Transporte\Compartilhar comprovante(27).png</t>
  </si>
  <si>
    <t>Uber (corrida) - 12/05/2026 - pagador: Daisy Ferreira Braga de Souza</t>
  </si>
  <si>
    <t>71d26f04790a1f75d7047001c6671acf</t>
  </si>
  <si>
    <t>comprovantes\Transporte\Compartilhar comprovante(26).png</t>
  </si>
  <si>
    <t>1c4c7ddeb6b8f79b7eb10329df07d198</t>
  </si>
  <si>
    <t>comprovantes\Transporte\Compartilhar comprovante(28).png</t>
  </si>
  <si>
    <t>Uber (corrida) - 10/05/2026 - pagador: Daisy Ferreira Braga de Souza</t>
  </si>
  <si>
    <t>6d9cccbd534e365784561eb6e208526c</t>
  </si>
  <si>
    <t>comprovantes\Transporte\Compartilhar comprovante(31).png</t>
  </si>
  <si>
    <t>Uber (corrida) - 08/05/2026 - pagador: Daisy Ferreira Braga de Souza</t>
  </si>
  <si>
    <t>93bdd421067dc86e61787670fdae2510</t>
  </si>
  <si>
    <t>comprovantes\Transporte\Compartilhar comprovante(30).png</t>
  </si>
  <si>
    <t>c9e4a2029feea984772a6de3b3d60e8a</t>
  </si>
  <si>
    <t>comprovantes\Transporte\Compartilhar comprovante(29).png</t>
  </si>
  <si>
    <t>1d2dca02b7e11a59abd725a3aa726b08</t>
  </si>
  <si>
    <t>comprovantes\Transporte\Compartilhar comprovante(89).png</t>
  </si>
  <si>
    <t>Uber (corrida) - 23/04/2026 - pagador: Daisy Ferreira Braga de Souza</t>
  </si>
  <si>
    <t>798a19f22b5faf9dd7f726fde1b66ab6</t>
  </si>
  <si>
    <t>comprovantes\Transporte\Compartilhar comprovante(33).png</t>
  </si>
  <si>
    <t>Uber (corrida) - 16/04/2026 - pagador: Daisy Ferreira Braga de Souza</t>
  </si>
  <si>
    <t>3811972b42f1577850e73c5ceec8b22e</t>
  </si>
  <si>
    <t>comprovantes\Transporte\Compartilhar comprovante(32).png</t>
  </si>
  <si>
    <t>2a3c3351ffc57d2e486c173021296871</t>
  </si>
  <si>
    <t>Nome 99</t>
  </si>
  <si>
    <t>comprovantes\Transporte\Compartilhar comprovante(88).png</t>
  </si>
  <si>
    <t>Uber (corrida) - 15/04/2026 - pagador: Daisy Ferreira Braga de Souza</t>
  </si>
  <si>
    <t>5f1f957955699fcd0e471ae808389e64</t>
  </si>
  <si>
    <t>comprovantes\Transporte\Compartilhar comprovante(36).png</t>
  </si>
  <si>
    <t>Uber (corrida) - 10/04/2026 - pagador: Daisy Ferreira Braga de Souza</t>
  </si>
  <si>
    <t>1033634106acdedd4d55b91fa7a96481</t>
  </si>
  <si>
    <t>comprovantes\Transporte\Compartilhar comprovante(35).png</t>
  </si>
  <si>
    <t>1a4ddd04fad54308b725cf2dc4eede09</t>
  </si>
  <si>
    <t>comprovantes\Transporte\Compartilhar comprovante(34).png</t>
  </si>
  <si>
    <t>3804645ed77c6709bee8576967a71783</t>
  </si>
  <si>
    <t>comprovantes\Transporte\Compartilhar comprovante(40).png</t>
  </si>
  <si>
    <t>Uber (corrida) - 09/04/2026 - pagador: Daisy Ferreira Braga de Souza</t>
  </si>
  <si>
    <t>2e8ade0063f78b08d37501ae716c002a</t>
  </si>
  <si>
    <t>comprovantes\Transporte\Compartilhar comprovante(39).png</t>
  </si>
  <si>
    <t>6564df744a4ed3424fcce04b5bbf20d0</t>
  </si>
  <si>
    <t>comprovantes\Transporte\Compartilhar comprovante(38).png</t>
  </si>
  <si>
    <t>847a6d5013f573ef0b2d6ae3424add44</t>
  </si>
  <si>
    <t>comprovantes\Transporte\Compartilhar comprovante(37).png</t>
  </si>
  <si>
    <t>0349aa5a82d16be9d206ac05e3366784</t>
  </si>
  <si>
    <t>comprovantes\Transporte\Compartilhar comprovante(42).png</t>
  </si>
  <si>
    <t>Uber (corrida) - 08/04/2026 - pagador: Daisy Ferreira Braga de Souza</t>
  </si>
  <si>
    <t>11f57dc297e9af883b14ae1859e8be75</t>
  </si>
  <si>
    <t>comprovantes\Transporte\Compartilhar comprovante(41).png</t>
  </si>
  <si>
    <t>ffa2f3dd5341339bc9a7e77fe6780fe8</t>
  </si>
  <si>
    <t>comprovantes\Transporte\Compartilhar comprovante(45).png</t>
  </si>
  <si>
    <t>Uber (corrida) - 07/04/2026 - pagador: Daisy Ferreira Braga de Souza</t>
  </si>
  <si>
    <t>8fd9bd53a7b253775bc091323ce45fde</t>
  </si>
  <si>
    <t>comprovantes\Transporte\Compartilhar comprovante(44).png</t>
  </si>
  <si>
    <t>777853b65076f3a2006c2a445c7a88f7</t>
  </si>
  <si>
    <t>comprovantes\Transporte\Compartilhar comprovante(43).png</t>
  </si>
  <si>
    <t>f0b521778e36c1b74e8f227ee7f476c0</t>
  </si>
  <si>
    <t>comprovantes\Transporte\Compartilhar comprovante(47).png</t>
  </si>
  <si>
    <t>Uber (corrida) - 06/04/2026 - pagador: Daisy Ferreira Braga de Souza</t>
  </si>
  <si>
    <t>f07bdc05f054aaf6da0be946382884f2</t>
  </si>
  <si>
    <t>comprovantes\Transporte\Compartilhar comprovante(46).png</t>
  </si>
  <si>
    <t>f89f8e62751e11222cb93cb7e872a77f</t>
  </si>
  <si>
    <t>comprovantes\Transporte\Compartilhar comprovante(87).png</t>
  </si>
  <si>
    <t>Uber (corrida) - 03/04/2026 - pagador: Daisy Ferreira Braga de Souza</t>
  </si>
  <si>
    <t>d777b56f4e14be44dbe5cb94de4c87ed</t>
  </si>
  <si>
    <t>comprovantes\Transporte\Compartilhar comprovante(48).png</t>
  </si>
  <si>
    <t>e909d4bfb5a062069d0fca7debad65dc</t>
  </si>
  <si>
    <t>comprovantes\Transporte\Compartilhar comprovante(86).png</t>
  </si>
  <si>
    <t>Uber (corrida) - 26/03/2026 - pagador: Daisy Ferreira Braga de Souza</t>
  </si>
  <si>
    <t>c68d7eed229826d3d89dab0ca3b1c4b2</t>
  </si>
  <si>
    <t>comprovantes\Transporte\Compartilhar comprovante(85).png</t>
  </si>
  <si>
    <t>b8a3ac435c5edfce484aa454b45ea2ec</t>
  </si>
  <si>
    <t>comprovantes\Transporte\Compartilhar comprovante(84).png</t>
  </si>
  <si>
    <t>e496f56bdda175f1e2225c1f21202530</t>
  </si>
  <si>
    <t>comprovantes\Transporte\Compartilhar comprovante(83).png</t>
  </si>
  <si>
    <t>b7f204077ac01d8e65e67f8bb96f3887</t>
  </si>
  <si>
    <t>comprovantes\Transporte\Compartilhar comprovante(82).png</t>
  </si>
  <si>
    <t>Uber (corrida) - 19/03/2026 - pagador: Daisy Ferreira Braga de Souza</t>
  </si>
  <si>
    <t>38d4b4bab2ac3fb0f9c66343ed6cd52a</t>
  </si>
  <si>
    <t>comprovantes\Transporte\Compartilhar comprovante(81).png</t>
  </si>
  <si>
    <t>a311a5c4b6eaa129f92fc26038fdd615</t>
  </si>
  <si>
    <t>comprovantes\Transporte\Compartilhar comprovante(49).png</t>
  </si>
  <si>
    <t>551b1abbe4796ed58f15370ffe44ad7f</t>
  </si>
  <si>
    <t>comprovantes\Transporte\Compartilhar comprovante(80).png</t>
  </si>
  <si>
    <t>Uber (corrida) - 18/03/2026 - pagador: Daisy Ferreira Braga de Souza</t>
  </si>
  <si>
    <t>1a2394b5fca1db60ff8ce0d25ee1515a</t>
  </si>
  <si>
    <t>comprovantes\Transporte\Compartilhar comprovante(79).png</t>
  </si>
  <si>
    <t>3c5ecc21f2c86e010499095279f40ffa</t>
  </si>
  <si>
    <t>comprovantes\Transporte\Compartilhar comprovante(51).png</t>
  </si>
  <si>
    <t>d31991578a4c09e8148782abf17e34f8</t>
  </si>
  <si>
    <t>comprovantes\Transporte\Compartilhar comprovante(50).png</t>
  </si>
  <si>
    <t>fe113a74b7d6215b640f926ba69a7133</t>
  </si>
  <si>
    <t>comprovantes\Transporte\Compartilhar comprovante(52).png</t>
  </si>
  <si>
    <t>Uber (corrida) - 17/03/2026 - pagador: Daisy Ferreira Braga de Souza</t>
  </si>
  <si>
    <t>4061be7603ec0d27a79efeadc7dd90ba</t>
  </si>
  <si>
    <t>comprovantes\Transporte\Compartilhar comprovante(56).png</t>
  </si>
  <si>
    <t>Uber (corrida) - 16/03/2026 - pagador: Daisy Ferreira Braga de Souza</t>
  </si>
  <si>
    <t>eac3917fca929defc59442600ca7dcdc</t>
  </si>
  <si>
    <t>comprovantes\Transporte\Compartilhar comprovante(55).png</t>
  </si>
  <si>
    <t>2b9cd6e1db876e174ed5975bdcf8415a</t>
  </si>
  <si>
    <t>comprovantes\Transporte\Compartilhar comprovante(54).png</t>
  </si>
  <si>
    <t>537749bb8b8713cd01bd5f229c0f48b2</t>
  </si>
  <si>
    <t>comprovantes\Transporte\Compartilhar comprovante(53).png</t>
  </si>
  <si>
    <t>f09303cdd9035dd4883286677a2cf3a5</t>
  </si>
  <si>
    <t>comprovantes\Transporte\Compartilhar comprovante(59).png</t>
  </si>
  <si>
    <t>Uber (corrida) - 13/03/2026 - pagador: Daisy Ferreira Braga de Souza</t>
  </si>
  <si>
    <t>88a75986ff39270966df81b2ef022160</t>
  </si>
  <si>
    <t>comprovantes\Transporte\Compartilhar comprovante(58).png</t>
  </si>
  <si>
    <t>db6ea36ca3f575158a30dfb830e4bc96</t>
  </si>
  <si>
    <t>comprovantes\Transporte\Compartilhar comprovante(57).png</t>
  </si>
  <si>
    <t>5bef6611c782fb1d8ccf27920cdbdd86</t>
  </si>
  <si>
    <t>comprovantes\Transporte\Compartilhar comprovante(78).png</t>
  </si>
  <si>
    <t>Uber (corrida) - 12/03/2026 - pagador: Daisy Ferreira Braga de Souza</t>
  </si>
  <si>
    <t>c55834d5d4c10f6b895428dd391e97b5</t>
  </si>
  <si>
    <t>comprovantes\Transporte\Compartilhar comprovante(62).png</t>
  </si>
  <si>
    <t>dd5c010259dfbabbeb9b002374b418d8</t>
  </si>
  <si>
    <t>comprovantes\Transporte\Compartilhar comprovante(61).png</t>
  </si>
  <si>
    <t>a75279aa3d4a861bc839ddd796e48d9c</t>
  </si>
  <si>
    <t>comprovantes\Transporte\Compartilhar comprovante(60).png</t>
  </si>
  <si>
    <t>4eb3f4d2acca174afb8f3c2263e4584a</t>
  </si>
  <si>
    <t>comprovantes\Transporte\Compartilhar comprovante(77).png</t>
  </si>
  <si>
    <t>Uber (corrida) - 11/03/2026 - pagador: Daisy Ferreira Braga de Souza</t>
  </si>
  <si>
    <t>1c0be342b7a7f39b08b4b00cfb6ffe1b</t>
  </si>
  <si>
    <t>comprovantes\Transporte\Compartilhar comprovante(76).png</t>
  </si>
  <si>
    <t>9cc79b7dbec2b023de1912f1970026fb</t>
  </si>
  <si>
    <t>comprovantes\Transporte\Compartilhar comprovante(75).png</t>
  </si>
  <si>
    <t>f20e90bb28b84aeee4d36ecb07dcf488</t>
  </si>
  <si>
    <t>comprovantes\Transporte\Compartilhar comprovante(74).png</t>
  </si>
  <si>
    <t>43f0be4333f78490e01195d08c16c264</t>
  </si>
  <si>
    <t>comprovantes\Transporte\Compartilhar comprovante(73).png</t>
  </si>
  <si>
    <t>Uber (corrida) - 09/03/2026 - pagador: Daisy Ferreira Braga de Souza</t>
  </si>
  <si>
    <t>e885bffe5f027949ca6342dd98fae08c</t>
  </si>
  <si>
    <t>comprovantes\Transporte\Compartilhar comprovante(72).png</t>
  </si>
  <si>
    <t>f0e1b601ef52f826982cf01cc6206473</t>
  </si>
  <si>
    <t>comprovantes\Transporte\Compartilhar comprovante(71).png</t>
  </si>
  <si>
    <t>58f4a656bc3229d13e6eb114b1366439</t>
  </si>
  <si>
    <t>comprovantes\Transporte\Compartilhar comprovante(70).png</t>
  </si>
  <si>
    <t>Uber (corrida) - 06/03/2026 - pagador: Daisy Ferreira Braga de Souza</t>
  </si>
  <si>
    <t>fc69fe0b0908bd179dcca37fc8de1dc9</t>
  </si>
  <si>
    <t>comprovantes\Transporte\Compartilhar comprovante(69).png</t>
  </si>
  <si>
    <t>7ff6dbc73ce167aeaf2d84311ec97750</t>
  </si>
  <si>
    <t>comprovantes\Transporte\Compartilhar comprovante(68).png</t>
  </si>
  <si>
    <t>Uber (corrida) - 05/03/2026 - pagador: Daisy Ferreira Braga de Souza</t>
  </si>
  <si>
    <t>c13fdb7ce2d167e64d12000c46bf5b33</t>
  </si>
  <si>
    <t>comprovantes\Transporte\Compartilhar comprovante(67).png</t>
  </si>
  <si>
    <t>c38b69cb8612089438d2c53d8234ecfc</t>
  </si>
  <si>
    <t>comprovantes\Transporte\Compartilhar comprovante(66).png</t>
  </si>
  <si>
    <t>Uber (corrida) - 04/03/2026 - pagador: Daisy Ferreira Braga de Souza</t>
  </si>
  <si>
    <t>c6385ed8588b94cf815b7cca991410b5</t>
  </si>
  <si>
    <t>comprovantes\Transporte\Compartilhar comprovante(65).png</t>
  </si>
  <si>
    <t>72a3ba7f428e1171d1674bde2894e542</t>
  </si>
  <si>
    <t>comprovantes\Transporte\Compartilhar comprovante(64).png</t>
  </si>
  <si>
    <t>080590e6d8d6aff004557e7e033561f1</t>
  </si>
  <si>
    <t>comprovantes\Transporte\Compartilhar comprovante(63).png</t>
  </si>
  <si>
    <t>Uber (corrida) - 03/03/2026 - pagador: Daisy Ferreira Braga de Souza</t>
  </si>
  <si>
    <t>5b4ab3d0a17a2f7f5c26b697a19c16dd</t>
  </si>
  <si>
    <t>saúde</t>
  </si>
  <si>
    <t>RENATA ELLEM DE CARVALHO MENDES</t>
  </si>
  <si>
    <t>2026-09</t>
  </si>
  <si>
    <t>comprovantes\Saúde\pscicologo-setembro-comprovante.jpg</t>
  </si>
  <si>
    <t>Pix - 01/09/2026 - pagador: Daisy Ferreira Braga de Souza</t>
  </si>
  <si>
    <t>31bb55deefd776c791a96e575b6417b4</t>
  </si>
  <si>
    <t>Odontofati LTDA</t>
  </si>
  <si>
    <t>comprovantes\Saúde\dentista-06-08-2026.pdf</t>
  </si>
  <si>
    <t>NFS-e (odontológico) - 06/08/2026 - pagador: Gabriel Arthur Braga Fernandes</t>
  </si>
  <si>
    <t>25bd3025056400469196a1e9cfdeb3d3</t>
  </si>
  <si>
    <t>Cartao de TODOS jul</t>
  </si>
  <si>
    <t>comprovantes\Saúde\Compartilhar comprovante(30).png</t>
  </si>
  <si>
    <t>Débito (cartão) - 27/07/2026 - pagador: Daisy Ferreira Braga de Souza</t>
  </si>
  <si>
    <t>e04a70cd8395c35120750bc0cbd9cc54</t>
  </si>
  <si>
    <t>RAIA3800</t>
  </si>
  <si>
    <t>comprovantes\Saúde\Compartilhar comprovante(17).png</t>
  </si>
  <si>
    <t>395a3d46107fd851d870562879fe61c6</t>
  </si>
  <si>
    <t>DROGARIA BASILIO TEIXEIRA DRUGSTORE LTDA</t>
  </si>
  <si>
    <t>comprovantes\Saúde\Compartilhar comprovante(18).png</t>
  </si>
  <si>
    <t>Pix - 16/07/2026 - pagador: Daisy Ferreira Braga de Souza</t>
  </si>
  <si>
    <t>ad492f23014c0b7147026c700dfb6cac</t>
  </si>
  <si>
    <t>Araujo Loja</t>
  </si>
  <si>
    <t>comprovantes\Saúde\Compartilhar comprovante(19).png</t>
  </si>
  <si>
    <t>a90d5794865e9b8f3ed56a5664eaf37e</t>
  </si>
  <si>
    <t>Raia Drogasil</t>
  </si>
  <si>
    <t>comprovantes\Saúde\Compartilhar comprovante(20).png</t>
  </si>
  <si>
    <t>Pix - 09/07/2026 - pagador: Daisy Ferreira Braga de Souza</t>
  </si>
  <si>
    <t>bac0eeb00fba9dc47565a3fe0562f041</t>
  </si>
  <si>
    <t>comprovantes\Saúde\dentista-07-07-2026.pdf</t>
  </si>
  <si>
    <t>NFS-e (odontológico) - 08/07/2026 - pagador: Gabriel Arthur Braga Fernandes</t>
  </si>
  <si>
    <t>5b178006e4563864089fb3dc43683871</t>
  </si>
  <si>
    <t>Cartao de TODOS jun</t>
  </si>
  <si>
    <t>comprovantes\Saúde\Compartilhar comprovante(31).png</t>
  </si>
  <si>
    <t>Débito (cartão) - 27/06/2026 - pagador: Daisy Ferreira Braga de Souza</t>
  </si>
  <si>
    <t>2da0f946088b0d506d369e3ad1ba3fc3</t>
  </si>
  <si>
    <t>comprovantes\Saúde\dentista-16-06-2026.pdf</t>
  </si>
  <si>
    <t>NFS-e (odontológico) - 26/06/2026 - pagador: Gabriel Arthur Braga Fernandes</t>
  </si>
  <si>
    <t>3086a9150c09c080e3f0738516fa97be</t>
  </si>
  <si>
    <t>comprovantes\Saúde\Compartilhar comprovante(21).png</t>
  </si>
  <si>
    <t>Pix - 22/06/2026 - pagador: Daisy Ferreira Braga de Souza</t>
  </si>
  <si>
    <t>b708ff1c6e4db2df95744297e73fcf85</t>
  </si>
  <si>
    <t>comprovantes\Saúde\Compartilhar comprovante(22).png</t>
  </si>
  <si>
    <t>06b426a94b9b39d370c615d586ed9c47</t>
  </si>
  <si>
    <t>Odontofati</t>
  </si>
  <si>
    <t>comprovantes\Saúde\Compartilhar comprovante(28).png</t>
  </si>
  <si>
    <t>Pix - 19/06/2026 - pagador: Daisy Ferreira Braga de Souza</t>
  </si>
  <si>
    <t>142805d7df51979cb2221af36f963e80</t>
  </si>
  <si>
    <t>comprovantes\Saúde\Compartilhar comprovante(23).png</t>
  </si>
  <si>
    <t>Pix - 10/06/2026 - pagador: Daisy Ferreira Braga de Souza</t>
  </si>
  <si>
    <t>7ad8463783afda932d73970124d1521a</t>
  </si>
  <si>
    <t>comprovantes\Saúde\Compartilhar comprovante(1).png</t>
  </si>
  <si>
    <t>Pix - 01/06/2026 - pagador: Daisy Ferreira Braga de Souza</t>
  </si>
  <si>
    <t>1e8b80728cd6857f50999a44203c3975</t>
  </si>
  <si>
    <t>Cartao de TODOS mai</t>
  </si>
  <si>
    <t>comprovantes\Saúde\Compartilhar comprovante(29).png</t>
  </si>
  <si>
    <t>Débito (cartão) - 27/05/2026 - pagador: Daisy Ferreira Braga de Souza</t>
  </si>
  <si>
    <t>9b2b141037facd7f04cb7c516510fc7a</t>
  </si>
  <si>
    <t>comprovantes\Saúde\Compartilhar comprovante(25).png</t>
  </si>
  <si>
    <t>Pix - 18/05/2026 - pagador: Daisy Ferreira Braga de Souza</t>
  </si>
  <si>
    <t>34e0eccd7825ca8188e68606df370a0a</t>
  </si>
  <si>
    <t>comprovantes\Saúde\Compartilhar comprovante(24).png</t>
  </si>
  <si>
    <t>Débito (cartão) - 18/05/2026 - pagador: Daisy Ferreira Braga de Souza</t>
  </si>
  <si>
    <t>06e83f8efe85093b9d94ade1ef1c862f</t>
  </si>
  <si>
    <t>comprovantes\Saúde\Compartilhar comprovante(26).png</t>
  </si>
  <si>
    <t>ad19293a7f1ae4e556e4fea0022c33de</t>
  </si>
  <si>
    <t>comprovantes\Saúde\Compartilhar comprovante(27).png</t>
  </si>
  <si>
    <t>Débito (cartão) - 02/05/2026 - pagador: Daisy Ferreira Braga de Souza</t>
  </si>
  <si>
    <t>adf69181b696cf6872d7cd21a2fea8f5</t>
  </si>
  <si>
    <t>DROGARIA CABRAL</t>
  </si>
  <si>
    <t>comprovantes\Saúde\Compartilhar comprovante(14).png</t>
  </si>
  <si>
    <t>4d79d9e026b3111ccabe03db132930dc</t>
  </si>
  <si>
    <t>Cartao de TODOS abr</t>
  </si>
  <si>
    <t>comprovantes\Saúde\Compartilhar comprovante(15).png</t>
  </si>
  <si>
    <t>Débito (cartão) - 27/04/2026 - pagador: Daisy Ferreira Braga de Souza</t>
  </si>
  <si>
    <t>ef73fe88dc029c9025c1e02c65d33579</t>
  </si>
  <si>
    <t>comprovantes\Saúde\Compartilhar comprovante(13).png</t>
  </si>
  <si>
    <t>Pix - 07/04/2026 - pagador: Daisy Ferreira Braga de Souza</t>
  </si>
  <si>
    <t>5e2ca2c73ad098544476dea7cbac37c1</t>
  </si>
  <si>
    <t>RAIA237</t>
  </si>
  <si>
    <t>comprovantes\Saúde\Compartilhar comprovante(12).png</t>
  </si>
  <si>
    <t>Débito (cartão) - 07/04/2026 - pagador: Daisy Ferreira Braga de Souza</t>
  </si>
  <si>
    <t>7a594a9dc0c143c0287647104dee32ee</t>
  </si>
  <si>
    <t>eae ODONTODOC - PADRE EUST</t>
  </si>
  <si>
    <t>comprovantes\Saúde\Compartilhar comprovante(11).png</t>
  </si>
  <si>
    <t>5392ad150b14dcc2e3bb38ca4c024aff</t>
  </si>
  <si>
    <t>comprovantes\Saúde\Compartilhar comprovante(10).png</t>
  </si>
  <si>
    <t>20a70e6229f85bd35423ba6e73e068e6</t>
  </si>
  <si>
    <t>comprovantes\Saúde\Compartilhar comprovante(9).png</t>
  </si>
  <si>
    <t>4b6f484e654929ce39d8451a303046e7</t>
  </si>
  <si>
    <t>Cartao de TODOS mar</t>
  </si>
  <si>
    <t>comprovantes\Saúde\Compartilhar comprovante(8).png</t>
  </si>
  <si>
    <t>5c2333ad5075cafbaa600ef17ea4fbcb</t>
  </si>
  <si>
    <t>comprovantes\Saúde\Compartilhar comprovante(7).png</t>
  </si>
  <si>
    <t>Pix - 17/03/2026 - pagador: Daisy Ferreira Braga de Souza</t>
  </si>
  <si>
    <t>e6b83a79de436346045b96c3006f5f07</t>
  </si>
  <si>
    <t>comprovantes\Saúde\Compartilhar comprovante(6).png</t>
  </si>
  <si>
    <t>cea1b7753f26d5bebee8d3e7a75de9d0</t>
  </si>
  <si>
    <t>comprovantes\Saúde\Compartilhar comprovante(5).png</t>
  </si>
  <si>
    <t>Débito (cartão) - 09/03/2026 - pagador: Daisy Ferreira Braga de Souza</t>
  </si>
  <si>
    <t>de0086d69a36acb46b26f75e91b66eda</t>
  </si>
  <si>
    <t>comprovantes\Saúde\Compartilhar comprovante(4).png</t>
  </si>
  <si>
    <t>8981d6b3cf4d6e1a7cd504f8565015e5</t>
  </si>
  <si>
    <t>comprovantes\Saúde\Compartilhar comprovante(3).png</t>
  </si>
  <si>
    <t>Pix - 09/03/2026 - pagador: Daisy Ferreira Braga de Souza</t>
  </si>
  <si>
    <t>1763788ad4ec35f876d07853478a4c4f</t>
  </si>
  <si>
    <t>ROBERT PESSOA COSTA</t>
  </si>
  <si>
    <t>comprovantes\Saúde\psicólogo-março-comprovante.png</t>
  </si>
  <si>
    <t>Pix - 06/03/2026 - pagador: Daisy Ferreira Braga de Souza</t>
  </si>
  <si>
    <t>a0b15d7b6c436e934c681f9958e67cda</t>
  </si>
  <si>
    <t>comprovantes\Saúde\Compartilhar comprovante.png</t>
  </si>
  <si>
    <t>Pix - 05/03/2026 - pagador: Daisy Ferreira Braga de Souza</t>
  </si>
  <si>
    <t>34db1968344021a15e08ed53664f6ecd</t>
  </si>
  <si>
    <t>comprovantes\Saúde\Compartilhar comprovante(2).png</t>
  </si>
  <si>
    <t>1259839e49d2d7eeb19e69f7a5a2cfce</t>
  </si>
  <si>
    <t>Otica Sao Paulo</t>
  </si>
  <si>
    <t>2025-11</t>
  </si>
  <si>
    <t>comprovantes\Saúde\Compartilhar comprovante(16).png</t>
  </si>
  <si>
    <t>Pix - 07/11/2025 - pagador: Daisy Ferreira Braga de Souza</t>
  </si>
  <si>
    <t>067039fcf4b9f83a987b35a9201a9e74</t>
  </si>
  <si>
    <t>moradia</t>
  </si>
  <si>
    <t>BTT TELECOMUNICACOES S</t>
  </si>
  <si>
    <t>comprovantes\Moradia\Boleto_internet-agosto.pdf</t>
  </si>
  <si>
    <t>Boleto (internet) - 20/08/2026 - pagador: Beneficiário BTT TELECOMUNICACOES S</t>
  </si>
  <si>
    <t>e14f4b682e8afe4d3c0b7eb7ac3ecbd2</t>
  </si>
  <si>
    <t>Pacto Administradora</t>
  </si>
  <si>
    <t>comprovantes\Moradia\condom-agos.pdf</t>
  </si>
  <si>
    <t>Boleto (condomínio) - 17/08/2026 - pagador: Daisy Ferreira Braga de Souza</t>
  </si>
  <si>
    <t>6c0b51a32c749037b9c1cd6f6c062c1a</t>
  </si>
  <si>
    <t>Giardino di Napoli (condomínio)</t>
  </si>
  <si>
    <t>comprovantes\Moradia\agosto-Agua.pdf</t>
  </si>
  <si>
    <t>Conta de água - 01/08/2026 - pagador: Daisy Ferreira Braga de Souza</t>
  </si>
  <si>
    <t>a43441611839e14d5c2e6b7866d40641</t>
  </si>
  <si>
    <t>Metha Energia</t>
  </si>
  <si>
    <t>comprovantes\Moradia\energia-elétrica-jun.pdf</t>
  </si>
  <si>
    <t>Fatura de energia - 20/07/2026 - pagador: Daisy Ferreira Braga de Souza</t>
  </si>
  <si>
    <t>02cbf6a5379cacaf216bd23bcc5a33df</t>
  </si>
  <si>
    <t>comprovantes\Moradia\Boleto_internet-jul-14219370.pdf</t>
  </si>
  <si>
    <t>Boleto (internet) - 20/07/2026 - pagador: Beneficiário BTT TELECOMUNICACOES S</t>
  </si>
  <si>
    <t>ac458bc10eb6d38fb91d0d739b7e4272</t>
  </si>
  <si>
    <t>comprovantes\Moradia\condom-jul.pdf</t>
  </si>
  <si>
    <t>Boleto (condomínio) - 15/07/2026 - pagador: Daisy Ferreira Braga de Souza</t>
  </si>
  <si>
    <t>b18ad6827c6cfd6ad2c4495b1044dc8d</t>
  </si>
  <si>
    <t>comprovantes\Moradia\julho-Agua (1).pdf</t>
  </si>
  <si>
    <t>Conta de água - 01/07/2026 - pagador: Daisy Ferreira Braga de Souza</t>
  </si>
  <si>
    <t>bf74744c599d827ba2e0831201abf9c0</t>
  </si>
  <si>
    <t>GAS RODRIGUES LTDA</t>
  </si>
  <si>
    <t>comprovantes\Moradia\gás-jul.png</t>
  </si>
  <si>
    <t>Gás (app) - 01/07/2026 - pagador: Daisy Ferreira Braga de Souza</t>
  </si>
  <si>
    <t>30dc52b07b052dcc0fd2e3d137773bcf</t>
  </si>
  <si>
    <t>comprovantes\Moradia\Boleto_internet-jun-14219370.pdf</t>
  </si>
  <si>
    <t>Boleto (internet) - 20/06/2026 - pagador: Beneficiário BTT TELECOMUNICACOES S</t>
  </si>
  <si>
    <t>5c2ce65779d2d0642d7aa05a1dbe1aa4</t>
  </si>
  <si>
    <t>comprovantes\Moradia\energia-elétrica-maio.pdf</t>
  </si>
  <si>
    <t>Fatura de energia - 18/06/2026 - pagador: Daisy Ferreira Braga de Souza</t>
  </si>
  <si>
    <t>7011ac9d8502c1207abcb3f8983f6099</t>
  </si>
  <si>
    <t>comprovantes\Moradia\condom-jun.pdf</t>
  </si>
  <si>
    <t>Boleto (condomínio) - 15/06/2026 - pagador: Daisy Ferreira Braga de Souza</t>
  </si>
  <si>
    <t>e2306359d4001880bede76972c9ef15d</t>
  </si>
  <si>
    <t>comprovantes\Moradia\Boleto_internet-maio14219370.pdf</t>
  </si>
  <si>
    <t>Boleto (internet) - 20/05/2026 - pagador: Beneficiário BTT TELECOMUNICACOES S</t>
  </si>
  <si>
    <t>6d3864410b88da384a80b2a26c0db052</t>
  </si>
  <si>
    <t>comprovantes\Moradia\condom-maio.pdf</t>
  </si>
  <si>
    <t>Boleto (condomínio) - 11/05/2026 - pagador: Daisy Ferreira Braga de Souza</t>
  </si>
  <si>
    <t>9b7cb3a18e298f1514d4c8c4b48c344d</t>
  </si>
  <si>
    <t>comprovantes\Moradia\Boleto_internet-abril.pdf</t>
  </si>
  <si>
    <t>Boleto (internet) - 20/04/2026 - pagador: Beneficiário BTT TELECOMUNICACOES S</t>
  </si>
  <si>
    <t>11bb1657713dd5c946cdb76a7eff988a</t>
  </si>
  <si>
    <t>comprovantes\Moradia\energia-eletrica-abril.pdf</t>
  </si>
  <si>
    <t>Fatura de energia - 17/04/2026 - pagador: Daisy Ferreira Braga de Souza</t>
  </si>
  <si>
    <t>8b3f1d551a8708b9d83947dfae2b5c3e</t>
  </si>
  <si>
    <t>comprovantes\Moradia\condom-abril.pdf</t>
  </si>
  <si>
    <t>Boleto (condomínio) - 15/04/2026 - pagador: Daisy Ferreira Braga de Souza</t>
  </si>
  <si>
    <t>a28412eed99461855a51eb766cc9063c</t>
  </si>
  <si>
    <t>Fenix Gas e Agua LTDA</t>
  </si>
  <si>
    <t>comprovantes\Moradia\gás-mai.png</t>
  </si>
  <si>
    <t>Gás (app) - 11/04/2026 - pagador: Daisy Ferreira Braga de Souza</t>
  </si>
  <si>
    <t>e67e64d36bdeaa1939b3a9114880f1de</t>
  </si>
  <si>
    <t>FENIX GAS</t>
  </si>
  <si>
    <t>comprovantes\Moradia\Gás abril.png</t>
  </si>
  <si>
    <t>Pix (transferência) - 11/04/2026 - pagador: Daisy Ferreira Braga de Souza</t>
  </si>
  <si>
    <t>c1e9644dd8065e9471f31a98a1d6253a</t>
  </si>
  <si>
    <t>comprovantes\Moradia\maio-Agua.pdf</t>
  </si>
  <si>
    <t>Conta de água - 01/04/2026 - pagador: Daisy Ferreira Braga de Souza</t>
  </si>
  <si>
    <t>871184d84d1aa49d383abc409e1e9865</t>
  </si>
  <si>
    <t>comprovantes\Moradia\Boleto_internet-março.pdf</t>
  </si>
  <si>
    <t>Boleto (internet) - 20/03/2026 - pagador: Beneficiário BTT TELECOMUNICACOES S</t>
  </si>
  <si>
    <t>b27d218af7d934cdaee660ee01767f3d</t>
  </si>
  <si>
    <t>comprovantes\Moradia\condom-março.pdf</t>
  </si>
  <si>
    <t>Boleto (condomínio) - 16/03/2026 - pagador: Daisy Ferreira Braga de Souza</t>
  </si>
  <si>
    <t>3dd30716fac35c1bf7a0d33f7a2802c6</t>
  </si>
  <si>
    <t>Consorcio Avantti Mth</t>
  </si>
  <si>
    <t>comprovantes\Moradia\energia-eletrica-março.png</t>
  </si>
  <si>
    <t>57835b92ce89440602a4733a543468b6</t>
  </si>
  <si>
    <t>PREF MUN CONTAGEM</t>
  </si>
  <si>
    <t>comprovantes\Moradia\IPTU.png</t>
  </si>
  <si>
    <t>Pix (pagamento) - 05/03/2026 - pagador: Daisy Ferreira Braga de Souza</t>
  </si>
  <si>
    <t>531af5a9851a749cfa156161541b52e5</t>
  </si>
  <si>
    <t>comprovantes\Moradia\abril-Agua.pdf</t>
  </si>
  <si>
    <t>Conta de água - 02/03/2026 - pagador: Daisy Ferreira Braga de Souza</t>
  </si>
  <si>
    <t>e16e0a37d3b1405157510d647c29ab16</t>
  </si>
  <si>
    <t>lazer e convivencia</t>
  </si>
  <si>
    <t>Google Spotify Musicic</t>
  </si>
  <si>
    <t>comprovantes\Lazer e convivência\Compartilhar comprovante.png</t>
  </si>
  <si>
    <t>Cartão de crédito - 03/08/2026 - pagador: Daisy Ferreira Braga de Souza</t>
  </si>
  <si>
    <t>be0b3ffd9e41581c565a3d462ac7c820</t>
  </si>
  <si>
    <t>IFOOD CLUB</t>
  </si>
  <si>
    <t>comprovantes\Lazer e convivência\Compartilhar comprovante(31).png</t>
  </si>
  <si>
    <t>Cartão de crédito - 16/07/2026 - pagador: Daisy Ferreira Braga de Souza</t>
  </si>
  <si>
    <t>3c1e93b72e78ffb7cb0f1864f0e2f1d6</t>
  </si>
  <si>
    <t>UBER ONE MEMBERSHIP U</t>
  </si>
  <si>
    <t>comprovantes\Lazer e convivência\Compartilhar comprovante(32).png</t>
  </si>
  <si>
    <t>Cartão de crédito - 10/07/2026 - pagador: Daisy Ferreira Braga de Souza</t>
  </si>
  <si>
    <t>cffbade47a30e861f36aca49da148417</t>
  </si>
  <si>
    <t>GOOGLE Spotif</t>
  </si>
  <si>
    <t>comprovantes\Lazer e convivência\Compartilhar comprovante(33).png</t>
  </si>
  <si>
    <t>Cartão de crédito - 03/07/2026 - pagador: Daisy Ferreira Braga de Souza</t>
  </si>
  <si>
    <t>816fa64639430e60863fa296103eaaea</t>
  </si>
  <si>
    <t>RESTAURANTE ZH</t>
  </si>
  <si>
    <t>comprovantes\Lazer e convivência\Compartilhar comprovante(30).png</t>
  </si>
  <si>
    <t>146148e3f5c611c81f5fe25072c821fb</t>
  </si>
  <si>
    <t>comprovantes\Lazer e convivência\Compartilhar comprovante(3).png</t>
  </si>
  <si>
    <t>Cartão de crédito - 16/06/2026 - pagador: Daisy Ferreira Braga de Souza</t>
  </si>
  <si>
    <t>f1e773cbd0052d346fe82a0e846d90fa</t>
  </si>
  <si>
    <t>NETFLIX ENTRETENIMENTO</t>
  </si>
  <si>
    <t>comprovantes\Lazer e convivência\Compartilhar comprovante(4).png</t>
  </si>
  <si>
    <t>Cartão de crédito - 09/06/2026 - pagador: Daisy Ferreira Braga de Souza</t>
  </si>
  <si>
    <t>b19e414c4a6ea6eb76e5b7b5ca021cb4</t>
  </si>
  <si>
    <t>comprovantes\Lazer e convivência\Compartilhar comprovante(5).png</t>
  </si>
  <si>
    <t>Cartão de crédito - 07/06/2026 - pagador: Daisy Ferreira Braga de Souza</t>
  </si>
  <si>
    <t>7bad74e38bef29e968b7050a81a8eea4</t>
  </si>
  <si>
    <t>GOOGLE Spotify Music</t>
  </si>
  <si>
    <t>comprovantes\Lazer e convivência\Compartilhar comprovante(6).png</t>
  </si>
  <si>
    <t>Cartão de crédito - 03/06/2026 - pagador: Daisy Ferreira Braga de Souza</t>
  </si>
  <si>
    <t>4c3e61a4c7c71a1d6165f294ed13498e</t>
  </si>
  <si>
    <t>DL GOOGLE Moovit</t>
  </si>
  <si>
    <t>comprovantes\Lazer e convivência\Compartilhar comprovante(8).png</t>
  </si>
  <si>
    <t>Cartão de crédito - 18/05/2026 - pagador: Daisy Ferreira Braga de Souza</t>
  </si>
  <si>
    <t>6b358a114e5074c9f7aa650d2fb1bbec</t>
  </si>
  <si>
    <t>comprovantes\Lazer e convivência\Compartilhar comprovante(7).png</t>
  </si>
  <si>
    <t>Cartão de crédito - 16/05/2026 - pagador: Daisy Ferreira Braga de Souza</t>
  </si>
  <si>
    <t>34fad7d61ebcc2c88a54db64d1e61a7f</t>
  </si>
  <si>
    <t>NETFLIX.COM</t>
  </si>
  <si>
    <t>comprovantes\Lazer e convivência\Compartilhar comprovante(9).png</t>
  </si>
  <si>
    <t>Cartão de crédito - 09/05/2026 - pagador: Daisy Ferreira Braga de Souza</t>
  </si>
  <si>
    <t>6dd45c3e7e8e535c3d2128a9d5b83b83</t>
  </si>
  <si>
    <t>GGOOGLE Spotify Music</t>
  </si>
  <si>
    <t>comprovantes\Lazer e convivência\Compartilhar comprovante(39).png</t>
  </si>
  <si>
    <t>Cartão de crédito - 08/05/2026 - pagador: Daisy Ferreira Braga de Souza</t>
  </si>
  <si>
    <t>e8a2c4c54017fda53b160ddb9cb30120</t>
  </si>
  <si>
    <t>«ABOR GAUCHO EVENTOS</t>
  </si>
  <si>
    <t>comprovantes\Lazer e convivência\Compartilhar comprovante(28).png</t>
  </si>
  <si>
    <t>3cb00401289dd46a662811a73effc864</t>
  </si>
  <si>
    <t>SH CONTAGEM 1001 FESTA</t>
  </si>
  <si>
    <t>comprovantes\Lazer e convivência\Compartilhar comprovante(27).png</t>
  </si>
  <si>
    <t>639804c638dea1fcaf8c216ec0d49985</t>
  </si>
  <si>
    <t>comprovantes\Lazer e convivência\Compartilhar comprovante(11).png</t>
  </si>
  <si>
    <t>Cartão de crédito - 16/04/2026 - pagador: Daisy Ferreira Braga de Souza</t>
  </si>
  <si>
    <t>501a634316c4787ddc465e30c4bedf74</t>
  </si>
  <si>
    <t>pp; cjAS COLOMBIANAS F</t>
  </si>
  <si>
    <t>comprovantes\Lazer e convivência\Compartilhar comprovante(26).png</t>
  </si>
  <si>
    <t>8596c8f3ebfa7c47160ea2cda2a38d69</t>
  </si>
  <si>
    <t>comprovantes\Lazer e convivência\Compartilhar comprovante(12).png</t>
  </si>
  <si>
    <t>Cartão de crédito - 09/04/2026 - pagador: Daisy Ferreira Braga de Souza</t>
  </si>
  <si>
    <t>0e4a8ad45ccea0053f0f5c92f2f74463</t>
  </si>
  <si>
    <t>SUBWAY</t>
  </si>
  <si>
    <t>comprovantes\Lazer e convivência\Compartilhar comprovante(25).png</t>
  </si>
  <si>
    <t>5be68a08bdb4a48e8060281b76eef4e3</t>
  </si>
  <si>
    <t>BarbaraLuizaSales</t>
  </si>
  <si>
    <t>comprovantes\Lazer e convivência\Compartilhar comprovante(24).png</t>
  </si>
  <si>
    <t>863f78ab57aa287cd93bd76b087ceb4d</t>
  </si>
  <si>
    <t>RestauranteZh</t>
  </si>
  <si>
    <t>comprovantes\Lazer e convivência\Compartilhar comprovante(23).png</t>
  </si>
  <si>
    <t>85aaca43b63f60a184fdbb8e82f133c1</t>
  </si>
  <si>
    <t>comprovantes\Lazer e convivência\Compartilhar comprovante(13).png</t>
  </si>
  <si>
    <t>Cartão de crédito - 03/04/2026 - pagador: Daisy Ferreira Braga de Souza</t>
  </si>
  <si>
    <t>c712b970c2783d0ab8e3a152762c6393</t>
  </si>
  <si>
    <t>comprovantes\Lazer e convivência\Compartilhar comprovante(14).png</t>
  </si>
  <si>
    <t>Cartão de crédito - 02/04/2026 - pagador: Daisy Ferreira Braga de Souza</t>
  </si>
  <si>
    <t>df3d2ec7d438c29d9fcd0a6e517dead8</t>
  </si>
  <si>
    <t>comprovantes\Lazer e convivência\Compartilhar comprovante(22).png</t>
  </si>
  <si>
    <t>31f6d2b63f69dc1afe9ff60dea53b4c4</t>
  </si>
  <si>
    <t>comprovantes\Lazer e convivência\Compartilhar comprovante(16).png</t>
  </si>
  <si>
    <t>Cartão de crédito - 16/03/2026 - pagador: Daisy Ferreira Braga de Souza</t>
  </si>
  <si>
    <t>e2786af3b7392c2606c28efb5911ef1a</t>
  </si>
  <si>
    <t>comprovantes\Lazer e convivência\Compartilhar comprovante(15).png</t>
  </si>
  <si>
    <t>eea440e5cff7c1f85391cb4bcaf05e9e</t>
  </si>
  <si>
    <t>SUBWAY ELDORADO</t>
  </si>
  <si>
    <t>comprovantes\Lazer e convivência\Compartilhar comprovante(21).png</t>
  </si>
  <si>
    <t>Débito (cartão) - 12/03/2026 - pagador: Daisy Ferreira Braga de Souza</t>
  </si>
  <si>
    <t>b6eed085c55a22370de51ba4b2e58d5a</t>
  </si>
  <si>
    <t>oNEXAO ACAI GOURMET</t>
  </si>
  <si>
    <t>comprovantes\Lazer e convivência\Compartilhar comprovante(20).png</t>
  </si>
  <si>
    <t>507c99d1bd925d9b667084620e1316b0</t>
  </si>
  <si>
    <t>comprovantes\Lazer e convivência\Compartilhar comprovante(17).png</t>
  </si>
  <si>
    <t>Cartão de crédito - 09/03/2026 - pagador: Daisy Ferreira Braga de Souza</t>
  </si>
  <si>
    <t>ddf30d55eb57319f19c3784234e2771d</t>
  </si>
  <si>
    <t>comprovantes\Lazer e convivência\Compartilhar comprovante(18).png</t>
  </si>
  <si>
    <t>Cartão de crédito - 05/03/2026 - pagador: Daisy Ferreira Braga de Souza</t>
  </si>
  <si>
    <t>6b6725e2c8903032902c640361d3d0a7</t>
  </si>
  <si>
    <t>HAVANNA</t>
  </si>
  <si>
    <t>comprovantes\Lazer e convivência\Compartilhar comprovante(19).png</t>
  </si>
  <si>
    <t>b52a587fb820c876beb63f97f48c5c87</t>
  </si>
  <si>
    <t>comunicacao e tecnologia</t>
  </si>
  <si>
    <t>Claro</t>
  </si>
  <si>
    <t>comprovantes\Comunicação e tecnologia\Fatura de junho.pdf</t>
  </si>
  <si>
    <t>Fatura - 15/06/2026 - pagador: DAISY FERREIRA BRAGA DE SOUZA</t>
  </si>
  <si>
    <t>d3c7c5b650e18cba18d47140decd785e</t>
  </si>
  <si>
    <t>comprovantes\Comunicação e tecnologia\Fatura de maio.pdf</t>
  </si>
  <si>
    <t>Fatura - 15/05/2026 - pagador: DAISY FERREIRA BRAGA DE SOUZA</t>
  </si>
  <si>
    <t>299de9456c40525bc1984da1456c20a9</t>
  </si>
  <si>
    <t>comprovantes\Comunicação e tecnologia\Fatura de abril.pdf</t>
  </si>
  <si>
    <t>Fatura - 15/04/2026 - pagador: DAISY FERREIRA BRAGA DE SOUZA</t>
  </si>
  <si>
    <t>71b209e25c09478a6efb657830a48513</t>
  </si>
  <si>
    <t>comprovantes\Comunicação e tecnologia\celular-Gabriel-março.png</t>
  </si>
  <si>
    <t xml:space="preserve">Fatura - 05/03/2026 - pagador: </t>
  </si>
  <si>
    <t>f9287c89821881d29adef8872786e696</t>
  </si>
  <si>
    <t>Total filtrado</t>
  </si>
  <si>
    <t>Qtd.</t>
  </si>
  <si>
    <t>Resumo e Rateio</t>
  </si>
  <si>
    <t>Cota parte mes (R$)</t>
  </si>
  <si>
    <t>Cota parte anual (R$)</t>
  </si>
  <si>
    <t>CAPACIDADE CONTRIBUTIVA E RATEIO</t>
  </si>
  <si>
    <t>Indicador</t>
  </si>
  <si>
    <t>Genitor 1</t>
  </si>
  <si>
    <t>Genitor 2</t>
  </si>
  <si>
    <t>Renda liquida mensal</t>
  </si>
  <si>
    <t>Outras obrigacoes essenciais</t>
  </si>
  <si>
    <t>Renda disponivel</t>
  </si>
  <si>
    <t>Percentual da renda disponivel</t>
  </si>
  <si>
    <t>Cota proporcional das despesas</t>
  </si>
  <si>
    <t>TOTAL GERAL</t>
  </si>
  <si>
    <t>Configuraï¿½ï¿½es</t>
  </si>
  <si>
    <t>Parï¿½metro</t>
  </si>
  <si>
    <t>Status</t>
  </si>
  <si>
    <t>Renda lï¿½quida mensal (R$)</t>
  </si>
  <si>
    <t>Planilha</t>
  </si>
  <si>
    <t>Destravada</t>
  </si>
  <si>
    <t>Outras obrigaï¿½ï¿½es essenciais (R$)</t>
  </si>
  <si>
    <t>Base</t>
  </si>
  <si>
    <t>C:\Users\User\Documents\Projetos\system_proof</t>
  </si>
  <si>
    <t>Nï¿½ de moradores (rateio moradia)</t>
  </si>
  <si>
    <t>Caminho da pasta de comprovantes</t>
  </si>
  <si>
    <t>Comprovantes</t>
  </si>
  <si>
    <t>PREPARAR</t>
  </si>
  <si>
    <t>IMPORTAR</t>
  </si>
  <si>
    <t>MANUTENCAO</t>
  </si>
  <si>
    <t>EDICAO</t>
  </si>
  <si>
    <t>id</t>
  </si>
  <si>
    <t>status</t>
  </si>
  <si>
    <t>categoria</t>
  </si>
  <si>
    <t>despesa</t>
  </si>
  <si>
    <t>data</t>
  </si>
  <si>
    <t>mes</t>
  </si>
  <si>
    <t>valor</t>
  </si>
  <si>
    <t>pagador</t>
  </si>
  <si>
    <t>recebedor</t>
  </si>
  <si>
    <t>tipo</t>
  </si>
  <si>
    <t>arquivo</t>
  </si>
  <si>
    <t>hash</t>
  </si>
  <si>
    <t>periodicidade</t>
  </si>
  <si>
    <t>resultado</t>
  </si>
  <si>
    <t>duplicado</t>
  </si>
  <si>
    <t>Daisy Ferreira Braga de Souza</t>
  </si>
  <si>
    <t>Cartão de crédito</t>
  </si>
  <si>
    <t>comprovantes\Lazer e convivência\Compartilhar comprovante(10).png</t>
  </si>
  <si>
    <t>Mensal</t>
  </si>
  <si>
    <t>Hash ja importado</t>
  </si>
  <si>
    <t>comprovantes\Lazer e convivência\Compartilhar comprovante(38).png</t>
  </si>
  <si>
    <t>comprovantes\Lazer e convivência\Compartilhar comprovante(37).png</t>
  </si>
  <si>
    <t>comprovantes\Lazer e convivência\Compartilhar comprovante(36).png</t>
  </si>
  <si>
    <t>comprovantes\Lazer e convivência\Compartilhar comprovante(35).png</t>
  </si>
  <si>
    <t>comprovantes\Lazer e convivência\Compartilhar comprovante(34).png</t>
  </si>
  <si>
    <t>comprovantes\Lazer e convivência\Compartilhar comprovante(2).png</t>
  </si>
  <si>
    <t>comprovantes\Lazer e convivência\Compartilhar comprovante(1).png</t>
  </si>
  <si>
    <t>pendente</t>
  </si>
  <si>
    <t>Maria Efigênia Alves Silva</t>
  </si>
  <si>
    <t>Pix (transferência)</t>
  </si>
  <si>
    <t>comprovantes\Moradia\faxina-março.png</t>
  </si>
  <si>
    <t>29ca3f55a04e14e8c365daca5b5cb610</t>
  </si>
  <si>
    <t>Fatura de energia</t>
  </si>
  <si>
    <t>comprovantes\Moradia\energia-elétrica-jul.pdf</t>
  </si>
  <si>
    <t>comprovantes\Moradia\faxina-julho.png</t>
  </si>
  <si>
    <t>180f9bd9a481079a0a5eec343ddcda22</t>
  </si>
  <si>
    <t>Uber (corrida)</t>
  </si>
  <si>
    <t>comprovantes\Transporte\Compartilhar comprovante(133).png</t>
  </si>
  <si>
    <t>comprovantes\Transporte\Compartilhar comprovante(132).png</t>
  </si>
  <si>
    <t>comprovantes\Transporte\Compartilhar comprovante(129).png</t>
  </si>
  <si>
    <t>comprovantes\Transporte\Compartilhar comprovante(130).png</t>
  </si>
  <si>
    <t>comprovantes\Transporte\Compartilhar comprovante(131).png</t>
  </si>
  <si>
    <t>comprovantes\Transporte\Compartilhar comprovante(128).png</t>
  </si>
  <si>
    <t>comprovantes\Transporte\Compartilhar comprovante(126).png</t>
  </si>
  <si>
    <t>comprovantes\Transporte\Compartilhar comprovante(12).png</t>
  </si>
  <si>
    <t>comprovantes\Transporte\Compartilhar comprovante(10).png</t>
  </si>
  <si>
    <t>comprovantes\Transporte\Compartilhar comprovante(11).png</t>
  </si>
  <si>
    <t>comprovantes\Transporte\Compartilhar comprovante(122).png</t>
  </si>
  <si>
    <t>comprovantes\Transporte\Compartilhar comprovante(119).png</t>
  </si>
  <si>
    <t>comprovantes\Transporte\Compartilhar comprovante(120).png</t>
  </si>
  <si>
    <t>comprovantes\Transporte\Compartilhar comprovante(121).png</t>
  </si>
  <si>
    <t>comprovantes\Transporte\Compartilhar comprovante(117).png</t>
  </si>
  <si>
    <t>comprovantes\Transporte\Compartilhar comprovante(118).png</t>
  </si>
  <si>
    <t>comprovantes\Transporte\Compartilhar comprovante(1).png</t>
  </si>
  <si>
    <t>comprovantes\Transporte\Compartilhar comprovante(116).png</t>
  </si>
  <si>
    <t>comprovantes\Transporte\Compartilhar comprovante(113).png</t>
  </si>
  <si>
    <t>comprovantes\Transporte\Compartilhar comprovante(114).png</t>
  </si>
  <si>
    <t>CAMILA ALVES GONZAGA</t>
  </si>
  <si>
    <t>comprovantes\Educação\violino-março-comprovante.png</t>
  </si>
  <si>
    <t>3570c47084eea489bcbf055b72f6b5cc</t>
  </si>
  <si>
    <t>comprovantes\Educação\violino-abril-comprovante.png</t>
  </si>
  <si>
    <t>f39d1a7dd9034b6e37e9d3054c4f8ccb</t>
  </si>
  <si>
    <t>Camila Alves Gonzaga</t>
  </si>
  <si>
    <t>comprovantes\Educação\violino-maio-Comprovante.png</t>
  </si>
  <si>
    <t>2d1c526ced29fe034ef44a5d10d5c0f6</t>
  </si>
  <si>
    <t>comprovantes\Educação\violinho-junho-comprovante.png</t>
  </si>
  <si>
    <t>f0ebb5136200d6d1c6a3dd90edfc90b0</t>
  </si>
  <si>
    <t>Gabriel Arthur Braga Fernandes</t>
  </si>
  <si>
    <t>Victor Vinicius Lopes Frias Vimieiro de Medeiros</t>
  </si>
  <si>
    <t>comprovantes\Educação	eoria-musical-junho.jpg</t>
  </si>
  <si>
    <t>e0bf4c650faf249d6049ff3af1c8dc74</t>
  </si>
  <si>
    <t>comprovantes\Educação\violino-julho- comprovante.png</t>
  </si>
  <si>
    <t>40201829d3a3170646dea95eaf9d72c8</t>
  </si>
  <si>
    <t>Victor Vinícius Lopes Frias Vimieiro de Medeiros</t>
  </si>
  <si>
    <t>comprovantes\Educação	eoria-musical-agosto.jpg</t>
  </si>
  <si>
    <t>14b3e5c9e39ea9e272893172833b45a8</t>
  </si>
  <si>
    <t>Editar registro</t>
  </si>
  <si>
    <t>Origem</t>
  </si>
  <si>
    <t>Linha</t>
  </si>
  <si>
    <t>Fila</t>
  </si>
  <si>
    <t>Despesa / Recebedor</t>
  </si>
  <si>
    <t>Data</t>
  </si>
  <si>
    <t>Competencia</t>
  </si>
  <si>
    <t>Valor</t>
  </si>
  <si>
    <t>Pagador</t>
  </si>
  <si>
    <t>Recebedor</t>
  </si>
  <si>
    <t>Tipo / Observacao</t>
  </si>
  <si>
    <t>Periodicidade</t>
  </si>
  <si>
    <t>Arquivo</t>
  </si>
  <si>
    <t>Cadastro de categorias e despesas</t>
  </si>
  <si>
    <t>Ativo</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</si>
</sst>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yyyy\-mm"/>
    <numFmt numFmtId="165" formatCode="\R&quot;R$&quot;\ #,##0.00"/>
    <numFmt numFmtId="166" formatCode="&quot;R$&quot;\ #,##0.00"/>
  </numFmts>
  <fonts count="19" x14ac:knownFonts="1">
    <font>
      <sz val="11"/>
      <color theme="1"/>
      <name val="Calibri"/>
      <family val="2"/>
      <scheme val="minor"/>
    </font>
    <font>
      <sz val="12"/>
      <color theme="10"/>
      <name val="Calibri"/>
      <family val="2"/>
      <scheme val="minor"/>
    </font>
    <font>
      <b/>
      <sz val="10"/>
      <color rgb="FFFFFFFF"/>
      <name val="Segoe UI"/>
      <family val="2"/>
    </font>
    <font>
      <b/>
      <sz val="16"/>
      <color rgb="FF1E3A5F"/>
      <name val="Segoe UI"/>
      <family val="2"/>
    </font>
    <font>
      <sz val="10"/>
      <color rgb="FF0F172A"/>
      <name val="Segoe UI"/>
      <family val="2"/>
    </font>
    <font>
      <b/>
      <sz val="10"/>
      <color rgb="FF0F172A"/>
      <name val="Segoe UI"/>
      <family val="2"/>
    </font>
    <font>
      <u/>
      <sz val="10"/>
      <color rgb="FF0F172A"/>
      <name val="Segoe UI"/>
      <family val="2"/>
    </font>
    <font>
      <b/>
      <sz val="18"/>
      <color rgb="FF1E3A5F"/>
      <name val="Segoe UI"/>
      <family val="2"/>
    </font>
    <font>
      <b/>
      <sz val="10"/>
      <color rgb="FF1E293B"/>
      <name val="Segoe UI"/>
      <family val="2"/>
    </font>
    <font>
      <sz val="10"/>
      <color rgb="FF1E293B"/>
      <name val="Segoe UI"/>
      <family val="2"/>
    </font>
    <font>
      <b/>
      <u/>
      <sz val="10"/>
      <color rgb="FFFFFFFF"/>
      <name val="Segoe UI"/>
      <family val="2"/>
    </font>
    <font>
      <b/>
      <sz val="10"/>
      <color rgb="FF2563EB"/>
      <name val="Segoe UI"/>
      <family val="2"/>
    </font>
    <font>
      <sz val="11"/>
      <color rgb="FF0F172A"/>
      <name val="Calibri"/>
      <family val="2"/>
      <scheme val="minor"/>
    </font>
    <font>
      <b/>
      <sz val="17"/>
      <color rgb="FF0F172A"/>
      <name val="Segoe UI"/>
      <family val="2"/>
    </font>
    <font>
      <b/>
      <sz val="8"/>
      <color rgb="FF334155"/>
      <name val="Segoe UI"/>
      <family val="2"/>
    </font>
    <font>
      <b/>
      <sz val="17"/>
      <color rgb="FF1E3A5F"/>
      <name val="Segoe UI"/>
      <family val="2"/>
    </font>
    <font>
      <b/>
      <u/>
      <sz val="10"/>
      <color rgb="FF0F172A"/>
      <name val="Segoe UI"/>
      <family val="2"/>
    </font>
    <font>
      <b/>
      <sz val="12"/>
      <color rgb="FF2563EB"/>
      <name val="Calibri"/>
      <family val="2"/>
      <scheme val="minor"/>
    </font>
    <font>
      <b/>
      <sz val="12"/>
      <color rgb="FF0F172A"/>
      <name val="Calibri"/>
      <family val="2"/>
      <scheme val="minor"/>
    </font>
  </fonts>
  <fills count="22">
    <fill>
      <patternFill patternType="none"/>
    </fill>
    <fill>
      <patternFill patternType="gray125"/>
    </fill>
    <fill>
      <patternFill patternType="solid">
        <fgColor rgb="FF1E3A5F"/>
        <bgColor indexed="64"/>
      </patternFill>
    </fill>
    <fill>
      <patternFill patternType="solid">
        <fgColor rgb="FFDBEAFE"/>
        <bgColor indexed="64"/>
      </patternFill>
    </fill>
    <fill>
      <patternFill patternType="solid">
        <fgColor rgb="FFF5F3FF"/>
        <bgColor indexed="64"/>
      </patternFill>
    </fill>
    <fill>
      <patternFill patternType="solid">
        <fgColor rgb="FFE2E8F0"/>
        <bgColor indexed="64"/>
      </patternFill>
    </fill>
    <fill>
      <patternFill patternType="solid">
        <fgColor rgb="FFBFDBFE"/>
        <bgColor indexed="64"/>
      </patternFill>
    </fill>
    <fill>
      <patternFill patternType="solid">
        <fgColor rgb="FFBBF7D0"/>
        <bgColor indexed="64"/>
      </patternFill>
    </fill>
    <fill>
      <patternFill patternType="solid">
        <fgColor rgb="FFFDE68A"/>
        <bgColor indexed="64"/>
      </patternFill>
    </fill>
    <fill>
      <patternFill patternType="solid">
        <fgColor rgb="FFFBCFE8"/>
        <bgColor indexed="64"/>
      </patternFill>
    </fill>
    <fill>
      <patternFill patternType="solid">
        <fgColor rgb="FFC7D2FE"/>
        <bgColor indexed="64"/>
      </patternFill>
    </fill>
    <fill>
      <patternFill patternType="solid">
        <fgColor rgb="FFDDD6FE"/>
        <bgColor indexed="64"/>
      </patternFill>
    </fill>
    <fill>
      <patternFill patternType="solid">
        <fgColor rgb="FF99F6E4"/>
        <bgColor indexed="64"/>
      </patternFill>
    </fill>
    <fill>
      <patternFill patternType="solid">
        <fgColor rgb="FFBAE6FD"/>
        <bgColor indexed="64"/>
      </patternFill>
    </fill>
    <fill>
      <patternFill patternType="solid">
        <fgColor rgb="FFFED7AA"/>
        <bgColor indexed="64"/>
      </patternFill>
    </fill>
    <fill>
      <patternFill patternType="solid">
        <fgColor rgb="FFCBD5E1"/>
        <bgColor indexed="64"/>
      </patternFill>
    </fill>
    <fill>
      <patternFill patternType="solid">
        <fgColor rgb="FF94A3B8"/>
        <bgColor indexed="64"/>
      </patternFill>
    </fill>
    <fill>
      <patternFill patternType="solid">
        <fgColor rgb="FFF8FAFC"/>
        <bgColor indexed="64"/>
      </patternFill>
    </fill>
    <fill>
      <patternFill patternType="solid">
        <fgColor rgb="FFF1F5F9"/>
        <bgColor indexed="64"/>
      </patternFill>
    </fill>
    <fill>
      <patternFill patternType="solid">
        <fgColor rgb="FFD6E0EA"/>
        <bgColor indexed="64"/>
      </patternFill>
    </fill>
    <fill>
      <patternFill patternType="solid">
        <fgColor rgb="FFC6D3E0"/>
        <bgColor indexed="64"/>
      </patternFill>
    </fill>
    <fill>
      <patternFill patternType="solid">
        <fgColor rgb="FFDBE4EE"/>
        <bgColor indexed="64"/>
      </patternFill>
    </fill>
  </fills>
  <borders count="5">
    <border>
      <left/>
      <right/>
      <top/>
      <bottom/>
      <diagonal/>
    </border>
    <border>
      <left/>
      <right/>
      <top/>
      <bottom style="thin">
        <color rgb="FFFFFFFF"/>
      </bottom>
      <diagonal/>
    </border>
    <border>
      <left/>
      <right/>
      <top style="thin">
        <color rgb="FFFFFFFF"/>
      </top>
      <bottom style="thin">
        <color rgb="FFFFFFFF"/>
      </bottom>
      <diagonal/>
    </border>
    <border>
      <left/>
      <right/>
      <top style="thin">
        <color rgb="FFFFFFFF"/>
      </top>
      <bottom/>
      <diagonal/>
    </border>
    <border>
      <left style="thin">
        <color rgb="FFFFFFFF"/>
      </left>
      <right style="thin">
        <color rgb="FFFFFFFF"/>
      </right>
      <top style="thin">
        <color rgb="FFFFFFFF"/>
      </top>
      <bottom style="thin">
        <color rgb="FFFFFFFF"/>
      </bottom>
      <diagonal/>
    </border>
  </borders>
  <cellStyleXfs count="2">
    <xf numFmtId="0" fontId="0" fillId="0" borderId="0"/>
    <xf numFmtId="0" fontId="1" fillId="0" borderId="0"/>
  </cellStyleXfs>
  <cellXfs count="270">
    <xf numFmtId="0" fontId="0" fillId="0" borderId="0" xfId="0"/>
    <xf numFmtId="0" fontId="0" fillId="0" borderId="0" xfId="0" applyProtection="1">
      <protection locked="0"/>
    </xf>
    <xf numFmtId="0" fontId="4" fillId="0" borderId="0" xfId="0" applyFont="1" applyAlignment="1" applyProtection="1">
      <alignment horizontal="center"/>
      <protection locked="0"/>
    </xf>
    <xf numFmtId="1" fontId="4" fillId="0" borderId="0" xfId="0" applyNumberFormat="1" applyFont="1" applyAlignment="1" applyProtection="1">
      <alignment horizontal="center"/>
      <protection locked="0"/>
    </xf>
    <xf numFmtId="164" fontId="4" fillId="0" borderId="0" xfId="0" applyNumberFormat="1" applyFont="1" applyAlignment="1" applyProtection="1">
      <alignment horizontal="center"/>
      <protection locked="0"/>
    </xf>
    <xf numFmtId="0" fontId="4" fillId="6" borderId="1" xfId="0" applyFont="1" applyFill="1" applyBorder="1" applyAlignment="1" applyProtection="1">
      <alignment horizontal="left"/>
      <protection locked="0"/>
    </xf>
    <xf numFmtId="0" fontId="4" fillId="6" borderId="1" xfId="0" applyFont="1" applyFill="1" applyBorder="1" applyAlignment="1" applyProtection="1">
      <alignment horizontal="center"/>
      <protection locked="0"/>
    </xf>
    <xf numFmtId="0" fontId="4" fillId="6" borderId="2" xfId="0" applyFont="1" applyFill="1" applyBorder="1" applyAlignment="1" applyProtection="1">
      <alignment horizontal="left"/>
      <protection locked="0"/>
    </xf>
    <xf numFmtId="0" fontId="4" fillId="6" borderId="2" xfId="0" applyFont="1" applyFill="1" applyBorder="1" applyAlignment="1" applyProtection="1">
      <alignment horizontal="center"/>
      <protection locked="0"/>
    </xf>
    <xf numFmtId="0" fontId="4" fillId="7" borderId="2" xfId="0" applyFont="1" applyFill="1" applyBorder="1" applyAlignment="1" applyProtection="1">
      <alignment horizontal="left"/>
      <protection locked="0"/>
    </xf>
    <xf numFmtId="0" fontId="4" fillId="7" borderId="2" xfId="0" applyFont="1" applyFill="1" applyBorder="1" applyAlignment="1" applyProtection="1">
      <alignment horizontal="center"/>
      <protection locked="0"/>
    </xf>
    <xf numFmtId="0" fontId="4" fillId="8" borderId="2" xfId="0" applyFont="1" applyFill="1" applyBorder="1" applyAlignment="1" applyProtection="1">
      <alignment horizontal="left"/>
      <protection locked="0"/>
    </xf>
    <xf numFmtId="0" fontId="4" fillId="8" borderId="2" xfId="0" applyFont="1" applyFill="1" applyBorder="1" applyAlignment="1" applyProtection="1">
      <alignment horizontal="center"/>
      <protection locked="0"/>
    </xf>
    <xf numFmtId="0" fontId="4" fillId="9" borderId="2" xfId="0" applyFont="1" applyFill="1" applyBorder="1" applyAlignment="1" applyProtection="1">
      <alignment horizontal="left"/>
      <protection locked="0"/>
    </xf>
    <xf numFmtId="0" fontId="4" fillId="9" borderId="2" xfId="0" applyFont="1" applyFill="1" applyBorder="1" applyAlignment="1" applyProtection="1">
      <alignment horizontal="center"/>
      <protection locked="0"/>
    </xf>
    <xf numFmtId="0" fontId="4" fillId="10" borderId="2" xfId="0" applyFont="1" applyFill="1" applyBorder="1" applyAlignment="1" applyProtection="1">
      <alignment horizontal="left"/>
      <protection locked="0"/>
    </xf>
    <xf numFmtId="0" fontId="4" fillId="10" borderId="2" xfId="0" applyFont="1" applyFill="1" applyBorder="1" applyAlignment="1" applyProtection="1">
      <alignment horizontal="center"/>
      <protection locked="0"/>
    </xf>
    <xf numFmtId="0" fontId="4" fillId="11" borderId="2" xfId="0" applyFont="1" applyFill="1" applyBorder="1" applyAlignment="1" applyProtection="1">
      <alignment horizontal="left"/>
      <protection locked="0"/>
    </xf>
    <xf numFmtId="0" fontId="4" fillId="11" borderId="2" xfId="0" applyFont="1" applyFill="1" applyBorder="1" applyAlignment="1" applyProtection="1">
      <alignment horizontal="center"/>
      <protection locked="0"/>
    </xf>
    <xf numFmtId="0" fontId="4" fillId="12" borderId="2" xfId="0" applyFont="1" applyFill="1" applyBorder="1" applyAlignment="1" applyProtection="1">
      <alignment horizontal="left"/>
      <protection locked="0"/>
    </xf>
    <xf numFmtId="0" fontId="4" fillId="12" borderId="2" xfId="0" applyFont="1" applyFill="1" applyBorder="1" applyAlignment="1" applyProtection="1">
      <alignment horizontal="center"/>
      <protection locked="0"/>
    </xf>
    <xf numFmtId="0" fontId="4" fillId="13" borderId="2" xfId="0" applyFont="1" applyFill="1" applyBorder="1" applyAlignment="1" applyProtection="1">
      <alignment horizontal="left"/>
      <protection locked="0"/>
    </xf>
    <xf numFmtId="0" fontId="4" fillId="13" borderId="2" xfId="0" applyFont="1" applyFill="1" applyBorder="1" applyAlignment="1" applyProtection="1">
      <alignment horizontal="center"/>
      <protection locked="0"/>
    </xf>
    <xf numFmtId="0" fontId="4" fillId="14" borderId="2" xfId="0" applyFont="1" applyFill="1" applyBorder="1" applyAlignment="1" applyProtection="1">
      <alignment horizontal="left"/>
      <protection locked="0"/>
    </xf>
    <xf numFmtId="0" fontId="4" fillId="14" borderId="2" xfId="0" applyFont="1" applyFill="1" applyBorder="1" applyAlignment="1" applyProtection="1">
      <alignment horizontal="center"/>
      <protection locked="0"/>
    </xf>
    <xf numFmtId="0" fontId="4" fillId="15" borderId="2" xfId="0" applyFont="1" applyFill="1" applyBorder="1" applyAlignment="1" applyProtection="1">
      <alignment horizontal="left"/>
      <protection locked="0"/>
    </xf>
    <xf numFmtId="0" fontId="4" fillId="15" borderId="2" xfId="0" applyFont="1" applyFill="1" applyBorder="1" applyAlignment="1" applyProtection="1">
      <alignment horizontal="center"/>
      <protection locked="0"/>
    </xf>
    <xf numFmtId="0" fontId="4" fillId="5" borderId="2" xfId="0" applyFont="1" applyFill="1" applyBorder="1" applyAlignment="1" applyProtection="1">
      <alignment horizontal="left"/>
      <protection locked="0"/>
    </xf>
    <xf numFmtId="0" fontId="2" fillId="2" borderId="4" xfId="0" applyFont="1" applyFill="1" applyBorder="1" applyAlignment="1" applyProtection="1">
      <alignment horizontal="center" vertical="center" wrapText="1"/>
      <protection locked="0"/>
    </xf>
    <xf numFmtId="0" fontId="2" fillId="2" borderId="4" xfId="0" applyFont="1" applyFill="1" applyBorder="1" applyAlignment="1" applyProtection="1">
      <alignment horizontal="center"/>
      <protection locked="0"/>
    </xf>
    <xf numFmtId="0" fontId="10" fillId="2" borderId="4" xfId="0" applyFont="1" applyFill="1" applyBorder="1" applyAlignment="1" applyProtection="1">
      <alignment horizontal="center" vertical="center" wrapText="1"/>
      <protection locked="0"/>
    </xf>
    <xf numFmtId="0" fontId="6" fillId="5" borderId="0" xfId="0" applyFont="1" applyFill="1" applyAlignment="1" applyProtection="1">
      <alignment horizontal="center"/>
      <protection locked="0"/>
    </xf>
    <xf numFmtId="0" fontId="6" fillId="0" borderId="0" xfId="0" applyFont="1" applyAlignment="1" applyProtection="1">
      <alignment horizontal="center"/>
      <protection locked="0"/>
    </xf>
    <xf numFmtId="0" fontId="4" fillId="5" borderId="2" xfId="0" applyFont="1" applyFill="1" applyBorder="1" applyAlignment="1" applyProtection="1">
      <alignment horizontal="center"/>
      <protection locked="0"/>
    </xf>
    <xf numFmtId="0" fontId="11" fillId="7" borderId="2" xfId="0" applyFont="1" applyFill="1" applyBorder="1" applyAlignment="1" applyProtection="1">
      <alignment horizontal="center"/>
      <protection locked="0"/>
    </xf>
    <xf numFmtId="0" fontId="11" fillId="8" borderId="2" xfId="0" applyFont="1" applyFill="1" applyBorder="1" applyAlignment="1" applyProtection="1">
      <alignment horizontal="center"/>
      <protection locked="0"/>
    </xf>
    <xf numFmtId="0" fontId="11" fillId="9" borderId="2" xfId="0" applyFont="1" applyFill="1" applyBorder="1" applyAlignment="1" applyProtection="1">
      <alignment horizontal="center"/>
      <protection locked="0"/>
    </xf>
    <xf numFmtId="0" fontId="11" fillId="10" borderId="2" xfId="0" applyFont="1" applyFill="1" applyBorder="1" applyAlignment="1" applyProtection="1">
      <alignment horizontal="center"/>
      <protection locked="0"/>
    </xf>
    <xf numFmtId="0" fontId="11" fillId="11" borderId="2" xfId="0" applyFont="1" applyFill="1" applyBorder="1" applyAlignment="1" applyProtection="1">
      <alignment horizontal="center"/>
      <protection locked="0"/>
    </xf>
    <xf numFmtId="0" fontId="11" fillId="12" borderId="2" xfId="0" applyFont="1" applyFill="1" applyBorder="1" applyAlignment="1" applyProtection="1">
      <alignment horizontal="center"/>
      <protection locked="0"/>
    </xf>
    <xf numFmtId="0" fontId="11" fillId="13" borderId="2" xfId="0" applyFont="1" applyFill="1" applyBorder="1" applyAlignment="1" applyProtection="1">
      <alignment horizontal="center"/>
      <protection locked="0"/>
    </xf>
    <xf numFmtId="0" fontId="11" fillId="14" borderId="2" xfId="0" applyFont="1" applyFill="1" applyBorder="1" applyAlignment="1" applyProtection="1">
      <alignment horizontal="center"/>
      <protection locked="0"/>
    </xf>
    <xf numFmtId="0" fontId="11" fillId="15" borderId="2" xfId="0" applyFont="1" applyFill="1" applyBorder="1" applyAlignment="1" applyProtection="1">
      <alignment horizontal="center"/>
      <protection locked="0"/>
    </xf>
    <xf numFmtId="0" fontId="11" fillId="5" borderId="2" xfId="0" applyFont="1" applyFill="1" applyBorder="1" applyAlignment="1" applyProtection="1">
      <alignment horizontal="center"/>
      <protection locked="0"/>
    </xf>
    <xf numFmtId="0" fontId="4" fillId="5" borderId="3" xfId="0" applyFont="1" applyFill="1" applyBorder="1" applyAlignment="1" applyProtection="1">
      <alignment horizontal="left"/>
      <protection locked="0"/>
    </xf>
    <xf numFmtId="0" fontId="4" fillId="5" borderId="3" xfId="0" applyFont="1" applyFill="1" applyBorder="1" applyAlignment="1" applyProtection="1">
      <alignment horizontal="center"/>
      <protection locked="0"/>
    </xf>
    <xf numFmtId="0" fontId="5" fillId="16" borderId="2" xfId="0" applyFont="1" applyFill="1" applyBorder="1" applyAlignment="1" applyProtection="1">
      <alignment horizontal="left"/>
      <protection locked="0"/>
    </xf>
    <xf numFmtId="0" fontId="5" fillId="16" borderId="2" xfId="0" applyFont="1" applyFill="1" applyBorder="1" applyAlignment="1" applyProtection="1">
      <alignment horizontal="center"/>
      <protection locked="0"/>
    </xf>
    <xf numFmtId="0" fontId="5" fillId="13" borderId="2" xfId="1" applyFont="1" applyFill="1" applyBorder="1" applyAlignment="1" applyProtection="1">
      <alignment horizontal="left"/>
      <protection locked="0"/>
    </xf>
    <xf numFmtId="0" fontId="5" fillId="15" borderId="2" xfId="1" applyFont="1" applyFill="1" applyBorder="1" applyAlignment="1" applyProtection="1">
      <alignment horizontal="left"/>
      <protection locked="0"/>
    </xf>
    <xf numFmtId="0" fontId="17" fillId="7" borderId="0" xfId="1" applyFont="1" applyFill="1"/>
    <xf numFmtId="0" fontId="5" fillId="7" borderId="0" xfId="0" applyFont="1" applyFill="1" applyAlignment="1" applyProtection="1">
      <alignment horizontal="center"/>
      <protection locked="0"/>
    </xf>
    <xf numFmtId="1" fontId="4" fillId="7" borderId="0" xfId="0" applyNumberFormat="1" applyFont="1" applyFill="1" applyAlignment="1" applyProtection="1">
      <alignment horizontal="center"/>
      <protection locked="0"/>
    </xf>
    <xf numFmtId="0" fontId="4" fillId="7" borderId="0" xfId="0" applyFont="1" applyFill="1" applyAlignment="1" applyProtection="1">
      <alignment horizontal="center"/>
      <protection locked="0"/>
    </xf>
    <xf numFmtId="0" fontId="6" fillId="7" borderId="0" xfId="0" applyFont="1" applyFill="1" applyAlignment="1" applyProtection="1">
      <alignment horizontal="center"/>
      <protection locked="0"/>
    </xf>
    <xf numFmtId="164" fontId="4" fillId="7" borderId="0" xfId="0" applyNumberFormat="1" applyFont="1" applyFill="1" applyAlignment="1" applyProtection="1">
      <alignment horizontal="center"/>
      <protection locked="0"/>
    </xf>
    <xf numFmtId="11" fontId="4" fillId="7" borderId="0" xfId="0" applyNumberFormat="1" applyFont="1" applyFill="1" applyAlignment="1" applyProtection="1">
      <alignment horizontal="center"/>
      <protection locked="0"/>
    </xf>
    <xf numFmtId="1" fontId="5" fillId="7" borderId="0" xfId="0" applyNumberFormat="1" applyFont="1" applyFill="1" applyAlignment="1" applyProtection="1">
      <alignment horizontal="center"/>
      <protection locked="0"/>
    </xf>
    <xf numFmtId="0" fontId="16" fillId="7" borderId="0" xfId="0" applyFont="1" applyFill="1" applyAlignment="1" applyProtection="1">
      <alignment horizontal="center"/>
      <protection locked="0"/>
    </xf>
    <xf numFmtId="164" fontId="5" fillId="7" borderId="0" xfId="0" applyNumberFormat="1" applyFont="1" applyFill="1" applyAlignment="1" applyProtection="1">
      <alignment horizontal="center"/>
      <protection locked="0"/>
    </xf>
    <xf numFmtId="0" fontId="17" fillId="7" borderId="2" xfId="1" applyFont="1" applyFill="1" applyBorder="1" applyAlignment="1" applyProtection="1">
      <alignment horizontal="center"/>
      <protection locked="0"/>
    </xf>
    <xf numFmtId="0" fontId="17" fillId="7" borderId="2" xfId="1" applyFont="1" applyFill="1" applyBorder="1" applyAlignment="1" applyProtection="1">
      <alignment horizontal="left"/>
      <protection locked="0"/>
    </xf>
    <xf numFmtId="0" fontId="11" fillId="7" borderId="0" xfId="1" applyFont="1" applyFill="1" applyProtection="1">
      <protection locked="0"/>
    </xf>
    <xf numFmtId="0" fontId="1" fillId="0" borderId="0" xfId="1"/>
    <xf numFmtId="165" fontId="4" fillId="0" borderId="0" xfId="0" applyNumberFormat="1" applyFont="1" applyAlignment="1" applyProtection="1">
      <alignment horizontal="center"/>
      <protection locked="0"/>
    </xf>
    <xf numFmtId="165" fontId="4" fillId="7" borderId="0" xfId="0" applyNumberFormat="1" applyFont="1" applyFill="1" applyAlignment="1" applyProtection="1">
      <alignment horizontal="center"/>
      <protection locked="0"/>
    </xf>
    <xf numFmtId="165" fontId="5" fillId="7" borderId="0" xfId="0" applyNumberFormat="1" applyFont="1" applyFill="1" applyAlignment="1" applyProtection="1">
      <alignment horizontal="center"/>
      <protection locked="0"/>
    </xf>
    <xf numFmtId="0" fontId="4" fillId="0" borderId="0" xfId="0" applyFont="1" applyFill="1" applyBorder="1" applyAlignment="1" applyProtection="1">
      <alignment horizontal="left"/>
      <protection locked="0"/>
    </xf>
    <xf numFmtId="0" fontId="4" fillId="0" borderId="0" xfId="0" applyFont="1" applyFill="1" applyBorder="1" applyAlignment="1" applyProtection="1">
      <alignment horizontal="center"/>
      <protection locked="0"/>
    </xf>
    <xf numFmtId="0" fontId="4" fillId="5" borderId="0" xfId="0" applyFont="1" applyFill="1" applyBorder="1" applyAlignment="1" applyProtection="1">
      <alignment horizontal="left"/>
      <protection locked="0"/>
    </xf>
    <xf numFmtId="0" fontId="4" fillId="5" borderId="0" xfId="0" applyFont="1" applyFill="1" applyBorder="1" applyAlignment="1" applyProtection="1">
      <alignment horizontal="center"/>
      <protection locked="0"/>
    </xf>
    <xf numFmtId="0" fontId="5" fillId="5" borderId="0" xfId="0" applyFont="1" applyFill="1" applyBorder="1" applyAlignment="1" applyProtection="1">
      <alignment horizontal="center"/>
      <protection locked="0"/>
    </xf>
    <xf numFmtId="1"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0" fontId="6" fillId="0" borderId="0" xfId="0" applyFont="1" applyFill="1" applyBorder="1" applyAlignment="1" applyProtection="1">
      <alignment horizontal="center"/>
      <protection locked="0"/>
    </xf>
    <xf numFmtId="1" fontId="4" fillId="5" borderId="0" xfId="0" applyNumberFormat="1" applyFont="1" applyFill="1" applyBorder="1" applyAlignment="1" applyProtection="1">
      <alignment horizontal="center"/>
      <protection locked="0"/>
    </xf>
    <xf numFmtId="164" fontId="4" fillId="5" borderId="0" xfId="0" applyNumberFormat="1"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4" fillId="0" borderId="0" xfId="0" applyFont="1" applyFill="1" applyBorder="1" applyProtection="1">
      <protection locked="0"/>
    </xf>
    <xf numFmtId="0" fontId="5" fillId="5" borderId="0" xfId="0" applyFont="1" applyFill="1" applyBorder="1" applyAlignment="1" applyProtection="1">
      <alignment horizontal="center" vertical="center"/>
      <protection locked="0"/>
    </xf>
    <xf numFmtId="0" fontId="4" fillId="5" borderId="0" xfId="0" applyFont="1" applyFill="1" applyBorder="1" applyAlignment="1" applyProtection="1">
      <alignment vertical="center"/>
      <protection locked="0"/>
    </xf>
    <xf numFmtId="0" fontId="5" fillId="5" borderId="0" xfId="0" applyFont="1" applyFill="1" applyBorder="1" applyAlignment="1" applyProtection="1">
      <alignment vertical="center"/>
      <protection locked="0"/>
    </xf>
    <xf numFmtId="0" fontId="4" fillId="5" borderId="0" xfId="0" applyFont="1" applyFill="1" applyBorder="1" applyProtection="1">
      <protection locked="0"/>
    </xf>
    <xf numFmtId="0" fontId="5" fillId="5" borderId="0" xfId="0" applyFont="1" applyFill="1" applyBorder="1" applyProtection="1">
      <protection locked="0"/>
    </xf>
    <xf numFmtId="14" fontId="4" fillId="0" borderId="0" xfId="0" applyNumberFormat="1" applyFont="1" applyFill="1" applyBorder="1" applyProtection="1">
      <protection locked="0"/>
    </xf>
    <xf numFmtId="164" fontId="4" fillId="0" borderId="0" xfId="0" applyNumberFormat="1" applyFont="1" applyFill="1" applyBorder="1" applyProtection="1">
      <protection locked="0"/>
    </xf>
    <xf numFmtId="165" fontId="4" fillId="0" borderId="0" xfId="0" applyNumberFormat="1" applyFont="1" applyFill="1" applyBorder="1" applyProtection="1">
      <protection locked="0"/>
    </xf>
    <xf numFmtId="14" fontId="4" fillId="5" borderId="0" xfId="0" applyNumberFormat="1" applyFont="1" applyFill="1" applyBorder="1" applyProtection="1">
      <protection locked="0"/>
    </xf>
    <xf numFmtId="164" fontId="4" fillId="5" borderId="0" xfId="0" applyNumberFormat="1" applyFont="1" applyFill="1" applyBorder="1" applyProtection="1">
      <protection locked="0"/>
    </xf>
    <xf numFmtId="165" fontId="4" fillId="5" borderId="0" xfId="0" applyNumberFormat="1" applyFont="1" applyFill="1" applyBorder="1" applyProtection="1">
      <protection locked="0"/>
    </xf>
    <xf numFmtId="0" fontId="2" fillId="2" borderId="0" xfId="0" applyFont="1" applyFill="1" applyBorder="1" applyAlignment="1" applyProtection="1">
      <alignment horizontal="center" vertical="center" wrapText="1"/>
      <protection locked="0"/>
    </xf>
    <xf numFmtId="0" fontId="2" fillId="2" borderId="0" xfId="0" applyFont="1" applyFill="1" applyBorder="1" applyAlignment="1" applyProtection="1">
      <alignment horizontal="center"/>
      <protection locked="0"/>
    </xf>
    <xf numFmtId="0" fontId="17" fillId="6" borderId="0" xfId="1" applyFont="1" applyFill="1"/>
    <xf numFmtId="0" fontId="17" fillId="8" borderId="0" xfId="1" applyFont="1" applyFill="1"/>
    <xf numFmtId="0" fontId="17" fillId="9" borderId="0" xfId="1" applyFont="1" applyFill="1"/>
    <xf numFmtId="0" fontId="17" fillId="10" borderId="0" xfId="1" applyFont="1" applyFill="1"/>
    <xf numFmtId="0" fontId="17" fillId="11" borderId="0" xfId="1" applyFont="1" applyFill="1"/>
    <xf numFmtId="0" fontId="4" fillId="14" borderId="0" xfId="0" applyFont="1" applyFill="1" applyBorder="1" applyAlignment="1" applyProtection="1">
      <alignment horizontal="center"/>
      <protection locked="0"/>
    </xf>
    <xf numFmtId="0" fontId="17" fillId="14" borderId="0" xfId="1" applyFont="1" applyFill="1"/>
    <xf numFmtId="0" fontId="11" fillId="6" borderId="2" xfId="0" applyFont="1" applyFill="1" applyBorder="1" applyAlignment="1" applyProtection="1">
      <alignment horizontal="center"/>
      <protection locked="0"/>
    </xf>
    <xf numFmtId="0" fontId="5" fillId="6" borderId="2" xfId="1" applyFont="1" applyFill="1" applyBorder="1" applyAlignment="1" applyProtection="1">
      <alignment horizontal="left"/>
      <protection locked="0"/>
    </xf>
    <xf numFmtId="0" fontId="5" fillId="8" borderId="2" xfId="1" applyFont="1" applyFill="1" applyBorder="1" applyAlignment="1" applyProtection="1">
      <alignment horizontal="left"/>
      <protection locked="0"/>
    </xf>
    <xf numFmtId="0" fontId="5" fillId="8" borderId="2" xfId="0" applyFont="1" applyFill="1" applyBorder="1" applyAlignment="1" applyProtection="1">
      <alignment horizontal="left"/>
      <protection locked="0"/>
    </xf>
    <xf numFmtId="1" fontId="2" fillId="2" borderId="0" xfId="0" applyNumberFormat="1" applyFont="1" applyFill="1" applyBorder="1" applyAlignment="1" applyProtection="1">
      <alignment horizontal="center" vertical="center" wrapText="1"/>
      <protection locked="0"/>
    </xf>
    <xf numFmtId="164" fontId="2" fillId="2" borderId="0" xfId="0" applyNumberFormat="1" applyFont="1" applyFill="1" applyBorder="1" applyAlignment="1" applyProtection="1">
      <alignment horizontal="center" vertical="center" wrapText="1"/>
      <protection locked="0"/>
    </xf>
    <xf numFmtId="1" fontId="4" fillId="11" borderId="0" xfId="0" applyNumberFormat="1" applyFont="1" applyFill="1" applyAlignment="1" applyProtection="1">
      <alignment horizontal="center"/>
      <protection locked="0"/>
    </xf>
    <xf numFmtId="0" fontId="4" fillId="11" borderId="0" xfId="0" applyFont="1" applyFill="1" applyAlignment="1" applyProtection="1">
      <alignment horizontal="center"/>
      <protection locked="0"/>
    </xf>
    <xf numFmtId="0" fontId="6" fillId="11" borderId="0" xfId="0" applyFont="1" applyFill="1" applyAlignment="1" applyProtection="1">
      <alignment horizontal="center"/>
      <protection locked="0"/>
    </xf>
    <xf numFmtId="164" fontId="4" fillId="11" borderId="0" xfId="0" applyNumberFormat="1" applyFont="1" applyFill="1" applyAlignment="1" applyProtection="1">
      <alignment horizontal="center"/>
      <protection locked="0"/>
    </xf>
    <xf numFmtId="165" fontId="4" fillId="11" borderId="0" xfId="0" applyNumberFormat="1" applyFont="1" applyFill="1" applyAlignment="1" applyProtection="1">
      <alignment horizontal="center"/>
      <protection locked="0"/>
    </xf>
    <xf numFmtId="0" fontId="5" fillId="11" borderId="0" xfId="0" applyFont="1" applyFill="1" applyAlignment="1" applyProtection="1">
      <alignment horizontal="center"/>
      <protection locked="0"/>
    </xf>
    <xf numFmtId="11" fontId="4" fillId="11" borderId="0" xfId="0" applyNumberFormat="1" applyFont="1" applyFill="1" applyAlignment="1" applyProtection="1">
      <alignment horizontal="center"/>
      <protection locked="0"/>
    </xf>
    <xf numFmtId="1" fontId="4" fillId="8" borderId="0" xfId="0" applyNumberFormat="1" applyFont="1" applyFill="1" applyAlignment="1" applyProtection="1">
      <alignment horizontal="center"/>
      <protection locked="0"/>
    </xf>
    <xf numFmtId="0" fontId="4" fillId="8" borderId="0" xfId="0" applyFont="1" applyFill="1" applyAlignment="1" applyProtection="1">
      <alignment horizontal="center"/>
      <protection locked="0"/>
    </xf>
    <xf numFmtId="0" fontId="6" fillId="8" borderId="0" xfId="0" applyFont="1" applyFill="1" applyAlignment="1" applyProtection="1">
      <alignment horizontal="center"/>
      <protection locked="0"/>
    </xf>
    <xf numFmtId="164" fontId="4" fillId="8" borderId="0" xfId="0" applyNumberFormat="1" applyFont="1" applyFill="1" applyAlignment="1" applyProtection="1">
      <alignment horizontal="center"/>
      <protection locked="0"/>
    </xf>
    <xf numFmtId="165" fontId="4" fillId="8" borderId="0" xfId="0" applyNumberFormat="1" applyFont="1" applyFill="1" applyAlignment="1" applyProtection="1">
      <alignment horizontal="center"/>
      <protection locked="0"/>
    </xf>
    <xf numFmtId="1" fontId="4" fillId="10" borderId="0" xfId="0" applyNumberFormat="1" applyFont="1" applyFill="1" applyAlignment="1" applyProtection="1">
      <alignment horizontal="center"/>
      <protection locked="0"/>
    </xf>
    <xf numFmtId="0" fontId="4" fillId="10" borderId="0" xfId="0" applyFont="1" applyFill="1" applyAlignment="1" applyProtection="1">
      <alignment horizontal="center"/>
      <protection locked="0"/>
    </xf>
    <xf numFmtId="0" fontId="6" fillId="10" borderId="0" xfId="0" applyFont="1" applyFill="1" applyAlignment="1" applyProtection="1">
      <alignment horizontal="center"/>
      <protection locked="0"/>
    </xf>
    <xf numFmtId="164" fontId="4" fillId="10" borderId="0" xfId="0" applyNumberFormat="1" applyFont="1" applyFill="1" applyAlignment="1" applyProtection="1">
      <alignment horizontal="center"/>
      <protection locked="0"/>
    </xf>
    <xf numFmtId="165" fontId="4" fillId="10" borderId="0" xfId="0" applyNumberFormat="1" applyFont="1" applyFill="1" applyAlignment="1" applyProtection="1">
      <alignment horizontal="center"/>
      <protection locked="0"/>
    </xf>
    <xf numFmtId="11" fontId="4" fillId="10" borderId="0" xfId="0" applyNumberFormat="1" applyFont="1" applyFill="1" applyAlignment="1" applyProtection="1">
      <alignment horizontal="center"/>
      <protection locked="0"/>
    </xf>
    <xf numFmtId="1" fontId="5" fillId="10" borderId="0" xfId="0" applyNumberFormat="1" applyFont="1" applyFill="1" applyAlignment="1" applyProtection="1">
      <alignment horizontal="center"/>
      <protection locked="0"/>
    </xf>
    <xf numFmtId="0" fontId="5" fillId="10" borderId="0" xfId="0" applyFont="1" applyFill="1" applyAlignment="1" applyProtection="1">
      <alignment horizontal="center"/>
      <protection locked="0"/>
    </xf>
    <xf numFmtId="164" fontId="5" fillId="10" borderId="0" xfId="0" applyNumberFormat="1" applyFont="1" applyFill="1" applyAlignment="1" applyProtection="1">
      <alignment horizontal="center"/>
      <protection locked="0"/>
    </xf>
    <xf numFmtId="165" fontId="5" fillId="10" borderId="0" xfId="0" applyNumberFormat="1" applyFont="1" applyFill="1" applyAlignment="1" applyProtection="1">
      <alignment horizontal="center"/>
      <protection locked="0"/>
    </xf>
    <xf numFmtId="1" fontId="4" fillId="9" borderId="0" xfId="0" applyNumberFormat="1" applyFont="1" applyFill="1" applyAlignment="1" applyProtection="1">
      <alignment horizontal="center"/>
      <protection locked="0"/>
    </xf>
    <xf numFmtId="0" fontId="4" fillId="9" borderId="0" xfId="0" applyFont="1" applyFill="1" applyAlignment="1" applyProtection="1">
      <alignment horizontal="center"/>
      <protection locked="0"/>
    </xf>
    <xf numFmtId="164" fontId="4" fillId="9" borderId="0" xfId="0" applyNumberFormat="1" applyFont="1" applyFill="1" applyAlignment="1" applyProtection="1">
      <alignment horizontal="center"/>
      <protection locked="0"/>
    </xf>
    <xf numFmtId="165" fontId="4" fillId="9" borderId="0" xfId="0" applyNumberFormat="1" applyFont="1" applyFill="1" applyAlignment="1" applyProtection="1">
      <alignment horizontal="center"/>
      <protection locked="0"/>
    </xf>
    <xf numFmtId="1" fontId="4" fillId="6" borderId="0" xfId="0" applyNumberFormat="1" applyFont="1" applyFill="1" applyAlignment="1" applyProtection="1">
      <alignment horizontal="center"/>
      <protection locked="0"/>
    </xf>
    <xf numFmtId="0" fontId="4" fillId="6" borderId="0" xfId="0" applyFont="1" applyFill="1" applyAlignment="1" applyProtection="1">
      <alignment horizontal="center"/>
      <protection locked="0"/>
    </xf>
    <xf numFmtId="164" fontId="4" fillId="6" borderId="0" xfId="0" applyNumberFormat="1" applyFont="1" applyFill="1" applyAlignment="1" applyProtection="1">
      <alignment horizontal="center"/>
      <protection locked="0"/>
    </xf>
    <xf numFmtId="165" fontId="4" fillId="6" borderId="0" xfId="0" applyNumberFormat="1" applyFont="1" applyFill="1" applyAlignment="1" applyProtection="1">
      <alignment horizontal="center"/>
      <protection locked="0"/>
    </xf>
    <xf numFmtId="1" fontId="4" fillId="14" borderId="0" xfId="0" applyNumberFormat="1" applyFont="1" applyFill="1" applyAlignment="1" applyProtection="1">
      <alignment horizontal="center"/>
      <protection locked="0"/>
    </xf>
    <xf numFmtId="0" fontId="4" fillId="14" borderId="0" xfId="0" applyFont="1" applyFill="1" applyAlignment="1" applyProtection="1">
      <alignment horizontal="center"/>
      <protection locked="0"/>
    </xf>
    <xf numFmtId="164" fontId="4" fillId="14" borderId="0" xfId="0" applyNumberFormat="1" applyFont="1" applyFill="1" applyAlignment="1" applyProtection="1">
      <alignment horizontal="center"/>
      <protection locked="0"/>
    </xf>
    <xf numFmtId="165" fontId="4" fillId="14" borderId="0" xfId="0" applyNumberFormat="1" applyFont="1" applyFill="1" applyAlignment="1" applyProtection="1">
      <alignment horizontal="center"/>
      <protection locked="0"/>
    </xf>
    <xf numFmtId="1" fontId="4" fillId="14" borderId="0" xfId="0" applyNumberFormat="1" applyFont="1" applyFill="1" applyBorder="1" applyAlignment="1" applyProtection="1">
      <alignment horizontal="center"/>
      <protection locked="0"/>
    </xf>
    <xf numFmtId="164" fontId="4" fillId="14" borderId="0" xfId="0" applyNumberFormat="1" applyFont="1" applyFill="1" applyBorder="1" applyAlignment="1" applyProtection="1">
      <alignment horizontal="center"/>
      <protection locked="0"/>
    </xf>
    <xf numFmtId="0" fontId="5" fillId="6" borderId="0" xfId="0" applyFont="1" applyFill="1" applyBorder="1" applyAlignment="1" applyProtection="1">
      <alignment vertical="center"/>
      <protection locked="0"/>
    </xf>
    <xf numFmtId="0" fontId="4" fillId="7" borderId="0" xfId="0" applyFont="1" applyFill="1" applyBorder="1" applyAlignment="1" applyProtection="1">
      <alignment vertical="center"/>
      <protection locked="0"/>
    </xf>
    <xf numFmtId="0" fontId="4" fillId="8" borderId="0" xfId="0" applyFont="1" applyFill="1" applyBorder="1" applyAlignment="1" applyProtection="1">
      <alignment vertical="center"/>
      <protection locked="0"/>
    </xf>
    <xf numFmtId="0" fontId="4" fillId="9" borderId="0" xfId="0" applyFont="1" applyFill="1" applyBorder="1" applyAlignment="1" applyProtection="1">
      <alignment vertical="center"/>
      <protection locked="0"/>
    </xf>
    <xf numFmtId="0" fontId="4" fillId="10" borderId="0" xfId="0" applyFont="1" applyFill="1" applyBorder="1" applyAlignment="1" applyProtection="1">
      <alignment vertical="center"/>
      <protection locked="0"/>
    </xf>
    <xf numFmtId="0" fontId="4" fillId="11" borderId="0" xfId="0" applyFont="1" applyFill="1" applyBorder="1" applyAlignment="1" applyProtection="1">
      <alignment vertical="center"/>
      <protection locked="0"/>
    </xf>
    <xf numFmtId="0" fontId="4" fillId="12" borderId="0" xfId="0" applyFont="1" applyFill="1" applyBorder="1" applyAlignment="1" applyProtection="1">
      <alignment vertical="center"/>
      <protection locked="0"/>
    </xf>
    <xf numFmtId="0" fontId="4" fillId="13" borderId="0" xfId="0" applyFont="1" applyFill="1" applyBorder="1" applyAlignment="1" applyProtection="1">
      <alignment vertical="center"/>
      <protection locked="0"/>
    </xf>
    <xf numFmtId="0" fontId="4" fillId="14" borderId="0" xfId="0" applyFont="1" applyFill="1" applyBorder="1" applyAlignment="1" applyProtection="1">
      <alignment vertical="center"/>
      <protection locked="0"/>
    </xf>
    <xf numFmtId="0" fontId="4" fillId="15" borderId="0" xfId="0" applyFont="1" applyFill="1" applyBorder="1" applyAlignment="1" applyProtection="1">
      <alignment vertical="center"/>
      <protection locked="0"/>
    </xf>
    <xf numFmtId="0" fontId="5" fillId="3" borderId="0" xfId="0" applyFont="1" applyFill="1" applyBorder="1" applyAlignment="1" applyProtection="1">
      <alignment vertical="center"/>
      <protection locked="0"/>
    </xf>
    <xf numFmtId="0" fontId="2" fillId="2" borderId="0" xfId="0" applyFont="1" applyFill="1" applyBorder="1" applyAlignment="1" applyProtection="1">
      <alignment horizontal="center" vertical="center"/>
      <protection locked="0"/>
    </xf>
    <xf numFmtId="10" fontId="4" fillId="4" borderId="0" xfId="0" applyNumberFormat="1" applyFont="1" applyFill="1" applyBorder="1" applyAlignment="1" applyProtection="1">
      <alignment vertical="center"/>
      <protection locked="0"/>
    </xf>
    <xf numFmtId="166" fontId="4" fillId="4" borderId="0" xfId="0" applyNumberFormat="1" applyFont="1" applyFill="1" applyBorder="1" applyAlignment="1" applyProtection="1">
      <alignment vertical="center"/>
      <protection locked="0"/>
    </xf>
    <xf numFmtId="0" fontId="8" fillId="17" borderId="0" xfId="0" applyFont="1" applyFill="1" applyBorder="1" applyProtection="1">
      <protection locked="0"/>
    </xf>
    <xf numFmtId="0" fontId="9" fillId="17" borderId="0" xfId="0" applyFont="1" applyFill="1" applyBorder="1" applyProtection="1">
      <protection locked="0"/>
    </xf>
    <xf numFmtId="0" fontId="17" fillId="6" borderId="1" xfId="1" applyFont="1" applyFill="1" applyBorder="1" applyAlignment="1" applyProtection="1">
      <alignment horizontal="center"/>
      <protection locked="0"/>
    </xf>
    <xf numFmtId="0" fontId="17" fillId="6" borderId="1" xfId="1" applyFont="1" applyFill="1" applyBorder="1" applyAlignment="1" applyProtection="1">
      <alignment horizontal="left"/>
      <protection locked="0"/>
    </xf>
    <xf numFmtId="0" fontId="17" fillId="6" borderId="2" xfId="1" applyFont="1" applyFill="1" applyBorder="1" applyAlignment="1" applyProtection="1">
      <alignment horizontal="center"/>
      <protection locked="0"/>
    </xf>
    <xf numFmtId="0" fontId="17" fillId="6" borderId="2" xfId="1" applyFont="1" applyFill="1" applyBorder="1" applyAlignment="1" applyProtection="1">
      <alignment horizontal="left"/>
      <protection locked="0"/>
    </xf>
    <xf numFmtId="0" fontId="17" fillId="8" borderId="2" xfId="1" applyFont="1" applyFill="1" applyBorder="1" applyAlignment="1" applyProtection="1">
      <alignment horizontal="center"/>
      <protection locked="0"/>
    </xf>
    <xf numFmtId="0" fontId="17" fillId="8" borderId="2" xfId="1" applyFont="1" applyFill="1" applyBorder="1" applyAlignment="1" applyProtection="1">
      <alignment horizontal="left"/>
      <protection locked="0"/>
    </xf>
    <xf numFmtId="0" fontId="17" fillId="9" borderId="2" xfId="1" applyFont="1" applyFill="1" applyBorder="1" applyAlignment="1" applyProtection="1">
      <alignment horizontal="center"/>
      <protection locked="0"/>
    </xf>
    <xf numFmtId="0" fontId="17" fillId="9" borderId="2" xfId="1" applyFont="1" applyFill="1" applyBorder="1" applyAlignment="1" applyProtection="1">
      <alignment horizontal="left"/>
      <protection locked="0"/>
    </xf>
    <xf numFmtId="0" fontId="17" fillId="10" borderId="2" xfId="1" applyFont="1" applyFill="1" applyBorder="1" applyAlignment="1" applyProtection="1">
      <alignment horizontal="center"/>
      <protection locked="0"/>
    </xf>
    <xf numFmtId="0" fontId="17" fillId="10" borderId="2" xfId="1" applyFont="1" applyFill="1" applyBorder="1" applyAlignment="1" applyProtection="1">
      <alignment horizontal="left"/>
      <protection locked="0"/>
    </xf>
    <xf numFmtId="0" fontId="17" fillId="11" borderId="2" xfId="1" applyFont="1" applyFill="1" applyBorder="1" applyAlignment="1" applyProtection="1">
      <alignment horizontal="center"/>
      <protection locked="0"/>
    </xf>
    <xf numFmtId="0" fontId="17" fillId="11" borderId="2" xfId="1" applyFont="1" applyFill="1" applyBorder="1" applyAlignment="1" applyProtection="1">
      <alignment horizontal="left"/>
      <protection locked="0"/>
    </xf>
    <xf numFmtId="0" fontId="17" fillId="12" borderId="2" xfId="1" applyFont="1" applyFill="1" applyBorder="1" applyAlignment="1" applyProtection="1">
      <alignment horizontal="center"/>
      <protection locked="0"/>
    </xf>
    <xf numFmtId="0" fontId="17" fillId="12" borderId="2" xfId="1" applyFont="1" applyFill="1" applyBorder="1" applyAlignment="1" applyProtection="1">
      <alignment horizontal="left"/>
      <protection locked="0"/>
    </xf>
    <xf numFmtId="0" fontId="17" fillId="14" borderId="2" xfId="1" applyFont="1" applyFill="1" applyBorder="1" applyAlignment="1" applyProtection="1">
      <alignment horizontal="center"/>
      <protection locked="0"/>
    </xf>
    <xf numFmtId="0" fontId="17" fillId="14" borderId="2" xfId="1" applyFont="1" applyFill="1" applyBorder="1" applyAlignment="1" applyProtection="1">
      <alignment horizontal="left"/>
      <protection locked="0"/>
    </xf>
    <xf numFmtId="0" fontId="11" fillId="14" borderId="0" xfId="1" applyFont="1" applyFill="1" applyBorder="1" applyProtection="1">
      <protection locked="0"/>
    </xf>
    <xf numFmtId="0" fontId="4" fillId="21" borderId="0" xfId="0" applyFont="1" applyFill="1" applyBorder="1" applyProtection="1">
      <protection locked="0"/>
    </xf>
    <xf numFmtId="0" fontId="2" fillId="2" borderId="0" xfId="0" applyFont="1" applyFill="1" applyBorder="1" applyProtection="1">
      <protection locked="0"/>
    </xf>
    <xf numFmtId="1" fontId="2" fillId="2" borderId="0" xfId="0" applyNumberFormat="1" applyFont="1" applyFill="1" applyBorder="1" applyProtection="1">
      <protection locked="0"/>
    </xf>
    <xf numFmtId="0" fontId="4" fillId="18" borderId="0" xfId="0" applyFont="1" applyFill="1" applyBorder="1" applyProtection="1">
      <protection locked="0"/>
    </xf>
    <xf numFmtId="0" fontId="12" fillId="19" borderId="0" xfId="0" applyFont="1" applyFill="1" applyBorder="1" applyAlignment="1" applyProtection="1">
      <alignment horizontal="left" vertical="center"/>
      <protection locked="0"/>
    </xf>
    <xf numFmtId="0" fontId="14" fillId="20" borderId="0" xfId="0" applyFont="1" applyFill="1" applyBorder="1" applyAlignment="1" applyProtection="1">
      <alignment horizontal="left" vertical="center"/>
      <protection locked="0"/>
    </xf>
    <xf numFmtId="0" fontId="12" fillId="20" borderId="0" xfId="0" applyFont="1" applyFill="1" applyBorder="1" applyAlignment="1" applyProtection="1">
      <alignment horizontal="left" vertical="center"/>
      <protection locked="0"/>
    </xf>
    <xf numFmtId="1" fontId="2" fillId="2" borderId="0" xfId="0" applyNumberFormat="1" applyFont="1" applyFill="1" applyBorder="1" applyAlignment="1" applyProtection="1">
      <alignment horizontal="center"/>
      <protection locked="0"/>
    </xf>
    <xf numFmtId="14" fontId="2" fillId="2" borderId="0" xfId="0" applyNumberFormat="1" applyFont="1" applyFill="1" applyBorder="1" applyAlignment="1" applyProtection="1">
      <alignment horizontal="center"/>
      <protection locked="0"/>
    </xf>
    <xf numFmtId="164" fontId="2" fillId="2" borderId="0" xfId="0" applyNumberFormat="1" applyFont="1" applyFill="1" applyBorder="1" applyAlignment="1" applyProtection="1">
      <alignment horizontal="center"/>
      <protection locked="0"/>
    </xf>
    <xf numFmtId="165" fontId="2" fillId="2" borderId="0" xfId="0" applyNumberFormat="1" applyFont="1" applyFill="1" applyBorder="1" applyAlignment="1" applyProtection="1">
      <alignment horizontal="center"/>
      <protection locked="0"/>
    </xf>
    <xf numFmtId="1" fontId="4" fillId="14" borderId="0" xfId="0" applyNumberFormat="1" applyFont="1" applyFill="1" applyBorder="1" applyProtection="1">
      <protection locked="0"/>
    </xf>
    <xf numFmtId="0" fontId="4" fillId="14" borderId="0" xfId="0" applyFont="1" applyFill="1" applyBorder="1" applyProtection="1">
      <protection locked="0"/>
    </xf>
    <xf numFmtId="14" fontId="4" fillId="14" borderId="0" xfId="0" applyNumberFormat="1" applyFont="1" applyFill="1" applyBorder="1" applyProtection="1">
      <protection locked="0"/>
    </xf>
    <xf numFmtId="164" fontId="4" fillId="14" borderId="0" xfId="0" applyNumberFormat="1" applyFont="1" applyFill="1" applyBorder="1" applyProtection="1">
      <protection locked="0"/>
    </xf>
    <xf numFmtId="165" fontId="4" fillId="14" borderId="0" xfId="0" applyNumberFormat="1" applyFont="1" applyFill="1" applyBorder="1" applyProtection="1">
      <protection locked="0"/>
    </xf>
    <xf numFmtId="1" fontId="4" fillId="6" borderId="0" xfId="0" applyNumberFormat="1" applyFont="1" applyFill="1" applyBorder="1" applyProtection="1">
      <protection locked="0"/>
    </xf>
    <xf numFmtId="0" fontId="4" fillId="6" borderId="0" xfId="0" applyFont="1" applyFill="1" applyBorder="1" applyProtection="1">
      <protection locked="0"/>
    </xf>
    <xf numFmtId="14" fontId="4" fillId="6" borderId="0" xfId="0" applyNumberFormat="1" applyFont="1" applyFill="1" applyBorder="1" applyProtection="1">
      <protection locked="0"/>
    </xf>
    <xf numFmtId="164" fontId="4" fillId="6" borderId="0" xfId="0" applyNumberFormat="1" applyFont="1" applyFill="1" applyBorder="1" applyProtection="1">
      <protection locked="0"/>
    </xf>
    <xf numFmtId="165" fontId="4" fillId="6" borderId="0" xfId="0" applyNumberFormat="1" applyFont="1" applyFill="1" applyBorder="1" applyProtection="1">
      <protection locked="0"/>
    </xf>
    <xf numFmtId="0" fontId="11" fillId="6" borderId="0" xfId="1" applyFont="1" applyFill="1" applyBorder="1" applyProtection="1">
      <protection locked="0"/>
    </xf>
    <xf numFmtId="1" fontId="4" fillId="10" borderId="0" xfId="0" applyNumberFormat="1" applyFont="1" applyFill="1" applyBorder="1" applyProtection="1">
      <protection locked="0"/>
    </xf>
    <xf numFmtId="0" fontId="4" fillId="10" borderId="0" xfId="0" applyFont="1" applyFill="1" applyBorder="1" applyProtection="1">
      <protection locked="0"/>
    </xf>
    <xf numFmtId="14" fontId="4" fillId="10" borderId="0" xfId="0" applyNumberFormat="1" applyFont="1" applyFill="1" applyBorder="1" applyProtection="1">
      <protection locked="0"/>
    </xf>
    <xf numFmtId="164" fontId="4" fillId="10" borderId="0" xfId="0" applyNumberFormat="1" applyFont="1" applyFill="1" applyBorder="1" applyProtection="1">
      <protection locked="0"/>
    </xf>
    <xf numFmtId="165" fontId="4" fillId="10" borderId="0" xfId="0" applyNumberFormat="1" applyFont="1" applyFill="1" applyBorder="1" applyProtection="1">
      <protection locked="0"/>
    </xf>
    <xf numFmtId="0" fontId="11" fillId="10" borderId="0" xfId="1" applyFont="1" applyFill="1" applyBorder="1" applyProtection="1">
      <protection locked="0"/>
    </xf>
    <xf numFmtId="0" fontId="6" fillId="10" borderId="0" xfId="0" applyFont="1" applyFill="1" applyBorder="1" applyProtection="1">
      <protection locked="0"/>
    </xf>
    <xf numFmtId="1" fontId="4" fillId="8" borderId="0" xfId="0" applyNumberFormat="1" applyFont="1" applyFill="1" applyBorder="1" applyProtection="1">
      <protection locked="0"/>
    </xf>
    <xf numFmtId="0" fontId="4" fillId="8" borderId="0" xfId="0" applyFont="1" applyFill="1" applyBorder="1" applyProtection="1">
      <protection locked="0"/>
    </xf>
    <xf numFmtId="14" fontId="4" fillId="8" borderId="0" xfId="0" applyNumberFormat="1" applyFont="1" applyFill="1" applyBorder="1" applyProtection="1">
      <protection locked="0"/>
    </xf>
    <xf numFmtId="164" fontId="4" fillId="8" borderId="0" xfId="0" applyNumberFormat="1" applyFont="1" applyFill="1" applyBorder="1" applyProtection="1">
      <protection locked="0"/>
    </xf>
    <xf numFmtId="165" fontId="4" fillId="8" borderId="0" xfId="0" applyNumberFormat="1" applyFont="1" applyFill="1" applyBorder="1" applyProtection="1">
      <protection locked="0"/>
    </xf>
    <xf numFmtId="0" fontId="11" fillId="8" borderId="0" xfId="1" applyFont="1" applyFill="1" applyBorder="1" applyProtection="1">
      <protection locked="0"/>
    </xf>
    <xf numFmtId="1" fontId="4" fillId="5" borderId="0" xfId="0" applyNumberFormat="1" applyFont="1" applyFill="1" applyBorder="1" applyProtection="1">
      <protection locked="0"/>
    </xf>
    <xf numFmtId="1" fontId="4" fillId="0" borderId="0" xfId="0" applyNumberFormat="1" applyFont="1" applyFill="1" applyBorder="1" applyProtection="1">
      <protection locked="0"/>
    </xf>
    <xf numFmtId="166" fontId="4" fillId="6" borderId="1" xfId="0" applyNumberFormat="1" applyFont="1" applyFill="1" applyBorder="1" applyAlignment="1" applyProtection="1">
      <alignment horizontal="center"/>
      <protection locked="0"/>
    </xf>
    <xf numFmtId="166" fontId="4" fillId="6" borderId="2" xfId="0" applyNumberFormat="1" applyFont="1" applyFill="1" applyBorder="1" applyAlignment="1" applyProtection="1">
      <alignment horizontal="center"/>
      <protection locked="0"/>
    </xf>
    <xf numFmtId="166" fontId="4" fillId="6" borderId="2" xfId="1" applyNumberFormat="1" applyFont="1" applyFill="1" applyBorder="1" applyAlignment="1" applyProtection="1">
      <alignment horizontal="center"/>
      <protection locked="0"/>
    </xf>
    <xf numFmtId="166" fontId="4" fillId="7" borderId="2" xfId="0" applyNumberFormat="1" applyFont="1" applyFill="1" applyBorder="1" applyAlignment="1" applyProtection="1">
      <alignment horizontal="center"/>
      <protection locked="0"/>
    </xf>
    <xf numFmtId="166" fontId="4" fillId="7" borderId="2" xfId="1" applyNumberFormat="1" applyFont="1" applyFill="1" applyBorder="1" applyAlignment="1" applyProtection="1">
      <alignment horizontal="center"/>
      <protection locked="0"/>
    </xf>
    <xf numFmtId="166" fontId="4" fillId="8" borderId="2" xfId="0" applyNumberFormat="1" applyFont="1" applyFill="1" applyBorder="1" applyAlignment="1" applyProtection="1">
      <alignment horizontal="center"/>
      <protection locked="0"/>
    </xf>
    <xf numFmtId="166" fontId="4" fillId="8" borderId="2" xfId="1" applyNumberFormat="1" applyFont="1" applyFill="1" applyBorder="1" applyAlignment="1" applyProtection="1">
      <alignment horizontal="center"/>
      <protection locked="0"/>
    </xf>
    <xf numFmtId="166" fontId="4" fillId="9" borderId="2" xfId="0" applyNumberFormat="1" applyFont="1" applyFill="1" applyBorder="1" applyAlignment="1" applyProtection="1">
      <alignment horizontal="center"/>
      <protection locked="0"/>
    </xf>
    <xf numFmtId="166" fontId="4" fillId="9" borderId="2" xfId="1" applyNumberFormat="1" applyFont="1" applyFill="1" applyBorder="1" applyAlignment="1" applyProtection="1">
      <alignment horizontal="center"/>
      <protection locked="0"/>
    </xf>
    <xf numFmtId="166" fontId="4" fillId="10" borderId="2" xfId="0" applyNumberFormat="1" applyFont="1" applyFill="1" applyBorder="1" applyAlignment="1" applyProtection="1">
      <alignment horizontal="center"/>
      <protection locked="0"/>
    </xf>
    <xf numFmtId="166" fontId="4" fillId="10" borderId="2" xfId="1" applyNumberFormat="1" applyFont="1" applyFill="1" applyBorder="1" applyAlignment="1" applyProtection="1">
      <alignment horizontal="center"/>
      <protection locked="0"/>
    </xf>
    <xf numFmtId="166" fontId="4" fillId="11" borderId="2" xfId="0" applyNumberFormat="1" applyFont="1" applyFill="1" applyBorder="1" applyAlignment="1" applyProtection="1">
      <alignment horizontal="center"/>
      <protection locked="0"/>
    </xf>
    <xf numFmtId="166" fontId="4" fillId="11" borderId="2" xfId="1" applyNumberFormat="1" applyFont="1" applyFill="1" applyBorder="1" applyAlignment="1" applyProtection="1">
      <alignment horizontal="center"/>
      <protection locked="0"/>
    </xf>
    <xf numFmtId="166" fontId="4" fillId="12" borderId="2" xfId="0" applyNumberFormat="1" applyFont="1" applyFill="1" applyBorder="1" applyAlignment="1" applyProtection="1">
      <alignment horizontal="center"/>
      <protection locked="0"/>
    </xf>
    <xf numFmtId="166" fontId="4" fillId="12" borderId="2" xfId="1" applyNumberFormat="1" applyFont="1" applyFill="1" applyBorder="1" applyAlignment="1" applyProtection="1">
      <alignment horizontal="center"/>
      <protection locked="0"/>
    </xf>
    <xf numFmtId="166" fontId="4" fillId="13" borderId="2" xfId="0" applyNumberFormat="1" applyFont="1" applyFill="1" applyBorder="1" applyAlignment="1" applyProtection="1">
      <alignment horizontal="center"/>
      <protection locked="0"/>
    </xf>
    <xf numFmtId="166" fontId="4" fillId="13" borderId="2" xfId="1" applyNumberFormat="1" applyFont="1" applyFill="1" applyBorder="1" applyAlignment="1" applyProtection="1">
      <alignment horizontal="center"/>
      <protection locked="0"/>
    </xf>
    <xf numFmtId="166" fontId="4" fillId="14" borderId="2" xfId="0" applyNumberFormat="1" applyFont="1" applyFill="1" applyBorder="1" applyAlignment="1" applyProtection="1">
      <alignment horizontal="center"/>
      <protection locked="0"/>
    </xf>
    <xf numFmtId="166" fontId="4" fillId="14" borderId="2" xfId="1" applyNumberFormat="1" applyFont="1" applyFill="1" applyBorder="1" applyAlignment="1" applyProtection="1">
      <alignment horizontal="center"/>
      <protection locked="0"/>
    </xf>
    <xf numFmtId="166" fontId="4" fillId="15" borderId="2" xfId="0" applyNumberFormat="1" applyFont="1" applyFill="1" applyBorder="1" applyAlignment="1" applyProtection="1">
      <alignment horizontal="center"/>
      <protection locked="0"/>
    </xf>
    <xf numFmtId="166" fontId="4" fillId="15" borderId="2" xfId="1" applyNumberFormat="1" applyFont="1" applyFill="1" applyBorder="1" applyAlignment="1" applyProtection="1">
      <alignment horizontal="center"/>
      <protection locked="0"/>
    </xf>
    <xf numFmtId="166" fontId="4" fillId="5" borderId="2" xfId="0" applyNumberFormat="1" applyFont="1" applyFill="1" applyBorder="1" applyAlignment="1" applyProtection="1">
      <alignment horizontal="center"/>
      <protection locked="0"/>
    </xf>
    <xf numFmtId="166" fontId="4" fillId="5" borderId="3" xfId="0" applyNumberFormat="1" applyFont="1" applyFill="1" applyBorder="1" applyAlignment="1" applyProtection="1">
      <alignment horizontal="center"/>
      <protection locked="0"/>
    </xf>
    <xf numFmtId="166" fontId="5" fillId="16" borderId="2" xfId="0" applyNumberFormat="1" applyFont="1" applyFill="1" applyBorder="1" applyAlignment="1" applyProtection="1">
      <alignment horizontal="center"/>
      <protection locked="0"/>
    </xf>
    <xf numFmtId="166" fontId="4" fillId="5" borderId="0" xfId="0" applyNumberFormat="1" applyFont="1" applyFill="1" applyBorder="1" applyAlignment="1" applyProtection="1">
      <alignment horizontal="center"/>
      <protection locked="0"/>
    </xf>
    <xf numFmtId="166" fontId="2" fillId="2" borderId="0" xfId="0" applyNumberFormat="1" applyFont="1" applyFill="1" applyBorder="1" applyAlignment="1" applyProtection="1">
      <alignment horizontal="center" vertical="center" wrapText="1"/>
      <protection locked="0"/>
    </xf>
    <xf numFmtId="166" fontId="4" fillId="0" borderId="0" xfId="0" applyNumberFormat="1" applyFont="1" applyFill="1" applyBorder="1" applyAlignment="1" applyProtection="1">
      <alignment horizontal="center"/>
      <protection locked="0"/>
    </xf>
    <xf numFmtId="166" fontId="4" fillId="14" borderId="0" xfId="0" applyNumberFormat="1" applyFont="1" applyFill="1" applyBorder="1" applyAlignment="1" applyProtection="1">
      <alignment horizontal="center"/>
      <protection locked="0"/>
    </xf>
    <xf numFmtId="1" fontId="5" fillId="3" borderId="0" xfId="0" applyNumberFormat="1" applyFont="1" applyFill="1" applyBorder="1" applyAlignment="1" applyProtection="1">
      <alignment horizontal="center"/>
      <protection locked="0"/>
    </xf>
    <xf numFmtId="0" fontId="5" fillId="3" borderId="0" xfId="0" applyFont="1" applyFill="1" applyBorder="1" applyAlignment="1" applyProtection="1">
      <alignment horizontal="center"/>
      <protection locked="0"/>
    </xf>
    <xf numFmtId="164" fontId="5" fillId="3" borderId="0" xfId="0" applyNumberFormat="1" applyFont="1" applyFill="1" applyBorder="1" applyAlignment="1" applyProtection="1">
      <alignment horizontal="center"/>
      <protection locked="0"/>
    </xf>
    <xf numFmtId="166" fontId="5" fillId="3" borderId="0" xfId="0" applyNumberFormat="1" applyFont="1" applyFill="1" applyBorder="1" applyAlignment="1" applyProtection="1">
      <alignment horizontal="center"/>
      <protection locked="0"/>
    </xf>
    <xf numFmtId="166" fontId="5" fillId="6" borderId="0" xfId="0" applyNumberFormat="1" applyFont="1" applyFill="1" applyBorder="1" applyAlignment="1" applyProtection="1">
      <alignment vertical="center"/>
      <protection locked="0"/>
    </xf>
    <xf numFmtId="166" fontId="4" fillId="7" borderId="0" xfId="0" applyNumberFormat="1" applyFont="1" applyFill="1" applyBorder="1" applyAlignment="1" applyProtection="1">
      <alignment vertical="center"/>
      <protection locked="0"/>
    </xf>
    <xf numFmtId="166" fontId="4" fillId="8" borderId="0" xfId="0" applyNumberFormat="1" applyFont="1" applyFill="1" applyBorder="1" applyAlignment="1" applyProtection="1">
      <alignment vertical="center"/>
      <protection locked="0"/>
    </xf>
    <xf numFmtId="166" fontId="4" fillId="9" borderId="0" xfId="0" applyNumberFormat="1" applyFont="1" applyFill="1" applyBorder="1" applyAlignment="1" applyProtection="1">
      <alignment vertical="center"/>
      <protection locked="0"/>
    </xf>
    <xf numFmtId="166" fontId="4" fillId="10" borderId="0" xfId="0" applyNumberFormat="1" applyFont="1" applyFill="1" applyBorder="1" applyAlignment="1" applyProtection="1">
      <alignment vertical="center"/>
      <protection locked="0"/>
    </xf>
    <xf numFmtId="166" fontId="4" fillId="11" borderId="0" xfId="0" applyNumberFormat="1" applyFont="1" applyFill="1" applyBorder="1" applyAlignment="1" applyProtection="1">
      <alignment vertical="center"/>
      <protection locked="0"/>
    </xf>
    <xf numFmtId="166" fontId="4" fillId="12" borderId="0" xfId="0" applyNumberFormat="1" applyFont="1" applyFill="1" applyBorder="1" applyAlignment="1" applyProtection="1">
      <alignment vertical="center"/>
      <protection locked="0"/>
    </xf>
    <xf numFmtId="166" fontId="4" fillId="13" borderId="0" xfId="0" applyNumberFormat="1" applyFont="1" applyFill="1" applyBorder="1" applyAlignment="1" applyProtection="1">
      <alignment vertical="center"/>
      <protection locked="0"/>
    </xf>
    <xf numFmtId="166" fontId="4" fillId="14" borderId="0" xfId="0" applyNumberFormat="1" applyFont="1" applyFill="1" applyBorder="1" applyAlignment="1" applyProtection="1">
      <alignment vertical="center"/>
      <protection locked="0"/>
    </xf>
    <xf numFmtId="166" fontId="4" fillId="15" borderId="0" xfId="0" applyNumberFormat="1" applyFont="1" applyFill="1" applyBorder="1" applyAlignment="1" applyProtection="1">
      <alignment vertical="center"/>
      <protection locked="0"/>
    </xf>
    <xf numFmtId="166" fontId="16" fillId="3" borderId="0" xfId="0" applyNumberFormat="1" applyFont="1" applyFill="1" applyBorder="1" applyAlignment="1" applyProtection="1">
      <alignment vertical="center"/>
      <protection locked="0"/>
    </xf>
    <xf numFmtId="166" fontId="5" fillId="3" borderId="0" xfId="0" applyNumberFormat="1" applyFont="1" applyFill="1" applyBorder="1" applyAlignment="1" applyProtection="1">
      <alignment vertical="center"/>
      <protection locked="0"/>
    </xf>
    <xf numFmtId="166" fontId="4" fillId="4" borderId="0" xfId="0" applyNumberFormat="1" applyFont="1" applyFill="1" applyBorder="1" applyAlignment="1" applyProtection="1">
      <alignment vertical="center"/>
      <protection locked="0"/>
    </xf>
    <xf numFmtId="0" fontId="18" fillId="3" borderId="0" xfId="1" applyFont="1" applyFill="1" applyBorder="1" applyProtection="1">
      <protection locked="0"/>
    </xf>
    <xf numFmtId="166" fontId="4" fillId="18" borderId="0" xfId="0" applyNumberFormat="1" applyFont="1" applyFill="1" applyBorder="1" applyProtection="1">
      <protection locked="0"/>
    </xf>
    <xf numFmtId="0" fontId="3" fillId="5" borderId="0" xfId="0" applyFont="1" applyFill="1" applyBorder="1" applyAlignment="1" applyProtection="1">
      <alignment vertical="center"/>
      <protection locked="0"/>
    </xf>
    <xf numFmtId="0" fontId="5" fillId="5" borderId="0" xfId="0" applyFont="1" applyFill="1" applyBorder="1" applyAlignment="1" applyProtection="1">
      <alignment vertical="center"/>
      <protection locked="0"/>
    </xf>
    <xf numFmtId="0" fontId="2" fillId="2" borderId="0" xfId="0" applyFont="1" applyFill="1" applyBorder="1" applyAlignment="1" applyProtection="1">
      <alignment horizontal="center" vertical="center"/>
      <protection locked="0"/>
    </xf>
    <xf numFmtId="0" fontId="2" fillId="2" borderId="0" xfId="0" applyFont="1" applyFill="1" applyBorder="1" applyProtection="1">
      <protection locked="0"/>
    </xf>
    <xf numFmtId="0" fontId="15" fillId="21" borderId="0" xfId="0" applyFont="1" applyFill="1" applyBorder="1" applyProtection="1">
      <protection locked="0"/>
    </xf>
    <xf numFmtId="0" fontId="4" fillId="21" borderId="0" xfId="0" applyFont="1" applyFill="1" applyBorder="1" applyProtection="1">
      <protection locked="0"/>
    </xf>
    <xf numFmtId="0" fontId="4" fillId="18" borderId="0" xfId="0" applyFont="1" applyFill="1" applyBorder="1" applyProtection="1">
      <protection locked="0"/>
    </xf>
    <xf numFmtId="0" fontId="13" fillId="19" borderId="0" xfId="0" applyFont="1" applyFill="1" applyBorder="1" applyAlignment="1" applyProtection="1">
      <alignment horizontal="left" vertical="center"/>
      <protection locked="0"/>
    </xf>
    <xf numFmtId="0" fontId="12" fillId="19" borderId="0" xfId="0" applyFont="1" applyFill="1" applyBorder="1" applyAlignment="1" applyProtection="1">
      <alignment horizontal="left" vertical="center"/>
      <protection locked="0"/>
    </xf>
    <xf numFmtId="0" fontId="5" fillId="5" borderId="0" xfId="0" applyFont="1" applyFill="1" applyBorder="1" applyProtection="1">
      <protection locked="0"/>
    </xf>
    <xf numFmtId="0" fontId="4" fillId="5" borderId="0" xfId="0" applyFont="1" applyFill="1" applyBorder="1" applyProtection="1">
      <protection locked="0"/>
    </xf>
    <xf numFmtId="0" fontId="7" fillId="5" borderId="0" xfId="0" applyFont="1" applyFill="1" applyBorder="1" applyProtection="1">
      <protection locked="0"/>
    </xf>
  </cellXfs>
  <cellStyles count="2">
    <cellStyle name="Hiperlink" xfId="1" builtinId="8"/>
    <cellStyle name="Normal" xfId="0" builtinId="0"/>
  </cellStyles>
  <dxfs count="3">
    <dxf>
      <font>
        <b/>
        <i val="0"/>
        <color rgb="FF334155"/>
      </font>
      <fill>
        <patternFill>
          <bgColor rgb="FFCBD5E1"/>
        </patternFill>
      </fill>
    </dxf>
    <dxf>
      <font>
        <b/>
        <i val="0"/>
        <color rgb="FF334155"/>
      </font>
      <fill>
        <patternFill>
          <bgColor rgb="FFCBD5E1"/>
        </patternFill>
      </fill>
    </dxf>
    <dxf>
      <font>
        <b/>
        <i val="0"/>
        <color rgb="FFFFFFFF"/>
      </font>
      <fill>
        <patternFill>
          <bgColor rgb="FF16A34A"/>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0</xdr:col>
      <xdr:colOff>25400</xdr:colOff>
      <xdr:row>0</xdr:row>
      <xdr:rowOff>25400</xdr:rowOff>
    </xdr:from>
    <xdr:to>
      <xdr:col>3</xdr:col>
      <xdr:colOff>50800</xdr:colOff>
      <xdr:row>1</xdr:row>
      <xdr:rowOff>155575</xdr:rowOff>
    </xdr:to>
    <xdr:sp macro="[0]!ExcluirRegistroControleSelecionado" textlink="">
      <xdr:nvSpPr>
        <xdr:cNvPr id="4" name="Retângulo de cantos arredondados 3"/>
        <xdr:cNvSpPr/>
      </xdr:nvSpPr>
      <xdr:spPr>
        <a:xfrm>
          <a:off x="25400" y="25400"/>
          <a:ext cx="7721600" cy="434975"/>
        </a:xfrm>
        <a:prstGeom prst="roundRect">
          <a:avLst/>
        </a:prstGeom>
        <a:solidFill>
          <a:srgbClr val="FECACA"/>
        </a:solidFill>
        <a:ln>
          <a:solidFill>
            <a:srgbClr val="93C5F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rgbClr val="1E3A5F"/>
              </a:solidFill>
              <a:latin typeface="Segoe UI"/>
            </a:rPr>
            <a:t>Excluir selecionado</a:t>
          </a:r>
        </a:p>
      </xdr:txBody>
    </xdr:sp>
    <xdr:clientData/>
  </xdr:twoCellAnchor>
  <xdr:twoCellAnchor editAs="absolute">
    <xdr:from>
      <xdr:col>3</xdr:col>
      <xdr:colOff>101600</xdr:colOff>
      <xdr:row>0</xdr:row>
      <xdr:rowOff>25400</xdr:rowOff>
    </xdr:from>
    <xdr:to>
      <xdr:col>5</xdr:col>
      <xdr:colOff>50800</xdr:colOff>
      <xdr:row>1</xdr:row>
      <xdr:rowOff>155575</xdr:rowOff>
    </xdr:to>
    <xdr:sp macro="[0]!LimparFiltroControle" textlink="">
      <xdr:nvSpPr>
        <xdr:cNvPr id="5" name="Retângulo de cantos arredondados 4"/>
        <xdr:cNvSpPr/>
      </xdr:nvSpPr>
      <xdr:spPr>
        <a:xfrm>
          <a:off x="7797800" y="25400"/>
          <a:ext cx="2044700" cy="434975"/>
        </a:xfrm>
        <a:prstGeom prst="roundRect">
          <a:avLst/>
        </a:prstGeom>
        <a:solidFill>
          <a:srgbClr val="DBEAFE"/>
        </a:solidFill>
        <a:ln>
          <a:solidFill>
            <a:srgbClr val="93C5F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rgbClr val="1E3A5F"/>
              </a:solidFill>
              <a:latin typeface="Segoe UI"/>
            </a:rPr>
            <a:t>Limpar filtro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12700</xdr:colOff>
      <xdr:row>4</xdr:row>
      <xdr:rowOff>12700</xdr:rowOff>
    </xdr:from>
    <xdr:to>
      <xdr:col>2</xdr:col>
      <xdr:colOff>1235075</xdr:colOff>
      <xdr:row>4</xdr:row>
      <xdr:rowOff>263525</xdr:rowOff>
    </xdr:to>
    <xdr:sp macro="[0]!AbrirFerramentaExtracao" textlink="">
      <xdr:nvSpPr>
        <xdr:cNvPr id="12" name="Retângulo de cantos arredondados 11"/>
        <xdr:cNvSpPr/>
      </xdr:nvSpPr>
      <xdr:spPr>
        <a:xfrm>
          <a:off x="231775" y="936625"/>
          <a:ext cx="2470150" cy="250825"/>
        </a:xfrm>
        <a:prstGeom prst="roundRect">
          <a:avLst/>
        </a:prstGeom>
        <a:solidFill>
          <a:srgbClr val="334155"/>
        </a:solidFill>
        <a:ln w="12700">
          <a:solidFill>
            <a:srgbClr val="47556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8FAFC"/>
              </a:solidFill>
              <a:latin typeface="Segoe UI"/>
            </a:rPr>
            <a:t>Abrir ferramenta</a:t>
          </a:r>
        </a:p>
      </xdr:txBody>
    </xdr:sp>
    <xdr:clientData/>
  </xdr:twoCellAnchor>
  <xdr:twoCellAnchor editAs="absolute">
    <xdr:from>
      <xdr:col>4</xdr:col>
      <xdr:colOff>12700</xdr:colOff>
      <xdr:row>4</xdr:row>
      <xdr:rowOff>12700</xdr:rowOff>
    </xdr:from>
    <xdr:to>
      <xdr:col>5</xdr:col>
      <xdr:colOff>1235075</xdr:colOff>
      <xdr:row>4</xdr:row>
      <xdr:rowOff>263525</xdr:rowOff>
    </xdr:to>
    <xdr:sp macro="[0]!ExtrairDados" textlink="">
      <xdr:nvSpPr>
        <xdr:cNvPr id="13" name="Retângulo de cantos arredondados 12"/>
        <xdr:cNvSpPr/>
      </xdr:nvSpPr>
      <xdr:spPr>
        <a:xfrm>
          <a:off x="2974975" y="936625"/>
          <a:ext cx="2470150" cy="250825"/>
        </a:xfrm>
        <a:prstGeom prst="roundRect">
          <a:avLst/>
        </a:prstGeom>
        <a:solidFill>
          <a:srgbClr val="2563EB"/>
        </a:solidFill>
        <a:ln w="12700">
          <a:solidFill>
            <a:srgbClr val="1D4ED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Extrair</a:t>
          </a:r>
        </a:p>
      </xdr:txBody>
    </xdr:sp>
    <xdr:clientData/>
  </xdr:twoCellAnchor>
  <xdr:twoCellAnchor editAs="absolute">
    <xdr:from>
      <xdr:col>7</xdr:col>
      <xdr:colOff>12700</xdr:colOff>
      <xdr:row>4</xdr:row>
      <xdr:rowOff>12700</xdr:rowOff>
    </xdr:from>
    <xdr:to>
      <xdr:col>7</xdr:col>
      <xdr:colOff>1235075</xdr:colOff>
      <xdr:row>4</xdr:row>
      <xdr:rowOff>263525</xdr:rowOff>
    </xdr:to>
    <xdr:sp macro="[0]!CarregarFilaJson" textlink="">
      <xdr:nvSpPr>
        <xdr:cNvPr id="14" name="Retângulo de cantos arredondados 13"/>
        <xdr:cNvSpPr/>
      </xdr:nvSpPr>
      <xdr:spPr>
        <a:xfrm>
          <a:off x="5718175" y="936625"/>
          <a:ext cx="1222375" cy="250825"/>
        </a:xfrm>
        <a:prstGeom prst="roundRect">
          <a:avLst/>
        </a:prstGeom>
        <a:solidFill>
          <a:srgbClr val="0F766E"/>
        </a:solidFill>
        <a:ln w="12700">
          <a:solidFill>
            <a:srgbClr val="0D948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Fila JSON</a:t>
          </a:r>
        </a:p>
      </xdr:txBody>
    </xdr:sp>
    <xdr:clientData/>
  </xdr:twoCellAnchor>
  <xdr:twoCellAnchor editAs="absolute">
    <xdr:from>
      <xdr:col>1</xdr:col>
      <xdr:colOff>12700</xdr:colOff>
      <xdr:row>8</xdr:row>
      <xdr:rowOff>12700</xdr:rowOff>
    </xdr:from>
    <xdr:to>
      <xdr:col>2</xdr:col>
      <xdr:colOff>1235075</xdr:colOff>
      <xdr:row>8</xdr:row>
      <xdr:rowOff>263525</xdr:rowOff>
    </xdr:to>
    <xdr:sp macro="[0]!ImportarTodosPendentes" textlink="">
      <xdr:nvSpPr>
        <xdr:cNvPr id="15" name="Retângulo de cantos arredondados 14"/>
        <xdr:cNvSpPr/>
      </xdr:nvSpPr>
      <xdr:spPr>
        <a:xfrm>
          <a:off x="231775" y="1860550"/>
          <a:ext cx="2470150" cy="250825"/>
        </a:xfrm>
        <a:prstGeom prst="roundRect">
          <a:avLst/>
        </a:prstGeom>
        <a:solidFill>
          <a:srgbClr val="166534"/>
        </a:solidFill>
        <a:ln w="12700">
          <a:solidFill>
            <a:srgbClr val="15803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Pendentes</a:t>
          </a:r>
        </a:p>
      </xdr:txBody>
    </xdr:sp>
    <xdr:clientData/>
  </xdr:twoCellAnchor>
  <xdr:twoCellAnchor editAs="absolute">
    <xdr:from>
      <xdr:col>4</xdr:col>
      <xdr:colOff>12700</xdr:colOff>
      <xdr:row>8</xdr:row>
      <xdr:rowOff>12700</xdr:rowOff>
    </xdr:from>
    <xdr:to>
      <xdr:col>5</xdr:col>
      <xdr:colOff>1235075</xdr:colOff>
      <xdr:row>8</xdr:row>
      <xdr:rowOff>263525</xdr:rowOff>
    </xdr:to>
    <xdr:sp macro="[0]!ImportarSelecionadoDaFila" textlink="">
      <xdr:nvSpPr>
        <xdr:cNvPr id="16" name="Retângulo de cantos arredondados 15"/>
        <xdr:cNvSpPr/>
      </xdr:nvSpPr>
      <xdr:spPr>
        <a:xfrm>
          <a:off x="2974975" y="1860550"/>
          <a:ext cx="2470150" cy="250825"/>
        </a:xfrm>
        <a:prstGeom prst="roundRect">
          <a:avLst/>
        </a:prstGeom>
        <a:solidFill>
          <a:srgbClr val="065F46"/>
        </a:solidFill>
        <a:ln w="12700">
          <a:solidFill>
            <a:srgbClr val="05966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Linha selecionada</a:t>
          </a:r>
        </a:p>
      </xdr:txBody>
    </xdr:sp>
    <xdr:clientData/>
  </xdr:twoCellAnchor>
  <xdr:twoCellAnchor editAs="absolute">
    <xdr:from>
      <xdr:col>1</xdr:col>
      <xdr:colOff>12700</xdr:colOff>
      <xdr:row>12</xdr:row>
      <xdr:rowOff>12700</xdr:rowOff>
    </xdr:from>
    <xdr:to>
      <xdr:col>2</xdr:col>
      <xdr:colOff>1235075</xdr:colOff>
      <xdr:row>12</xdr:row>
      <xdr:rowOff>263525</xdr:rowOff>
    </xdr:to>
    <xdr:sp macro="[0]!AbrirCadastros" textlink="">
      <xdr:nvSpPr>
        <xdr:cNvPr id="17" name="Retângulo de cantos arredondados 16"/>
        <xdr:cNvSpPr/>
      </xdr:nvSpPr>
      <xdr:spPr>
        <a:xfrm>
          <a:off x="231775" y="2784475"/>
          <a:ext cx="2470150" cy="250825"/>
        </a:xfrm>
        <a:prstGeom prst="roundRect">
          <a:avLst/>
        </a:prstGeom>
        <a:solidFill>
          <a:srgbClr val="78350F"/>
        </a:solidFill>
        <a:ln w="12700">
          <a:solidFill>
            <a:srgbClr val="92400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Cadastros</a:t>
          </a:r>
        </a:p>
      </xdr:txBody>
    </xdr:sp>
    <xdr:clientData/>
  </xdr:twoCellAnchor>
  <xdr:twoCellAnchor editAs="absolute">
    <xdr:from>
      <xdr:col>4</xdr:col>
      <xdr:colOff>12700</xdr:colOff>
      <xdr:row>12</xdr:row>
      <xdr:rowOff>12700</xdr:rowOff>
    </xdr:from>
    <xdr:to>
      <xdr:col>5</xdr:col>
      <xdr:colOff>1235075</xdr:colOff>
      <xdr:row>12</xdr:row>
      <xdr:rowOff>263525</xdr:rowOff>
    </xdr:to>
    <xdr:sp macro="[0]!AbrirComprovante" textlink="">
      <xdr:nvSpPr>
        <xdr:cNvPr id="18" name="Retângulo de cantos arredondados 17"/>
        <xdr:cNvSpPr/>
      </xdr:nvSpPr>
      <xdr:spPr>
        <a:xfrm>
          <a:off x="2974975" y="2784475"/>
          <a:ext cx="2470150" cy="250825"/>
        </a:xfrm>
        <a:prstGeom prst="roundRect">
          <a:avLst/>
        </a:prstGeom>
        <a:solidFill>
          <a:srgbClr val="7C2D12"/>
        </a:solidFill>
        <a:ln w="12700">
          <a:solidFill>
            <a:srgbClr val="9A341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Abrir arquivo</a:t>
          </a:r>
        </a:p>
      </xdr:txBody>
    </xdr:sp>
    <xdr:clientData/>
  </xdr:twoCellAnchor>
  <xdr:twoCellAnchor editAs="absolute">
    <xdr:from>
      <xdr:col>7</xdr:col>
      <xdr:colOff>12700</xdr:colOff>
      <xdr:row>12</xdr:row>
      <xdr:rowOff>12700</xdr:rowOff>
    </xdr:from>
    <xdr:to>
      <xdr:col>7</xdr:col>
      <xdr:colOff>1235075</xdr:colOff>
      <xdr:row>12</xdr:row>
      <xdr:rowOff>263525</xdr:rowOff>
    </xdr:to>
    <xdr:sp macro="[0]!LimparDados" textlink="">
      <xdr:nvSpPr>
        <xdr:cNvPr id="19" name="Retângulo de cantos arredondados 18"/>
        <xdr:cNvSpPr/>
      </xdr:nvSpPr>
      <xdr:spPr>
        <a:xfrm>
          <a:off x="5718175" y="2784475"/>
          <a:ext cx="1222375" cy="250825"/>
        </a:xfrm>
        <a:prstGeom prst="roundRect">
          <a:avLst/>
        </a:prstGeom>
        <a:solidFill>
          <a:srgbClr val="7F1D1D"/>
        </a:solidFill>
        <a:ln w="12700">
          <a:solidFill>
            <a:srgbClr val="991B1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FFFFF"/>
              </a:solidFill>
              <a:latin typeface="Segoe UI"/>
            </a:rPr>
            <a:t>Limpar</a:t>
          </a:r>
        </a:p>
      </xdr:txBody>
    </xdr:sp>
    <xdr:clientData/>
  </xdr:twoCellAnchor>
  <xdr:twoCellAnchor editAs="absolute">
    <xdr:from>
      <xdr:col>1</xdr:col>
      <xdr:colOff>12700</xdr:colOff>
      <xdr:row>16</xdr:row>
      <xdr:rowOff>12700</xdr:rowOff>
    </xdr:from>
    <xdr:to>
      <xdr:col>2</xdr:col>
      <xdr:colOff>1235075</xdr:colOff>
      <xdr:row>16</xdr:row>
      <xdr:rowOff>263525</xdr:rowOff>
    </xdr:to>
    <xdr:sp macro="[0]!DesbloquearEdicao" textlink="">
      <xdr:nvSpPr>
        <xdr:cNvPr id="20" name="Retângulo de cantos arredondados 19"/>
        <xdr:cNvSpPr/>
      </xdr:nvSpPr>
      <xdr:spPr>
        <a:xfrm>
          <a:off x="231775" y="3708400"/>
          <a:ext cx="2470150" cy="250825"/>
        </a:xfrm>
        <a:prstGeom prst="roundRect">
          <a:avLst/>
        </a:prstGeom>
        <a:solidFill>
          <a:srgbClr val="475569"/>
        </a:solidFill>
        <a:ln w="12700">
          <a:solidFill>
            <a:srgbClr val="64748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8FAFC"/>
              </a:solidFill>
              <a:latin typeface="Segoe UI"/>
            </a:rPr>
            <a:t>Destravar</a:t>
          </a:r>
        </a:p>
      </xdr:txBody>
    </xdr:sp>
    <xdr:clientData/>
  </xdr:twoCellAnchor>
  <xdr:twoCellAnchor editAs="absolute">
    <xdr:from>
      <xdr:col>4</xdr:col>
      <xdr:colOff>12700</xdr:colOff>
      <xdr:row>16</xdr:row>
      <xdr:rowOff>12700</xdr:rowOff>
    </xdr:from>
    <xdr:to>
      <xdr:col>5</xdr:col>
      <xdr:colOff>1235075</xdr:colOff>
      <xdr:row>16</xdr:row>
      <xdr:rowOff>263525</xdr:rowOff>
    </xdr:to>
    <xdr:sp macro="[0]!BloquearEdicao" textlink="">
      <xdr:nvSpPr>
        <xdr:cNvPr id="21" name="Retângulo de cantos arredondados 20"/>
        <xdr:cNvSpPr/>
      </xdr:nvSpPr>
      <xdr:spPr>
        <a:xfrm>
          <a:off x="2974975" y="3708400"/>
          <a:ext cx="2470150" cy="250825"/>
        </a:xfrm>
        <a:prstGeom prst="roundRect">
          <a:avLst/>
        </a:prstGeom>
        <a:solidFill>
          <a:srgbClr val="475569"/>
        </a:solidFill>
        <a:ln w="12700">
          <a:solidFill>
            <a:srgbClr val="64748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b="1">
              <a:solidFill>
                <a:srgbClr val="F8FAFC"/>
              </a:solidFill>
              <a:latin typeface="Segoe UI"/>
            </a:rPr>
            <a:t>Travar</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25400</xdr:colOff>
      <xdr:row>9</xdr:row>
      <xdr:rowOff>25400</xdr:rowOff>
    </xdr:from>
    <xdr:to>
      <xdr:col>2</xdr:col>
      <xdr:colOff>955675</xdr:colOff>
      <xdr:row>10</xdr:row>
      <xdr:rowOff>155575</xdr:rowOff>
    </xdr:to>
    <xdr:sp macro="[0]!SalvarCadastroDespesa" textlink="">
      <xdr:nvSpPr>
        <xdr:cNvPr id="5" name="Retângulo de cantos arredondados 4"/>
        <xdr:cNvSpPr/>
      </xdr:nvSpPr>
      <xdr:spPr>
        <a:xfrm>
          <a:off x="1673225" y="1806575"/>
          <a:ext cx="3778250" cy="311150"/>
        </a:xfrm>
        <a:prstGeom prst="roundRect">
          <a:avLst/>
        </a:prstGeom>
        <a:solidFill>
          <a:srgbClr val="BBF7D0"/>
        </a:solidFill>
        <a:ln>
          <a:solidFill>
            <a:srgbClr val="93C5F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rgbClr val="1E3A5F"/>
              </a:solidFill>
              <a:latin typeface="Segoe UI"/>
            </a:rPr>
            <a:t>Salvar cadastro</a:t>
          </a:r>
        </a:p>
      </xdr:txBody>
    </xdr:sp>
    <xdr:clientData/>
  </xdr:twoCellAnchor>
  <xdr:twoCellAnchor editAs="absolute">
    <xdr:from>
      <xdr:col>3</xdr:col>
      <xdr:colOff>25400</xdr:colOff>
      <xdr:row>9</xdr:row>
      <xdr:rowOff>25400</xdr:rowOff>
    </xdr:from>
    <xdr:to>
      <xdr:col>4</xdr:col>
      <xdr:colOff>822325</xdr:colOff>
      <xdr:row>10</xdr:row>
      <xdr:rowOff>155575</xdr:rowOff>
    </xdr:to>
    <xdr:sp macro="[0]!CarregarCadastroSelecionado" textlink="">
      <xdr:nvSpPr>
        <xdr:cNvPr id="6" name="Retângulo de cantos arredondados 5"/>
        <xdr:cNvSpPr/>
      </xdr:nvSpPr>
      <xdr:spPr>
        <a:xfrm>
          <a:off x="5502275" y="1806575"/>
          <a:ext cx="2044700" cy="311150"/>
        </a:xfrm>
        <a:prstGeom prst="roundRect">
          <a:avLst/>
        </a:prstGeom>
        <a:solidFill>
          <a:srgbClr val="BFDBFE"/>
        </a:solidFill>
        <a:ln>
          <a:solidFill>
            <a:srgbClr val="93C5F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rgbClr val="1E3A5F"/>
              </a:solidFill>
              <a:latin typeface="Segoe UI"/>
            </a:rPr>
            <a:t>Carregar selecao</a:t>
          </a:r>
        </a:p>
      </xdr:txBody>
    </xdr:sp>
    <xdr:clientData/>
  </xdr:twoCellAnchor>
  <xdr:twoCellAnchor editAs="absolute">
    <xdr:from>
      <xdr:col>5</xdr:col>
      <xdr:colOff>25400</xdr:colOff>
      <xdr:row>9</xdr:row>
      <xdr:rowOff>25400</xdr:rowOff>
    </xdr:from>
    <xdr:to>
      <xdr:col>6</xdr:col>
      <xdr:colOff>1089025</xdr:colOff>
      <xdr:row>10</xdr:row>
      <xdr:rowOff>155575</xdr:rowOff>
    </xdr:to>
    <xdr:sp macro="[0]!SincronizarCadastrosDespesas" textlink="">
      <xdr:nvSpPr>
        <xdr:cNvPr id="7" name="Retângulo de cantos arredondados 6"/>
        <xdr:cNvSpPr/>
      </xdr:nvSpPr>
      <xdr:spPr>
        <a:xfrm>
          <a:off x="7597775" y="1806575"/>
          <a:ext cx="2178050" cy="311150"/>
        </a:xfrm>
        <a:prstGeom prst="roundRect">
          <a:avLst/>
        </a:prstGeom>
        <a:solidFill>
          <a:srgbClr val="FDE68A"/>
        </a:solidFill>
        <a:ln>
          <a:solidFill>
            <a:srgbClr val="93C5F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solidFill>
                <a:srgbClr val="1E3A5F"/>
              </a:solidFill>
              <a:latin typeface="Segoe UI"/>
            </a:rPr>
            <a:t>Sincronizar</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comprovantes/Transporte/Compartilhar%20comprovante.png" TargetMode="External"/><Relationship Id="rId299" Type="http://schemas.openxmlformats.org/officeDocument/2006/relationships/hyperlink" Target="comprovantes/Lazer%20e%20conviv&#234;ncia/Compartilhar%20comprovante(20).png" TargetMode="External"/><Relationship Id="rId303" Type="http://schemas.openxmlformats.org/officeDocument/2006/relationships/hyperlink" Target="comprovantes/Comunica&#231;&#227;o%20e%20tecnologia/Fatura%20de%20junho.pdf" TargetMode="External"/><Relationship Id="rId21" Type="http://schemas.openxmlformats.org/officeDocument/2006/relationships/hyperlink" Target="comprovantes/Alimenta&#231;&#227;o-20260907T002627Z-1-001/Alimenta&#231;&#227;o/Comprovante_20260826T195608588349.png" TargetMode="External"/><Relationship Id="rId42" Type="http://schemas.openxmlformats.org/officeDocument/2006/relationships/hyperlink" Target="comprovantes/Alimenta&#231;&#227;o-20260907T002627Z-1-001/Alimenta&#231;&#227;o/Comprovante_20260826T193917166552.png" TargetMode="External"/><Relationship Id="rId63" Type="http://schemas.openxmlformats.org/officeDocument/2006/relationships/hyperlink" Target="comprovantes/Alimenta&#231;&#227;o-20260907T002627Z-1-001/Alimenta&#231;&#227;o/Compartilhar%20comprovante(21).png" TargetMode="External"/><Relationship Id="rId84" Type="http://schemas.openxmlformats.org/officeDocument/2006/relationships/hyperlink" Target="comprovantes/Vestu&#225;rio%20e%20higiene/Compartilhar%20comprovante(6).png" TargetMode="External"/><Relationship Id="rId138" Type="http://schemas.openxmlformats.org/officeDocument/2006/relationships/hyperlink" Target="comprovantes/Transporte/Compartilhar%20comprovante(15).png" TargetMode="External"/><Relationship Id="rId159" Type="http://schemas.openxmlformats.org/officeDocument/2006/relationships/hyperlink" Target="comprovantes/Transporte/Compartilhar%20comprovante(34).png" TargetMode="External"/><Relationship Id="rId170" Type="http://schemas.openxmlformats.org/officeDocument/2006/relationships/hyperlink" Target="comprovantes/Transporte/Compartilhar%20comprovante(46).png" TargetMode="External"/><Relationship Id="rId191" Type="http://schemas.openxmlformats.org/officeDocument/2006/relationships/hyperlink" Target="comprovantes/Transporte/Compartilhar%20comprovante(57).png" TargetMode="External"/><Relationship Id="rId205" Type="http://schemas.openxmlformats.org/officeDocument/2006/relationships/hyperlink" Target="comprovantes/Transporte/Compartilhar%20comprovante(68).png" TargetMode="External"/><Relationship Id="rId226" Type="http://schemas.openxmlformats.org/officeDocument/2006/relationships/hyperlink" Target="comprovantes/Sa&#250;de/Compartilhar%20comprovante(29).png" TargetMode="External"/><Relationship Id="rId247" Type="http://schemas.openxmlformats.org/officeDocument/2006/relationships/hyperlink" Target="comprovantes/Sa&#250;de/Compartilhar%20comprovante(16).png" TargetMode="External"/><Relationship Id="rId107" Type="http://schemas.openxmlformats.org/officeDocument/2006/relationships/hyperlink" Target="comprovantes/Transporte/Compartilhar%20comprovante(101).png" TargetMode="External"/><Relationship Id="rId268" Type="http://schemas.openxmlformats.org/officeDocument/2006/relationships/hyperlink" Target="comprovantes/Moradia/condom-mar&#231;o.pdf" TargetMode="External"/><Relationship Id="rId289" Type="http://schemas.openxmlformats.org/officeDocument/2006/relationships/hyperlink" Target="comprovantes/Lazer%20e%20conviv&#234;ncia/Compartilhar%20comprovante(12).png" TargetMode="External"/><Relationship Id="rId11" Type="http://schemas.openxmlformats.org/officeDocument/2006/relationships/hyperlink" Target="comprovantes/Alimenta&#231;&#227;o-20260907T002627Z-1-001/Alimenta&#231;&#227;o/SuplementoComprovante_20260826T220907562521.png" TargetMode="External"/><Relationship Id="rId32" Type="http://schemas.openxmlformats.org/officeDocument/2006/relationships/hyperlink" Target="comprovantes/Alimenta&#231;&#227;o-20260907T002627Z-1-001/Alimenta&#231;&#227;o/Compartilhar%20comprovante(1).png" TargetMode="External"/><Relationship Id="rId53" Type="http://schemas.openxmlformats.org/officeDocument/2006/relationships/hyperlink" Target="comprovantes/Alimenta&#231;&#227;o-20260907T002627Z-1-001/Alimenta&#231;&#227;o/Compartilhar%20comprovante(31).png" TargetMode="External"/><Relationship Id="rId74" Type="http://schemas.openxmlformats.org/officeDocument/2006/relationships/hyperlink" Target="comprovantes/Alimenta&#231;&#227;o-20260907T002627Z-1-001/Alimenta&#231;&#227;o/Compartilhar%20comprovante(10).png" TargetMode="External"/><Relationship Id="rId128" Type="http://schemas.openxmlformats.org/officeDocument/2006/relationships/hyperlink" Target="comprovantes/Transporte/Compartilhar%20comprovante(6).png" TargetMode="External"/><Relationship Id="rId149" Type="http://schemas.openxmlformats.org/officeDocument/2006/relationships/hyperlink" Target="comprovantes/Transporte/Compartilhar%20comprovante(28).png" TargetMode="External"/><Relationship Id="rId5" Type="http://schemas.openxmlformats.org/officeDocument/2006/relationships/hyperlink" Target="comprovantes/Alimenta&#231;&#227;o-20260907T002627Z-1-001/Alimenta&#231;&#227;o/Comprovante_20260826T200853499992.png" TargetMode="External"/><Relationship Id="rId95" Type="http://schemas.openxmlformats.org/officeDocument/2006/relationships/hyperlink" Target="comprovantes/Educa&#231;&#227;o/boleto-escola-abril.pdf" TargetMode="External"/><Relationship Id="rId160" Type="http://schemas.openxmlformats.org/officeDocument/2006/relationships/hyperlink" Target="comprovantes/Transporte/Compartilhar%20comprovante(40).png" TargetMode="External"/><Relationship Id="rId181" Type="http://schemas.openxmlformats.org/officeDocument/2006/relationships/hyperlink" Target="comprovantes/Transporte/Compartilhar%20comprovante(79).png" TargetMode="External"/><Relationship Id="rId216" Type="http://schemas.openxmlformats.org/officeDocument/2006/relationships/hyperlink" Target="comprovantes/Sa&#250;de/Compartilhar%20comprovante(19).png" TargetMode="External"/><Relationship Id="rId237" Type="http://schemas.openxmlformats.org/officeDocument/2006/relationships/hyperlink" Target="comprovantes/Sa&#250;de/Compartilhar%20comprovante(9).png" TargetMode="External"/><Relationship Id="rId258" Type="http://schemas.openxmlformats.org/officeDocument/2006/relationships/hyperlink" Target="comprovantes/Moradia/condom-jun.pdf" TargetMode="External"/><Relationship Id="rId279" Type="http://schemas.openxmlformats.org/officeDocument/2006/relationships/hyperlink" Target="comprovantes/Lazer%20e%20conviv&#234;ncia/Compartilhar%20comprovante(5).png" TargetMode="External"/><Relationship Id="rId22" Type="http://schemas.openxmlformats.org/officeDocument/2006/relationships/hyperlink" Target="comprovantes/Alimenta&#231;&#227;o-20260907T002627Z-1-001/Alimenta&#231;&#227;o/Comprovante_20260826T195513714083.png" TargetMode="External"/><Relationship Id="rId43" Type="http://schemas.openxmlformats.org/officeDocument/2006/relationships/hyperlink" Target="comprovantes/Alimenta&#231;&#227;o-20260907T002627Z-1-001/Alimenta&#231;&#227;o/Comprovante_20260826T193824568202.png" TargetMode="External"/><Relationship Id="rId64" Type="http://schemas.openxmlformats.org/officeDocument/2006/relationships/hyperlink" Target="comprovantes/Alimenta&#231;&#227;o-20260907T002627Z-1-001/Alimenta&#231;&#227;o/Compartilhar%20comprovante(20).png" TargetMode="External"/><Relationship Id="rId118" Type="http://schemas.openxmlformats.org/officeDocument/2006/relationships/hyperlink" Target="comprovantes/Transporte/Compartilhar%20comprovante(2).png" TargetMode="External"/><Relationship Id="rId139" Type="http://schemas.openxmlformats.org/officeDocument/2006/relationships/hyperlink" Target="comprovantes/Transporte/Compartilhar%20comprovante(18).png" TargetMode="External"/><Relationship Id="rId290" Type="http://schemas.openxmlformats.org/officeDocument/2006/relationships/hyperlink" Target="comprovantes/Lazer%20e%20conviv&#234;ncia/Compartilhar%20comprovante(25).png" TargetMode="External"/><Relationship Id="rId304" Type="http://schemas.openxmlformats.org/officeDocument/2006/relationships/hyperlink" Target="comprovantes/Comunica&#231;&#227;o%20e%20tecnologia/Fatura%20de%20maio.pdf" TargetMode="External"/><Relationship Id="rId85" Type="http://schemas.openxmlformats.org/officeDocument/2006/relationships/hyperlink" Target="comprovantes/Vestu&#225;rio%20e%20higiene/Compartilhar%20comprovante(2).png" TargetMode="External"/><Relationship Id="rId150" Type="http://schemas.openxmlformats.org/officeDocument/2006/relationships/hyperlink" Target="comprovantes/Transporte/Compartilhar%20comprovante(31).png" TargetMode="External"/><Relationship Id="rId171" Type="http://schemas.openxmlformats.org/officeDocument/2006/relationships/hyperlink" Target="comprovantes/Transporte/Compartilhar%20comprovante(87).png" TargetMode="External"/><Relationship Id="rId192" Type="http://schemas.openxmlformats.org/officeDocument/2006/relationships/hyperlink" Target="comprovantes/Transporte/Compartilhar%20comprovante(78).png" TargetMode="External"/><Relationship Id="rId206" Type="http://schemas.openxmlformats.org/officeDocument/2006/relationships/hyperlink" Target="comprovantes/Transporte/Compartilhar%20comprovante(67).png" TargetMode="External"/><Relationship Id="rId227" Type="http://schemas.openxmlformats.org/officeDocument/2006/relationships/hyperlink" Target="comprovantes/Sa&#250;de/Compartilhar%20comprovante(25).png" TargetMode="External"/><Relationship Id="rId248" Type="http://schemas.openxmlformats.org/officeDocument/2006/relationships/hyperlink" Target="comprovantes/Moradia/Boleto_internet-agosto.pdf" TargetMode="External"/><Relationship Id="rId269" Type="http://schemas.openxmlformats.org/officeDocument/2006/relationships/hyperlink" Target="comprovantes/Moradia/energia-eletrica-mar&#231;o.png" TargetMode="External"/><Relationship Id="rId12" Type="http://schemas.openxmlformats.org/officeDocument/2006/relationships/hyperlink" Target="comprovantes/Alimenta&#231;&#227;o-20260907T002627Z-1-001/Alimenta&#231;&#227;o/Compartilhar%20comprovante.png" TargetMode="External"/><Relationship Id="rId33" Type="http://schemas.openxmlformats.org/officeDocument/2006/relationships/hyperlink" Target="comprovantes/Alimenta&#231;&#227;o-20260907T002627Z-1-001/Alimenta&#231;&#227;o/Suplemento-DANFe.pdf" TargetMode="External"/><Relationship Id="rId108" Type="http://schemas.openxmlformats.org/officeDocument/2006/relationships/hyperlink" Target="comprovantes/Transporte/Compartilhar%20comprovante(100).png" TargetMode="External"/><Relationship Id="rId129" Type="http://schemas.openxmlformats.org/officeDocument/2006/relationships/hyperlink" Target="comprovantes/Transporte/Compartilhar%20comprovante(9).png" TargetMode="External"/><Relationship Id="rId280" Type="http://schemas.openxmlformats.org/officeDocument/2006/relationships/hyperlink" Target="comprovantes/Lazer%20e%20conviv&#234;ncia/Compartilhar%20comprovante(6).png" TargetMode="External"/><Relationship Id="rId54" Type="http://schemas.openxmlformats.org/officeDocument/2006/relationships/hyperlink" Target="comprovantes/Alimenta&#231;&#227;o-20260907T002627Z-1-001/Alimenta&#231;&#227;o/Compartilhar%20comprovante(30).png" TargetMode="External"/><Relationship Id="rId75" Type="http://schemas.openxmlformats.org/officeDocument/2006/relationships/hyperlink" Target="comprovantes/Alimenta&#231;&#227;o-20260907T002627Z-1-001/Alimenta&#231;&#227;o/Compartilhar%20comprovante(9).png" TargetMode="External"/><Relationship Id="rId96" Type="http://schemas.openxmlformats.org/officeDocument/2006/relationships/hyperlink" Target="comprovantes/Educa&#231;&#227;o/boleto-escola-mar&#231;o.pdf" TargetMode="External"/><Relationship Id="rId140" Type="http://schemas.openxmlformats.org/officeDocument/2006/relationships/hyperlink" Target="comprovantes/Transporte/Compartilhar%20comprovante(19).png" TargetMode="External"/><Relationship Id="rId161" Type="http://schemas.openxmlformats.org/officeDocument/2006/relationships/hyperlink" Target="comprovantes/Transporte/Compartilhar%20comprovante(39).png" TargetMode="External"/><Relationship Id="rId182" Type="http://schemas.openxmlformats.org/officeDocument/2006/relationships/hyperlink" Target="comprovantes/Transporte/Compartilhar%20comprovante(51).png" TargetMode="External"/><Relationship Id="rId217" Type="http://schemas.openxmlformats.org/officeDocument/2006/relationships/hyperlink" Target="comprovantes/Sa&#250;de/Compartilhar%20comprovante(20).png" TargetMode="External"/><Relationship Id="rId6" Type="http://schemas.openxmlformats.org/officeDocument/2006/relationships/hyperlink" Target="comprovantes/Alimenta&#231;&#227;o-20260907T002627Z-1-001/Alimenta&#231;&#227;o/Comprovante_20260826T200804190311.png" TargetMode="External"/><Relationship Id="rId238" Type="http://schemas.openxmlformats.org/officeDocument/2006/relationships/hyperlink" Target="comprovantes/Sa&#250;de/Compartilhar%20comprovante(8).png" TargetMode="External"/><Relationship Id="rId259" Type="http://schemas.openxmlformats.org/officeDocument/2006/relationships/hyperlink" Target="comprovantes/Moradia/Boleto_internet-maio14219370.pdf" TargetMode="External"/><Relationship Id="rId23" Type="http://schemas.openxmlformats.org/officeDocument/2006/relationships/hyperlink" Target="comprovantes/Alimenta&#231;&#227;o-20260907T002627Z-1-001/Alimenta&#231;&#227;o/Comprovante_20260826T195223397534.png" TargetMode="External"/><Relationship Id="rId119" Type="http://schemas.openxmlformats.org/officeDocument/2006/relationships/hyperlink" Target="comprovantes/Transporte/Compartilhar%20comprovante(112).png" TargetMode="External"/><Relationship Id="rId270" Type="http://schemas.openxmlformats.org/officeDocument/2006/relationships/hyperlink" Target="comprovantes/Moradia/IPTU.png" TargetMode="External"/><Relationship Id="rId291" Type="http://schemas.openxmlformats.org/officeDocument/2006/relationships/hyperlink" Target="comprovantes/Lazer%20e%20conviv&#234;ncia/Compartilhar%20comprovante(24).png" TargetMode="External"/><Relationship Id="rId305" Type="http://schemas.openxmlformats.org/officeDocument/2006/relationships/hyperlink" Target="comprovantes/Comunica&#231;&#227;o%20e%20tecnologia/Fatura%20de%20abril.pdf" TargetMode="External"/><Relationship Id="rId44" Type="http://schemas.openxmlformats.org/officeDocument/2006/relationships/hyperlink" Target="comprovantes/Alimenta&#231;&#227;o-20260907T002627Z-1-001/Alimenta&#231;&#227;o/Comprovante_20260826T193714916894.png" TargetMode="External"/><Relationship Id="rId65" Type="http://schemas.openxmlformats.org/officeDocument/2006/relationships/hyperlink" Target="comprovantes/Alimenta&#231;&#227;o-20260907T002627Z-1-001/Alimenta&#231;&#227;o/Compartilhar%20comprovante(19).png" TargetMode="External"/><Relationship Id="rId86" Type="http://schemas.openxmlformats.org/officeDocument/2006/relationships/hyperlink" Target="comprovantes/Vestu&#225;rio%20e%20higiene/Compartilhar%20comprovante(1).png" TargetMode="External"/><Relationship Id="rId130" Type="http://schemas.openxmlformats.org/officeDocument/2006/relationships/hyperlink" Target="comprovantes/Transporte/Compartilhar%20comprovante(124).png" TargetMode="External"/><Relationship Id="rId151" Type="http://schemas.openxmlformats.org/officeDocument/2006/relationships/hyperlink" Target="comprovantes/Transporte/Compartilhar%20comprovante(30).png" TargetMode="External"/><Relationship Id="rId172" Type="http://schemas.openxmlformats.org/officeDocument/2006/relationships/hyperlink" Target="comprovantes/Transporte/Compartilhar%20comprovante(48).png" TargetMode="External"/><Relationship Id="rId193" Type="http://schemas.openxmlformats.org/officeDocument/2006/relationships/hyperlink" Target="comprovantes/Transporte/Compartilhar%20comprovante(62).png" TargetMode="External"/><Relationship Id="rId207" Type="http://schemas.openxmlformats.org/officeDocument/2006/relationships/hyperlink" Target="comprovantes/Transporte/Compartilhar%20comprovante(66).png" TargetMode="External"/><Relationship Id="rId228" Type="http://schemas.openxmlformats.org/officeDocument/2006/relationships/hyperlink" Target="comprovantes/Sa&#250;de/Compartilhar%20comprovante(24).png" TargetMode="External"/><Relationship Id="rId249" Type="http://schemas.openxmlformats.org/officeDocument/2006/relationships/hyperlink" Target="comprovantes/Moradia/condom-agos.pdf" TargetMode="External"/><Relationship Id="rId13" Type="http://schemas.openxmlformats.org/officeDocument/2006/relationships/hyperlink" Target="comprovantes/Alimenta&#231;&#227;o-20260907T002627Z-1-001/Alimenta&#231;&#227;o/Comprovante_20260826T200252005392.png" TargetMode="External"/><Relationship Id="rId109" Type="http://schemas.openxmlformats.org/officeDocument/2006/relationships/hyperlink" Target="comprovantes/Transporte/Compartilhar%20comprovante(104).png" TargetMode="External"/><Relationship Id="rId260" Type="http://schemas.openxmlformats.org/officeDocument/2006/relationships/hyperlink" Target="comprovantes/Moradia/condom-maio.pdf" TargetMode="External"/><Relationship Id="rId281" Type="http://schemas.openxmlformats.org/officeDocument/2006/relationships/hyperlink" Target="comprovantes/Lazer%20e%20conviv&#234;ncia/Compartilhar%20comprovante(8).png" TargetMode="External"/><Relationship Id="rId34" Type="http://schemas.openxmlformats.org/officeDocument/2006/relationships/hyperlink" Target="comprovantes/Alimenta&#231;&#227;o-20260907T002627Z-1-001/Alimenta&#231;&#227;o/Comprovante_20260826T194507310346.png" TargetMode="External"/><Relationship Id="rId55" Type="http://schemas.openxmlformats.org/officeDocument/2006/relationships/hyperlink" Target="comprovantes/Alimenta&#231;&#227;o-20260907T002627Z-1-001/Alimenta&#231;&#227;o/Compartilhar%20comprovante(29).png" TargetMode="External"/><Relationship Id="rId76" Type="http://schemas.openxmlformats.org/officeDocument/2006/relationships/hyperlink" Target="comprovantes/Alimenta&#231;&#227;o-20260907T002627Z-1-001/Alimenta&#231;&#227;o/Compartilhar%20comprovante(8).png" TargetMode="External"/><Relationship Id="rId97" Type="http://schemas.openxmlformats.org/officeDocument/2006/relationships/hyperlink" Target="comprovantes/Transporte/Compartilhar%20comprovante(91).png" TargetMode="External"/><Relationship Id="rId120" Type="http://schemas.openxmlformats.org/officeDocument/2006/relationships/hyperlink" Target="comprovantes/Transporte/Compartilhar%20comprovante(111).png" TargetMode="External"/><Relationship Id="rId141" Type="http://schemas.openxmlformats.org/officeDocument/2006/relationships/hyperlink" Target="comprovantes/Transporte/Compartilhar%20comprovante(20).png" TargetMode="External"/><Relationship Id="rId7" Type="http://schemas.openxmlformats.org/officeDocument/2006/relationships/hyperlink" Target="comprovantes/Alimenta&#231;&#227;o-20260907T002627Z-1-001/Alimenta&#231;&#227;o/Comprovante_20260826T200740608352.png" TargetMode="External"/><Relationship Id="rId162" Type="http://schemas.openxmlformats.org/officeDocument/2006/relationships/hyperlink" Target="comprovantes/Transporte/Compartilhar%20comprovante(38).png" TargetMode="External"/><Relationship Id="rId183" Type="http://schemas.openxmlformats.org/officeDocument/2006/relationships/hyperlink" Target="comprovantes/Transporte/Compartilhar%20comprovante(50).png" TargetMode="External"/><Relationship Id="rId218" Type="http://schemas.openxmlformats.org/officeDocument/2006/relationships/hyperlink" Target="comprovantes/Sa&#250;de/dentista-07-07-2026.pdf" TargetMode="External"/><Relationship Id="rId239" Type="http://schemas.openxmlformats.org/officeDocument/2006/relationships/hyperlink" Target="comprovantes/Sa&#250;de/Compartilhar%20comprovante(7).png" TargetMode="External"/><Relationship Id="rId250" Type="http://schemas.openxmlformats.org/officeDocument/2006/relationships/hyperlink" Target="comprovantes/Moradia/agosto-Agua.pdf" TargetMode="External"/><Relationship Id="rId271" Type="http://schemas.openxmlformats.org/officeDocument/2006/relationships/hyperlink" Target="comprovantes/Moradia/abril-Agua.pdf" TargetMode="External"/><Relationship Id="rId292" Type="http://schemas.openxmlformats.org/officeDocument/2006/relationships/hyperlink" Target="comprovantes/Lazer%20e%20conviv&#234;ncia/Compartilhar%20comprovante(23).png" TargetMode="External"/><Relationship Id="rId306" Type="http://schemas.openxmlformats.org/officeDocument/2006/relationships/hyperlink" Target="comprovantes/Comunica&#231;&#227;o%20e%20tecnologia/celular-Gabriel-mar&#231;o.png" TargetMode="External"/><Relationship Id="rId24" Type="http://schemas.openxmlformats.org/officeDocument/2006/relationships/hyperlink" Target="comprovantes/Alimenta&#231;&#227;o-20260907T002627Z-1-001/Alimenta&#231;&#227;o/Comprovante_20260826T195145380654.png" TargetMode="External"/><Relationship Id="rId40" Type="http://schemas.openxmlformats.org/officeDocument/2006/relationships/hyperlink" Target="comprovantes/Alimenta&#231;&#227;o-20260907T002627Z-1-001/Alimenta&#231;&#227;o/Comprovante_20260826T194053712456.png" TargetMode="External"/><Relationship Id="rId45" Type="http://schemas.openxmlformats.org/officeDocument/2006/relationships/hyperlink" Target="comprovantes/Alimenta&#231;&#227;o-20260907T002627Z-1-001/Alimenta&#231;&#227;o/Comprovante_20260826T193655248497.png" TargetMode="External"/><Relationship Id="rId66" Type="http://schemas.openxmlformats.org/officeDocument/2006/relationships/hyperlink" Target="comprovantes/Alimenta&#231;&#227;o-20260907T002627Z-1-001/Alimenta&#231;&#227;o/Compartilhar%20comprovante(18).png" TargetMode="External"/><Relationship Id="rId87" Type="http://schemas.openxmlformats.org/officeDocument/2006/relationships/hyperlink" Target="comprovantes/Vestu&#225;rio%20e%20higiene/Compartilhar%20comprovante.png" TargetMode="External"/><Relationship Id="rId110" Type="http://schemas.openxmlformats.org/officeDocument/2006/relationships/hyperlink" Target="comprovantes/Transporte/Compartilhar%20comprovante(103).png" TargetMode="External"/><Relationship Id="rId115" Type="http://schemas.openxmlformats.org/officeDocument/2006/relationships/hyperlink" Target="comprovantes/Transporte/Compartilhar%20comprovante(109).png" TargetMode="External"/><Relationship Id="rId131" Type="http://schemas.openxmlformats.org/officeDocument/2006/relationships/hyperlink" Target="comprovantes/Transporte/Compartilhar%20comprovante(123).png" TargetMode="External"/><Relationship Id="rId136" Type="http://schemas.openxmlformats.org/officeDocument/2006/relationships/hyperlink" Target="comprovantes/Transporte/Compartilhar%20comprovante(17).png" TargetMode="External"/><Relationship Id="rId157" Type="http://schemas.openxmlformats.org/officeDocument/2006/relationships/hyperlink" Target="comprovantes/Transporte/Compartilhar%20comprovante(36).png" TargetMode="External"/><Relationship Id="rId178" Type="http://schemas.openxmlformats.org/officeDocument/2006/relationships/hyperlink" Target="comprovantes/Transporte/Compartilhar%20comprovante(81).png" TargetMode="External"/><Relationship Id="rId301" Type="http://schemas.openxmlformats.org/officeDocument/2006/relationships/hyperlink" Target="comprovantes/Lazer%20e%20conviv&#234;ncia/Compartilhar%20comprovante(18).png" TargetMode="External"/><Relationship Id="rId61" Type="http://schemas.openxmlformats.org/officeDocument/2006/relationships/hyperlink" Target="comprovantes/Alimenta&#231;&#227;o-20260907T002627Z-1-001/Alimenta&#231;&#227;o/Compartilhar%20comprovante(23).png" TargetMode="External"/><Relationship Id="rId82" Type="http://schemas.openxmlformats.org/officeDocument/2006/relationships/hyperlink" Target="comprovantes/Alimenta&#231;&#227;o-20260907T002627Z-1-001/Alimenta&#231;&#227;o/Compartilhar%20comprovante(2).png" TargetMode="External"/><Relationship Id="rId152" Type="http://schemas.openxmlformats.org/officeDocument/2006/relationships/hyperlink" Target="comprovantes/Transporte/Compartilhar%20comprovante(29).png" TargetMode="External"/><Relationship Id="rId173" Type="http://schemas.openxmlformats.org/officeDocument/2006/relationships/hyperlink" Target="comprovantes/Transporte/Compartilhar%20comprovante(86).png" TargetMode="External"/><Relationship Id="rId194" Type="http://schemas.openxmlformats.org/officeDocument/2006/relationships/hyperlink" Target="comprovantes/Transporte/Compartilhar%20comprovante(61).png" TargetMode="External"/><Relationship Id="rId199" Type="http://schemas.openxmlformats.org/officeDocument/2006/relationships/hyperlink" Target="comprovantes/Transporte/Compartilhar%20comprovante(74).png" TargetMode="External"/><Relationship Id="rId203" Type="http://schemas.openxmlformats.org/officeDocument/2006/relationships/hyperlink" Target="comprovantes/Transporte/Compartilhar%20comprovante(70).png" TargetMode="External"/><Relationship Id="rId208" Type="http://schemas.openxmlformats.org/officeDocument/2006/relationships/hyperlink" Target="comprovantes/Transporte/Compartilhar%20comprovante(65).png" TargetMode="External"/><Relationship Id="rId229" Type="http://schemas.openxmlformats.org/officeDocument/2006/relationships/hyperlink" Target="comprovantes/Sa&#250;de/Compartilhar%20comprovante(26).png" TargetMode="External"/><Relationship Id="rId19" Type="http://schemas.openxmlformats.org/officeDocument/2006/relationships/hyperlink" Target="comprovantes/Alimenta&#231;&#227;o-20260907T002627Z-1-001/Alimenta&#231;&#227;o/Comprovante_20260826T195711998580.png" TargetMode="External"/><Relationship Id="rId224" Type="http://schemas.openxmlformats.org/officeDocument/2006/relationships/hyperlink" Target="comprovantes/Sa&#250;de/Compartilhar%20comprovante(23).png" TargetMode="External"/><Relationship Id="rId240" Type="http://schemas.openxmlformats.org/officeDocument/2006/relationships/hyperlink" Target="comprovantes/Sa&#250;de/Compartilhar%20comprovante(6).png" TargetMode="External"/><Relationship Id="rId245" Type="http://schemas.openxmlformats.org/officeDocument/2006/relationships/hyperlink" Target="comprovantes/Sa&#250;de/Compartilhar%20comprovante.png" TargetMode="External"/><Relationship Id="rId261" Type="http://schemas.openxmlformats.org/officeDocument/2006/relationships/hyperlink" Target="comprovantes/Moradia/Boleto_internet-abril.pdf" TargetMode="External"/><Relationship Id="rId266" Type="http://schemas.openxmlformats.org/officeDocument/2006/relationships/hyperlink" Target="comprovantes/Moradia/maio-Agua.pdf" TargetMode="External"/><Relationship Id="rId287" Type="http://schemas.openxmlformats.org/officeDocument/2006/relationships/hyperlink" Target="comprovantes/Lazer%20e%20conviv&#234;ncia/Compartilhar%20comprovante(11).png" TargetMode="External"/><Relationship Id="rId14" Type="http://schemas.openxmlformats.org/officeDocument/2006/relationships/hyperlink" Target="comprovantes/Alimenta&#231;&#227;o-20260907T002627Z-1-001/Alimenta&#231;&#227;o/Comprovante_20260826T200016499128.png" TargetMode="External"/><Relationship Id="rId30" Type="http://schemas.openxmlformats.org/officeDocument/2006/relationships/hyperlink" Target="comprovantes/Alimenta&#231;&#227;o-20260907T002627Z-1-001/Alimenta&#231;&#227;o/Comprovante_20260826T194809321914.png" TargetMode="External"/><Relationship Id="rId35" Type="http://schemas.openxmlformats.org/officeDocument/2006/relationships/hyperlink" Target="comprovantes/Alimenta&#231;&#227;o-20260907T002627Z-1-001/Alimenta&#231;&#227;o/Comprovante_20260826T194440144240.png" TargetMode="External"/><Relationship Id="rId56" Type="http://schemas.openxmlformats.org/officeDocument/2006/relationships/hyperlink" Target="comprovantes/Alimenta&#231;&#227;o-20260907T002627Z-1-001/Alimenta&#231;&#227;o/Compartilhar%20comprovante(28).png" TargetMode="External"/><Relationship Id="rId77" Type="http://schemas.openxmlformats.org/officeDocument/2006/relationships/hyperlink" Target="comprovantes/Alimenta&#231;&#227;o-20260907T002627Z-1-001/Alimenta&#231;&#227;o/Compartilhar%20comprovante(7).png" TargetMode="External"/><Relationship Id="rId100" Type="http://schemas.openxmlformats.org/officeDocument/2006/relationships/hyperlink" Target="comprovantes/Transporte/Compartilhar%20comprovante(94).png" TargetMode="External"/><Relationship Id="rId105" Type="http://schemas.openxmlformats.org/officeDocument/2006/relationships/hyperlink" Target="comprovantes/Transporte/Compartilhar%20comprovante(96).png" TargetMode="External"/><Relationship Id="rId126" Type="http://schemas.openxmlformats.org/officeDocument/2006/relationships/hyperlink" Target="comprovantes/Transporte/Compartilhar%20comprovante(8).png" TargetMode="External"/><Relationship Id="rId147" Type="http://schemas.openxmlformats.org/officeDocument/2006/relationships/hyperlink" Target="comprovantes/Transporte/Compartilhar%20comprovante(27).png" TargetMode="External"/><Relationship Id="rId168" Type="http://schemas.openxmlformats.org/officeDocument/2006/relationships/hyperlink" Target="comprovantes/Transporte/Compartilhar%20comprovante(43).png" TargetMode="External"/><Relationship Id="rId282" Type="http://schemas.openxmlformats.org/officeDocument/2006/relationships/hyperlink" Target="comprovantes/Lazer%20e%20conviv&#234;ncia/Compartilhar%20comprovante(7).png" TargetMode="External"/><Relationship Id="rId8" Type="http://schemas.openxmlformats.org/officeDocument/2006/relationships/hyperlink" Target="comprovantes/Alimenta&#231;&#227;o-20260907T002627Z-1-001/Alimenta&#231;&#227;o/Comprovante_20260826T200546962468.png" TargetMode="External"/><Relationship Id="rId51" Type="http://schemas.openxmlformats.org/officeDocument/2006/relationships/hyperlink" Target="comprovantes/Alimenta&#231;&#227;o-20260907T002627Z-1-001/Alimenta&#231;&#227;o/Compartilhar%20comprovante(33).png" TargetMode="External"/><Relationship Id="rId72" Type="http://schemas.openxmlformats.org/officeDocument/2006/relationships/hyperlink" Target="comprovantes/Alimenta&#231;&#227;o-20260907T002627Z-1-001/Alimenta&#231;&#227;o/Compartilhar%20comprovante(12).png" TargetMode="External"/><Relationship Id="rId93" Type="http://schemas.openxmlformats.org/officeDocument/2006/relationships/hyperlink" Target="comprovantes/Educa&#231;&#227;o/boleto-escola-jun.pdf" TargetMode="External"/><Relationship Id="rId98" Type="http://schemas.openxmlformats.org/officeDocument/2006/relationships/hyperlink" Target="comprovantes/Transporte/Compartilhar%20comprovante(90).png" TargetMode="External"/><Relationship Id="rId121" Type="http://schemas.openxmlformats.org/officeDocument/2006/relationships/hyperlink" Target="comprovantes/Transporte/Compartilhar%20comprovante(110).png" TargetMode="External"/><Relationship Id="rId142" Type="http://schemas.openxmlformats.org/officeDocument/2006/relationships/hyperlink" Target="comprovantes/Transporte/Compartilhar%20comprovante(22).png" TargetMode="External"/><Relationship Id="rId163" Type="http://schemas.openxmlformats.org/officeDocument/2006/relationships/hyperlink" Target="comprovantes/Transporte/Compartilhar%20comprovante(37).png" TargetMode="External"/><Relationship Id="rId184" Type="http://schemas.openxmlformats.org/officeDocument/2006/relationships/hyperlink" Target="comprovantes/Transporte/Compartilhar%20comprovante(52).png" TargetMode="External"/><Relationship Id="rId189" Type="http://schemas.openxmlformats.org/officeDocument/2006/relationships/hyperlink" Target="comprovantes/Transporte/Compartilhar%20comprovante(59).png" TargetMode="External"/><Relationship Id="rId219" Type="http://schemas.openxmlformats.org/officeDocument/2006/relationships/hyperlink" Target="comprovantes/Sa&#250;de/Compartilhar%20comprovante(31).png" TargetMode="External"/><Relationship Id="rId3" Type="http://schemas.openxmlformats.org/officeDocument/2006/relationships/hyperlink" Target="comprovantes/Alimenta&#231;&#227;o-20260907T002627Z-1-001/Alimenta&#231;&#227;o/Comprovante_20260826T200956598141.png" TargetMode="External"/><Relationship Id="rId214" Type="http://schemas.openxmlformats.org/officeDocument/2006/relationships/hyperlink" Target="comprovantes/Sa&#250;de/Compartilhar%20comprovante(17).png" TargetMode="External"/><Relationship Id="rId230" Type="http://schemas.openxmlformats.org/officeDocument/2006/relationships/hyperlink" Target="comprovantes/Sa&#250;de/Compartilhar%20comprovante(27).png" TargetMode="External"/><Relationship Id="rId235" Type="http://schemas.openxmlformats.org/officeDocument/2006/relationships/hyperlink" Target="comprovantes/Sa&#250;de/Compartilhar%20comprovante(11).png" TargetMode="External"/><Relationship Id="rId251" Type="http://schemas.openxmlformats.org/officeDocument/2006/relationships/hyperlink" Target="comprovantes/Moradia/energia-el&#233;trica-jun.pdf" TargetMode="External"/><Relationship Id="rId256" Type="http://schemas.openxmlformats.org/officeDocument/2006/relationships/hyperlink" Target="comprovantes/Moradia/Boleto_internet-jun-14219370.pdf" TargetMode="External"/><Relationship Id="rId277" Type="http://schemas.openxmlformats.org/officeDocument/2006/relationships/hyperlink" Target="comprovantes/Lazer%20e%20conviv&#234;ncia/Compartilhar%20comprovante(3).png" TargetMode="External"/><Relationship Id="rId298" Type="http://schemas.openxmlformats.org/officeDocument/2006/relationships/hyperlink" Target="comprovantes/Lazer%20e%20conviv&#234;ncia/Compartilhar%20comprovante(21).png" TargetMode="External"/><Relationship Id="rId25" Type="http://schemas.openxmlformats.org/officeDocument/2006/relationships/hyperlink" Target="comprovantes/Alimenta&#231;&#227;o-20260907T002627Z-1-001/Alimenta&#231;&#227;o/Comprovante_20260826T195110725864.png" TargetMode="External"/><Relationship Id="rId46" Type="http://schemas.openxmlformats.org/officeDocument/2006/relationships/hyperlink" Target="comprovantes/Alimenta&#231;&#227;o-20260907T002627Z-1-001/Alimenta&#231;&#227;o/Compartilhar%20comprovante(38).png" TargetMode="External"/><Relationship Id="rId67" Type="http://schemas.openxmlformats.org/officeDocument/2006/relationships/hyperlink" Target="comprovantes/Alimenta&#231;&#227;o-20260907T002627Z-1-001/Alimenta&#231;&#227;o/Compartilhar%20comprovante(17).png" TargetMode="External"/><Relationship Id="rId116" Type="http://schemas.openxmlformats.org/officeDocument/2006/relationships/hyperlink" Target="comprovantes/Transporte/Compartilhar%20comprovante(108).png" TargetMode="External"/><Relationship Id="rId137" Type="http://schemas.openxmlformats.org/officeDocument/2006/relationships/hyperlink" Target="comprovantes/Transporte/Compartilhar%20comprovante(16).png" TargetMode="External"/><Relationship Id="rId158" Type="http://schemas.openxmlformats.org/officeDocument/2006/relationships/hyperlink" Target="comprovantes/Transporte/Compartilhar%20comprovante(35).png" TargetMode="External"/><Relationship Id="rId272" Type="http://schemas.openxmlformats.org/officeDocument/2006/relationships/hyperlink" Target="comprovantes/Lazer%20e%20conviv&#234;ncia/Compartilhar%20comprovante.png" TargetMode="External"/><Relationship Id="rId293" Type="http://schemas.openxmlformats.org/officeDocument/2006/relationships/hyperlink" Target="comprovantes/Lazer%20e%20conviv&#234;ncia/Compartilhar%20comprovante(13).png" TargetMode="External"/><Relationship Id="rId302" Type="http://schemas.openxmlformats.org/officeDocument/2006/relationships/hyperlink" Target="comprovantes/Lazer%20e%20conviv&#234;ncia/Compartilhar%20comprovante(19).png" TargetMode="External"/><Relationship Id="rId307" Type="http://schemas.openxmlformats.org/officeDocument/2006/relationships/drawing" Target="../drawings/drawing1.xml"/><Relationship Id="rId20" Type="http://schemas.openxmlformats.org/officeDocument/2006/relationships/hyperlink" Target="comprovantes/Alimenta&#231;&#227;o-20260907T002627Z-1-001/Alimenta&#231;&#227;o/Comprovante_20260826T195641242081.png" TargetMode="External"/><Relationship Id="rId41" Type="http://schemas.openxmlformats.org/officeDocument/2006/relationships/hyperlink" Target="comprovantes/Alimenta&#231;&#227;o-20260907T002627Z-1-001/Alimenta&#231;&#227;o/Comprovante_20260826T194006153884.png" TargetMode="External"/><Relationship Id="rId62" Type="http://schemas.openxmlformats.org/officeDocument/2006/relationships/hyperlink" Target="comprovantes/Alimenta&#231;&#227;o-20260907T002627Z-1-001/Alimenta&#231;&#227;o/Compartilhar%20comprovante(22).png" TargetMode="External"/><Relationship Id="rId83" Type="http://schemas.openxmlformats.org/officeDocument/2006/relationships/hyperlink" Target="comprovantes/Vestu&#225;rio%20e%20higiene/Compartilhar%20comprovante(3).png" TargetMode="External"/><Relationship Id="rId88" Type="http://schemas.openxmlformats.org/officeDocument/2006/relationships/hyperlink" Target="comprovantes/Vestu&#225;rio%20e%20higiene/Compartilhar%20comprovante(5).png" TargetMode="External"/><Relationship Id="rId111" Type="http://schemas.openxmlformats.org/officeDocument/2006/relationships/hyperlink" Target="comprovantes/Transporte/Compartilhar%20comprovante(102).png" TargetMode="External"/><Relationship Id="rId132" Type="http://schemas.openxmlformats.org/officeDocument/2006/relationships/hyperlink" Target="comprovantes/Transporte/Compartilhar%20comprovante(125).png" TargetMode="External"/><Relationship Id="rId153" Type="http://schemas.openxmlformats.org/officeDocument/2006/relationships/hyperlink" Target="comprovantes/Transporte/Compartilhar%20comprovante(89).png" TargetMode="External"/><Relationship Id="rId174" Type="http://schemas.openxmlformats.org/officeDocument/2006/relationships/hyperlink" Target="comprovantes/Transporte/Compartilhar%20comprovante(85).png" TargetMode="External"/><Relationship Id="rId179" Type="http://schemas.openxmlformats.org/officeDocument/2006/relationships/hyperlink" Target="comprovantes/Transporte/Compartilhar%20comprovante(49).png" TargetMode="External"/><Relationship Id="rId195" Type="http://schemas.openxmlformats.org/officeDocument/2006/relationships/hyperlink" Target="comprovantes/Transporte/Compartilhar%20comprovante(60).png" TargetMode="External"/><Relationship Id="rId209" Type="http://schemas.openxmlformats.org/officeDocument/2006/relationships/hyperlink" Target="comprovantes/Transporte/Compartilhar%20comprovante(64).png" TargetMode="External"/><Relationship Id="rId190" Type="http://schemas.openxmlformats.org/officeDocument/2006/relationships/hyperlink" Target="comprovantes/Transporte/Compartilhar%20comprovante(58).png" TargetMode="External"/><Relationship Id="rId204" Type="http://schemas.openxmlformats.org/officeDocument/2006/relationships/hyperlink" Target="comprovantes/Transporte/Compartilhar%20comprovante(69).png" TargetMode="External"/><Relationship Id="rId220" Type="http://schemas.openxmlformats.org/officeDocument/2006/relationships/hyperlink" Target="comprovantes/Sa&#250;de/dentista-16-06-2026.pdf" TargetMode="External"/><Relationship Id="rId225" Type="http://schemas.openxmlformats.org/officeDocument/2006/relationships/hyperlink" Target="comprovantes/Sa&#250;de/Compartilhar%20comprovante(1).png" TargetMode="External"/><Relationship Id="rId241" Type="http://schemas.openxmlformats.org/officeDocument/2006/relationships/hyperlink" Target="comprovantes/Sa&#250;de/Compartilhar%20comprovante(5).png" TargetMode="External"/><Relationship Id="rId246" Type="http://schemas.openxmlformats.org/officeDocument/2006/relationships/hyperlink" Target="comprovantes/Sa&#250;de/Compartilhar%20comprovante(2).png" TargetMode="External"/><Relationship Id="rId267" Type="http://schemas.openxmlformats.org/officeDocument/2006/relationships/hyperlink" Target="comprovantes/Moradia/Boleto_internet-mar&#231;o.pdf" TargetMode="External"/><Relationship Id="rId288" Type="http://schemas.openxmlformats.org/officeDocument/2006/relationships/hyperlink" Target="comprovantes/Lazer%20e%20conviv&#234;ncia/Compartilhar%20comprovante(26).png" TargetMode="External"/><Relationship Id="rId15" Type="http://schemas.openxmlformats.org/officeDocument/2006/relationships/hyperlink" Target="comprovantes/Alimenta&#231;&#227;o-20260907T002627Z-1-001/Alimenta&#231;&#227;o/Comprovante_20260826T195939820470.png" TargetMode="External"/><Relationship Id="rId36" Type="http://schemas.openxmlformats.org/officeDocument/2006/relationships/hyperlink" Target="comprovantes/Alimenta&#231;&#227;o-20260907T002627Z-1-001/Alimenta&#231;&#227;o/Comprovante_20260826T194357797366.png" TargetMode="External"/><Relationship Id="rId57" Type="http://schemas.openxmlformats.org/officeDocument/2006/relationships/hyperlink" Target="comprovantes/Alimenta&#231;&#227;o-20260907T002627Z-1-001/Alimenta&#231;&#227;o/Compartilhar%20comprovante(27).png" TargetMode="External"/><Relationship Id="rId106" Type="http://schemas.openxmlformats.org/officeDocument/2006/relationships/hyperlink" Target="comprovantes/Transporte/Compartilhar%20comprovante(99).png" TargetMode="External"/><Relationship Id="rId127" Type="http://schemas.openxmlformats.org/officeDocument/2006/relationships/hyperlink" Target="comprovantes/Transporte/Compartilhar%20comprovante(7).png" TargetMode="External"/><Relationship Id="rId262" Type="http://schemas.openxmlformats.org/officeDocument/2006/relationships/hyperlink" Target="comprovantes/Moradia/energia-eletrica-abril.pdf" TargetMode="External"/><Relationship Id="rId283" Type="http://schemas.openxmlformats.org/officeDocument/2006/relationships/hyperlink" Target="comprovantes/Lazer%20e%20conviv&#234;ncia/Compartilhar%20comprovante(9).png" TargetMode="External"/><Relationship Id="rId10" Type="http://schemas.openxmlformats.org/officeDocument/2006/relationships/hyperlink" Target="comprovantes/Alimenta&#231;&#227;o-20260907T002627Z-1-001/Alimenta&#231;&#227;o/Comprovante_20260826T200400897125.png" TargetMode="External"/><Relationship Id="rId31" Type="http://schemas.openxmlformats.org/officeDocument/2006/relationships/hyperlink" Target="comprovantes/Alimenta&#231;&#227;o-20260907T002627Z-1-001/Alimenta&#231;&#227;o/Comprovante_20260826T194635222102.png" TargetMode="External"/><Relationship Id="rId52" Type="http://schemas.openxmlformats.org/officeDocument/2006/relationships/hyperlink" Target="comprovantes/Alimenta&#231;&#227;o-20260907T002627Z-1-001/Alimenta&#231;&#227;o/Compartilhar%20comprovante(32).png" TargetMode="External"/><Relationship Id="rId73" Type="http://schemas.openxmlformats.org/officeDocument/2006/relationships/hyperlink" Target="comprovantes/Alimenta&#231;&#227;o-20260907T002627Z-1-001/Alimenta&#231;&#227;o/Compartilhar%20comprovante(11).png" TargetMode="External"/><Relationship Id="rId78" Type="http://schemas.openxmlformats.org/officeDocument/2006/relationships/hyperlink" Target="comprovantes/Alimenta&#231;&#227;o-20260907T002627Z-1-001/Alimenta&#231;&#227;o/Compartilhar%20comprovante(6).png" TargetMode="External"/><Relationship Id="rId94" Type="http://schemas.openxmlformats.org/officeDocument/2006/relationships/hyperlink" Target="comprovantes/Educa&#231;&#227;o/boleto-escola-maio.pdf" TargetMode="External"/><Relationship Id="rId99" Type="http://schemas.openxmlformats.org/officeDocument/2006/relationships/hyperlink" Target="comprovantes/Transporte/Compartilhar%20comprovante(95).png" TargetMode="External"/><Relationship Id="rId101" Type="http://schemas.openxmlformats.org/officeDocument/2006/relationships/hyperlink" Target="comprovantes/Transporte/Compartilhar%20comprovante(93).png" TargetMode="External"/><Relationship Id="rId122" Type="http://schemas.openxmlformats.org/officeDocument/2006/relationships/hyperlink" Target="comprovantes/Transporte/Compartilhar%20comprovante(3).png" TargetMode="External"/><Relationship Id="rId143" Type="http://schemas.openxmlformats.org/officeDocument/2006/relationships/hyperlink" Target="comprovantes/Transporte/Compartilhar%20comprovante(21).png" TargetMode="External"/><Relationship Id="rId148" Type="http://schemas.openxmlformats.org/officeDocument/2006/relationships/hyperlink" Target="comprovantes/Transporte/Compartilhar%20comprovante(26).png" TargetMode="External"/><Relationship Id="rId164" Type="http://schemas.openxmlformats.org/officeDocument/2006/relationships/hyperlink" Target="comprovantes/Transporte/Compartilhar%20comprovante(42).png" TargetMode="External"/><Relationship Id="rId169" Type="http://schemas.openxmlformats.org/officeDocument/2006/relationships/hyperlink" Target="comprovantes/Transporte/Compartilhar%20comprovante(47).png" TargetMode="External"/><Relationship Id="rId185" Type="http://schemas.openxmlformats.org/officeDocument/2006/relationships/hyperlink" Target="comprovantes/Transporte/Compartilhar%20comprovante(56).png" TargetMode="External"/><Relationship Id="rId4" Type="http://schemas.openxmlformats.org/officeDocument/2006/relationships/hyperlink" Target="comprovantes/Alimenta&#231;&#227;o-20260907T002627Z-1-001/Alimenta&#231;&#227;o/Comprovante_20260826T200934982533.png" TargetMode="External"/><Relationship Id="rId9" Type="http://schemas.openxmlformats.org/officeDocument/2006/relationships/hyperlink" Target="comprovantes/Alimenta&#231;&#227;o-20260907T002627Z-1-001/Alimenta&#231;&#227;o/Comprovante_20260826T200439311001.png" TargetMode="External"/><Relationship Id="rId180" Type="http://schemas.openxmlformats.org/officeDocument/2006/relationships/hyperlink" Target="comprovantes/Transporte/Compartilhar%20comprovante(80).png" TargetMode="External"/><Relationship Id="rId210" Type="http://schemas.openxmlformats.org/officeDocument/2006/relationships/hyperlink" Target="comprovantes/Transporte/Compartilhar%20comprovante(63).png" TargetMode="External"/><Relationship Id="rId215" Type="http://schemas.openxmlformats.org/officeDocument/2006/relationships/hyperlink" Target="comprovantes/Sa&#250;de/Compartilhar%20comprovante(18).png" TargetMode="External"/><Relationship Id="rId236" Type="http://schemas.openxmlformats.org/officeDocument/2006/relationships/hyperlink" Target="comprovantes/Sa&#250;de/Compartilhar%20comprovante(10).png" TargetMode="External"/><Relationship Id="rId257" Type="http://schemas.openxmlformats.org/officeDocument/2006/relationships/hyperlink" Target="comprovantes/Moradia/energia-el&#233;trica-maio.pdf" TargetMode="External"/><Relationship Id="rId278" Type="http://schemas.openxmlformats.org/officeDocument/2006/relationships/hyperlink" Target="comprovantes/Lazer%20e%20conviv&#234;ncia/Compartilhar%20comprovante(4).png" TargetMode="External"/><Relationship Id="rId26" Type="http://schemas.openxmlformats.org/officeDocument/2006/relationships/hyperlink" Target="comprovantes/Alimenta&#231;&#227;o-20260907T002627Z-1-001/Alimenta&#231;&#227;o/Comprovante_20260826T195043442736.png" TargetMode="External"/><Relationship Id="rId231" Type="http://schemas.openxmlformats.org/officeDocument/2006/relationships/hyperlink" Target="comprovantes/Sa&#250;de/Compartilhar%20comprovante(14).png" TargetMode="External"/><Relationship Id="rId252" Type="http://schemas.openxmlformats.org/officeDocument/2006/relationships/hyperlink" Target="comprovantes/Moradia/Boleto_internet-jul-14219370.pdf" TargetMode="External"/><Relationship Id="rId273" Type="http://schemas.openxmlformats.org/officeDocument/2006/relationships/hyperlink" Target="comprovantes/Lazer%20e%20conviv&#234;ncia/Compartilhar%20comprovante(31).png" TargetMode="External"/><Relationship Id="rId294" Type="http://schemas.openxmlformats.org/officeDocument/2006/relationships/hyperlink" Target="comprovantes/Lazer%20e%20conviv&#234;ncia/Compartilhar%20comprovante(14).png" TargetMode="External"/><Relationship Id="rId47" Type="http://schemas.openxmlformats.org/officeDocument/2006/relationships/hyperlink" Target="comprovantes/Alimenta&#231;&#227;o-20260907T002627Z-1-001/Alimenta&#231;&#227;o/Compartilhar%20comprovante(37).png" TargetMode="External"/><Relationship Id="rId68" Type="http://schemas.openxmlformats.org/officeDocument/2006/relationships/hyperlink" Target="comprovantes/Alimenta&#231;&#227;o-20260907T002627Z-1-001/Alimenta&#231;&#227;o/Compartilhar%20comprovante(15).png" TargetMode="External"/><Relationship Id="rId89" Type="http://schemas.openxmlformats.org/officeDocument/2006/relationships/hyperlink" Target="comprovantes/Vestu&#225;rio%20e%20higiene/Compartilhar%20comprovante(4).png" TargetMode="External"/><Relationship Id="rId112" Type="http://schemas.openxmlformats.org/officeDocument/2006/relationships/hyperlink" Target="comprovantes/Transporte/Compartilhar%20comprovante(107).png" TargetMode="External"/><Relationship Id="rId133" Type="http://schemas.openxmlformats.org/officeDocument/2006/relationships/hyperlink" Target="comprovantes/Transporte/Compartilhar%20comprovante(13).png" TargetMode="External"/><Relationship Id="rId154" Type="http://schemas.openxmlformats.org/officeDocument/2006/relationships/hyperlink" Target="comprovantes/Transporte/Compartilhar%20comprovante(33).png" TargetMode="External"/><Relationship Id="rId175" Type="http://schemas.openxmlformats.org/officeDocument/2006/relationships/hyperlink" Target="comprovantes/Transporte/Compartilhar%20comprovante(84).png" TargetMode="External"/><Relationship Id="rId196" Type="http://schemas.openxmlformats.org/officeDocument/2006/relationships/hyperlink" Target="comprovantes/Transporte/Compartilhar%20comprovante(77).png" TargetMode="External"/><Relationship Id="rId200" Type="http://schemas.openxmlformats.org/officeDocument/2006/relationships/hyperlink" Target="comprovantes/Transporte/Compartilhar%20comprovante(73).png" TargetMode="External"/><Relationship Id="rId16" Type="http://schemas.openxmlformats.org/officeDocument/2006/relationships/hyperlink" Target="comprovantes/Alimenta&#231;&#227;o-20260907T002627Z-1-001/Alimenta&#231;&#227;o/Comprovante_20260826T195832614537.png" TargetMode="External"/><Relationship Id="rId221" Type="http://schemas.openxmlformats.org/officeDocument/2006/relationships/hyperlink" Target="comprovantes/Sa&#250;de/Compartilhar%20comprovante(21).png" TargetMode="External"/><Relationship Id="rId242" Type="http://schemas.openxmlformats.org/officeDocument/2006/relationships/hyperlink" Target="comprovantes/Sa&#250;de/Compartilhar%20comprovante(4).png" TargetMode="External"/><Relationship Id="rId263" Type="http://schemas.openxmlformats.org/officeDocument/2006/relationships/hyperlink" Target="comprovantes/Moradia/condom-abril.pdf" TargetMode="External"/><Relationship Id="rId284" Type="http://schemas.openxmlformats.org/officeDocument/2006/relationships/hyperlink" Target="comprovantes/Lazer%20e%20conviv&#234;ncia/Compartilhar%20comprovante(39).png" TargetMode="External"/><Relationship Id="rId37" Type="http://schemas.openxmlformats.org/officeDocument/2006/relationships/hyperlink" Target="comprovantes/Alimenta&#231;&#227;o-20260907T002627Z-1-001/Alimenta&#231;&#227;o/Comprovante_20260826T194244529300.png" TargetMode="External"/><Relationship Id="rId58" Type="http://schemas.openxmlformats.org/officeDocument/2006/relationships/hyperlink" Target="comprovantes/Alimenta&#231;&#227;o-20260907T002627Z-1-001/Alimenta&#231;&#227;o/Compartilhar%20comprovante(26).png" TargetMode="External"/><Relationship Id="rId79" Type="http://schemas.openxmlformats.org/officeDocument/2006/relationships/hyperlink" Target="comprovantes/Alimenta&#231;&#227;o-20260907T002627Z-1-001/Alimenta&#231;&#227;o/Compartilhar%20comprovante(5).png" TargetMode="External"/><Relationship Id="rId102" Type="http://schemas.openxmlformats.org/officeDocument/2006/relationships/hyperlink" Target="comprovantes/Transporte/Compartilhar%20comprovante(92).png" TargetMode="External"/><Relationship Id="rId123" Type="http://schemas.openxmlformats.org/officeDocument/2006/relationships/hyperlink" Target="comprovantes/Transporte/Compartilhar%20comprovante(115).png" TargetMode="External"/><Relationship Id="rId144" Type="http://schemas.openxmlformats.org/officeDocument/2006/relationships/hyperlink" Target="comprovantes/Transporte/Compartilhar%20comprovante(23).png" TargetMode="External"/><Relationship Id="rId90" Type="http://schemas.openxmlformats.org/officeDocument/2006/relationships/hyperlink" Target="comprovantes/Educa&#231;&#227;o/livros-educa&#231;&#227;o-musica.pdf" TargetMode="External"/><Relationship Id="rId165" Type="http://schemas.openxmlformats.org/officeDocument/2006/relationships/hyperlink" Target="comprovantes/Transporte/Compartilhar%20comprovante(41).png" TargetMode="External"/><Relationship Id="rId186" Type="http://schemas.openxmlformats.org/officeDocument/2006/relationships/hyperlink" Target="comprovantes/Transporte/Compartilhar%20comprovante(55).png" TargetMode="External"/><Relationship Id="rId211" Type="http://schemas.openxmlformats.org/officeDocument/2006/relationships/hyperlink" Target="comprovantes/Sa&#250;de/pscicologo-setembro-comprovante.jpg" TargetMode="External"/><Relationship Id="rId232" Type="http://schemas.openxmlformats.org/officeDocument/2006/relationships/hyperlink" Target="comprovantes/Sa&#250;de/Compartilhar%20comprovante(15).png" TargetMode="External"/><Relationship Id="rId253" Type="http://schemas.openxmlformats.org/officeDocument/2006/relationships/hyperlink" Target="comprovantes/Moradia/condom-jul.pdf" TargetMode="External"/><Relationship Id="rId274" Type="http://schemas.openxmlformats.org/officeDocument/2006/relationships/hyperlink" Target="comprovantes/Lazer%20e%20conviv&#234;ncia/Compartilhar%20comprovante(32).png" TargetMode="External"/><Relationship Id="rId295" Type="http://schemas.openxmlformats.org/officeDocument/2006/relationships/hyperlink" Target="comprovantes/Lazer%20e%20conviv&#234;ncia/Compartilhar%20comprovante(22).png" TargetMode="External"/><Relationship Id="rId27" Type="http://schemas.openxmlformats.org/officeDocument/2006/relationships/hyperlink" Target="comprovantes/Alimenta&#231;&#227;o-20260907T002627Z-1-001/Alimenta&#231;&#227;o/Comprovante_20260826T195000481746.png" TargetMode="External"/><Relationship Id="rId48" Type="http://schemas.openxmlformats.org/officeDocument/2006/relationships/hyperlink" Target="comprovantes/Alimenta&#231;&#227;o-20260907T002627Z-1-001/Alimenta&#231;&#227;o/Compartilhar%20comprovante(36).png" TargetMode="External"/><Relationship Id="rId69" Type="http://schemas.openxmlformats.org/officeDocument/2006/relationships/hyperlink" Target="comprovantes/Alimenta&#231;&#227;o-20260907T002627Z-1-001/Alimenta&#231;&#227;o/Compartilhar%20comprovante(16).png" TargetMode="External"/><Relationship Id="rId113" Type="http://schemas.openxmlformats.org/officeDocument/2006/relationships/hyperlink" Target="comprovantes/Transporte/Compartilhar%20comprovante(106).png" TargetMode="External"/><Relationship Id="rId134" Type="http://schemas.openxmlformats.org/officeDocument/2006/relationships/hyperlink" Target="comprovantes/Transporte/Compartilhar%20comprovante(14).png" TargetMode="External"/><Relationship Id="rId80" Type="http://schemas.openxmlformats.org/officeDocument/2006/relationships/hyperlink" Target="comprovantes/Alimenta&#231;&#227;o-20260907T002627Z-1-001/Alimenta&#231;&#227;o/Compartilhar%20comprovante(4).png" TargetMode="External"/><Relationship Id="rId155" Type="http://schemas.openxmlformats.org/officeDocument/2006/relationships/hyperlink" Target="comprovantes/Transporte/Compartilhar%20comprovante(32).png" TargetMode="External"/><Relationship Id="rId176" Type="http://schemas.openxmlformats.org/officeDocument/2006/relationships/hyperlink" Target="comprovantes/Transporte/Compartilhar%20comprovante(83).png" TargetMode="External"/><Relationship Id="rId197" Type="http://schemas.openxmlformats.org/officeDocument/2006/relationships/hyperlink" Target="comprovantes/Transporte/Compartilhar%20comprovante(76).png" TargetMode="External"/><Relationship Id="rId201" Type="http://schemas.openxmlformats.org/officeDocument/2006/relationships/hyperlink" Target="comprovantes/Transporte/Compartilhar%20comprovante(72).png" TargetMode="External"/><Relationship Id="rId222" Type="http://schemas.openxmlformats.org/officeDocument/2006/relationships/hyperlink" Target="comprovantes/Sa&#250;de/Compartilhar%20comprovante(22).png" TargetMode="External"/><Relationship Id="rId243" Type="http://schemas.openxmlformats.org/officeDocument/2006/relationships/hyperlink" Target="comprovantes/Sa&#250;de/Compartilhar%20comprovante(3).png" TargetMode="External"/><Relationship Id="rId264" Type="http://schemas.openxmlformats.org/officeDocument/2006/relationships/hyperlink" Target="comprovantes/Moradia/g&#225;s-mai.png" TargetMode="External"/><Relationship Id="rId285" Type="http://schemas.openxmlformats.org/officeDocument/2006/relationships/hyperlink" Target="comprovantes/Lazer%20e%20conviv&#234;ncia/Compartilhar%20comprovante(28).png" TargetMode="External"/><Relationship Id="rId17" Type="http://schemas.openxmlformats.org/officeDocument/2006/relationships/hyperlink" Target="comprovantes/Alimenta&#231;&#227;o-20260907T002627Z-1-001/Alimenta&#231;&#227;o/Comprovante_20260826T195814500332.png" TargetMode="External"/><Relationship Id="rId38" Type="http://schemas.openxmlformats.org/officeDocument/2006/relationships/hyperlink" Target="comprovantes/Alimenta&#231;&#227;o-20260907T002627Z-1-001/Alimenta&#231;&#227;o/Comprovante_20260826T194214969763.png" TargetMode="External"/><Relationship Id="rId59" Type="http://schemas.openxmlformats.org/officeDocument/2006/relationships/hyperlink" Target="comprovantes/Alimenta&#231;&#227;o-20260907T002627Z-1-001/Alimenta&#231;&#227;o/Compartilhar%20comprovante(25).png" TargetMode="External"/><Relationship Id="rId103" Type="http://schemas.openxmlformats.org/officeDocument/2006/relationships/hyperlink" Target="comprovantes/Transporte/Compartilhar%20comprovante(98).png" TargetMode="External"/><Relationship Id="rId124" Type="http://schemas.openxmlformats.org/officeDocument/2006/relationships/hyperlink" Target="comprovantes/Transporte/Compartilhar%20comprovante(5).png" TargetMode="External"/><Relationship Id="rId70" Type="http://schemas.openxmlformats.org/officeDocument/2006/relationships/hyperlink" Target="comprovantes/Alimenta&#231;&#227;o-20260907T002627Z-1-001/Alimenta&#231;&#227;o/Compartilhar%20comprovante(14).png" TargetMode="External"/><Relationship Id="rId91" Type="http://schemas.openxmlformats.org/officeDocument/2006/relationships/hyperlink" Target="comprovantes/Educa&#231;&#227;o/boleto-escola-julho.pdf" TargetMode="External"/><Relationship Id="rId145" Type="http://schemas.openxmlformats.org/officeDocument/2006/relationships/hyperlink" Target="comprovantes/Transporte/Compartilhar%20comprovante(25).png" TargetMode="External"/><Relationship Id="rId166" Type="http://schemas.openxmlformats.org/officeDocument/2006/relationships/hyperlink" Target="comprovantes/Transporte/Compartilhar%20comprovante(45).png" TargetMode="External"/><Relationship Id="rId187" Type="http://schemas.openxmlformats.org/officeDocument/2006/relationships/hyperlink" Target="comprovantes/Transporte/Compartilhar%20comprovante(54).png" TargetMode="External"/><Relationship Id="rId1" Type="http://schemas.openxmlformats.org/officeDocument/2006/relationships/hyperlink" Target="comprovantes/Alimenta&#231;&#227;o-20260907T002627Z-1-001/Alimenta&#231;&#227;o/Comprovante_20260826T201157067199.png" TargetMode="External"/><Relationship Id="rId212" Type="http://schemas.openxmlformats.org/officeDocument/2006/relationships/hyperlink" Target="comprovantes/Sa&#250;de/dentista-06-08-2026.pdf" TargetMode="External"/><Relationship Id="rId233" Type="http://schemas.openxmlformats.org/officeDocument/2006/relationships/hyperlink" Target="comprovantes/Sa&#250;de/Compartilhar%20comprovante(13).png" TargetMode="External"/><Relationship Id="rId254" Type="http://schemas.openxmlformats.org/officeDocument/2006/relationships/hyperlink" Target="comprovantes/Moradia/julho-Agua%20(1).pdf" TargetMode="External"/><Relationship Id="rId28" Type="http://schemas.openxmlformats.org/officeDocument/2006/relationships/hyperlink" Target="comprovantes/Alimenta&#231;&#227;o-20260907T002627Z-1-001/Alimenta&#231;&#227;o/Comprovante_20260826T194925668730.png" TargetMode="External"/><Relationship Id="rId49" Type="http://schemas.openxmlformats.org/officeDocument/2006/relationships/hyperlink" Target="comprovantes/Alimenta&#231;&#227;o-20260907T002627Z-1-001/Alimenta&#231;&#227;o/Compartilhar%20comprovante(35).png" TargetMode="External"/><Relationship Id="rId114" Type="http://schemas.openxmlformats.org/officeDocument/2006/relationships/hyperlink" Target="comprovantes/Transporte/Compartilhar%20comprovante(105).png" TargetMode="External"/><Relationship Id="rId275" Type="http://schemas.openxmlformats.org/officeDocument/2006/relationships/hyperlink" Target="comprovantes/Lazer%20e%20conviv&#234;ncia/Compartilhar%20comprovante(33).png" TargetMode="External"/><Relationship Id="rId296" Type="http://schemas.openxmlformats.org/officeDocument/2006/relationships/hyperlink" Target="comprovantes/Lazer%20e%20conviv&#234;ncia/Compartilhar%20comprovante(16).png" TargetMode="External"/><Relationship Id="rId300" Type="http://schemas.openxmlformats.org/officeDocument/2006/relationships/hyperlink" Target="comprovantes/Lazer%20e%20conviv&#234;ncia/Compartilhar%20comprovante(17).png" TargetMode="External"/><Relationship Id="rId60" Type="http://schemas.openxmlformats.org/officeDocument/2006/relationships/hyperlink" Target="comprovantes/Alimenta&#231;&#227;o-20260907T002627Z-1-001/Alimenta&#231;&#227;o/Compartilhar%20comprovante(24).png" TargetMode="External"/><Relationship Id="rId81" Type="http://schemas.openxmlformats.org/officeDocument/2006/relationships/hyperlink" Target="comprovantes/Alimenta&#231;&#227;o-20260907T002627Z-1-001/Alimenta&#231;&#227;o/Compartilhar%20comprovante(3).png" TargetMode="External"/><Relationship Id="rId135" Type="http://schemas.openxmlformats.org/officeDocument/2006/relationships/hyperlink" Target="comprovantes/Transporte/Compartilhar%20comprovante(127).png" TargetMode="External"/><Relationship Id="rId156" Type="http://schemas.openxmlformats.org/officeDocument/2006/relationships/hyperlink" Target="comprovantes/Transporte/Compartilhar%20comprovante(88).png" TargetMode="External"/><Relationship Id="rId177" Type="http://schemas.openxmlformats.org/officeDocument/2006/relationships/hyperlink" Target="comprovantes/Transporte/Compartilhar%20comprovante(82).png" TargetMode="External"/><Relationship Id="rId198" Type="http://schemas.openxmlformats.org/officeDocument/2006/relationships/hyperlink" Target="comprovantes/Transporte/Compartilhar%20comprovante(75).png" TargetMode="External"/><Relationship Id="rId202" Type="http://schemas.openxmlformats.org/officeDocument/2006/relationships/hyperlink" Target="comprovantes/Transporte/Compartilhar%20comprovante(71).png" TargetMode="External"/><Relationship Id="rId223" Type="http://schemas.openxmlformats.org/officeDocument/2006/relationships/hyperlink" Target="comprovantes/Sa&#250;de/Compartilhar%20comprovante(28).png" TargetMode="External"/><Relationship Id="rId244" Type="http://schemas.openxmlformats.org/officeDocument/2006/relationships/hyperlink" Target="comprovantes/Sa&#250;de/psic&#243;logo-mar&#231;o-comprovante.png" TargetMode="External"/><Relationship Id="rId18" Type="http://schemas.openxmlformats.org/officeDocument/2006/relationships/hyperlink" Target="comprovantes/Alimenta&#231;&#227;o-20260907T002627Z-1-001/Alimenta&#231;&#227;o/Comprovante_20260826T195747769005.png" TargetMode="External"/><Relationship Id="rId39" Type="http://schemas.openxmlformats.org/officeDocument/2006/relationships/hyperlink" Target="comprovantes/Alimenta&#231;&#227;o-20260907T002627Z-1-001/Alimenta&#231;&#227;o/Comprovante_20260826T194129900746.png" TargetMode="External"/><Relationship Id="rId265" Type="http://schemas.openxmlformats.org/officeDocument/2006/relationships/hyperlink" Target="comprovantes/Moradia/G&#225;s%20abril.png" TargetMode="External"/><Relationship Id="rId286" Type="http://schemas.openxmlformats.org/officeDocument/2006/relationships/hyperlink" Target="comprovantes/Lazer%20e%20conviv&#234;ncia/Compartilhar%20comprovante(27).png" TargetMode="External"/><Relationship Id="rId50" Type="http://schemas.openxmlformats.org/officeDocument/2006/relationships/hyperlink" Target="comprovantes/Alimenta&#231;&#227;o-20260907T002627Z-1-001/Alimenta&#231;&#227;o/Compartilhar%20comprovante(34).png" TargetMode="External"/><Relationship Id="rId104" Type="http://schemas.openxmlformats.org/officeDocument/2006/relationships/hyperlink" Target="comprovantes/Transporte/Compartilhar%20comprovante(97).png" TargetMode="External"/><Relationship Id="rId125" Type="http://schemas.openxmlformats.org/officeDocument/2006/relationships/hyperlink" Target="comprovantes/Transporte/Compartilhar%20comprovante(4).png" TargetMode="External"/><Relationship Id="rId146" Type="http://schemas.openxmlformats.org/officeDocument/2006/relationships/hyperlink" Target="comprovantes/Transporte/Compartilhar%20comprovante(24).png" TargetMode="External"/><Relationship Id="rId167" Type="http://schemas.openxmlformats.org/officeDocument/2006/relationships/hyperlink" Target="comprovantes/Transporte/Compartilhar%20comprovante(44).png" TargetMode="External"/><Relationship Id="rId188" Type="http://schemas.openxmlformats.org/officeDocument/2006/relationships/hyperlink" Target="comprovantes/Transporte/Compartilhar%20comprovante(53).png" TargetMode="External"/><Relationship Id="rId71" Type="http://schemas.openxmlformats.org/officeDocument/2006/relationships/hyperlink" Target="comprovantes/Alimenta&#231;&#227;o-20260907T002627Z-1-001/Alimenta&#231;&#227;o/Compartilhar%20comprovante(13).png" TargetMode="External"/><Relationship Id="rId92" Type="http://schemas.openxmlformats.org/officeDocument/2006/relationships/hyperlink" Target="comprovantes/Educa&#231;&#227;o/BoletoENEM.pdf" TargetMode="External"/><Relationship Id="rId213" Type="http://schemas.openxmlformats.org/officeDocument/2006/relationships/hyperlink" Target="comprovantes/Sa&#250;de/Compartilhar%20comprovante(30).png" TargetMode="External"/><Relationship Id="rId234" Type="http://schemas.openxmlformats.org/officeDocument/2006/relationships/hyperlink" Target="comprovantes/Sa&#250;de/Compartilhar%20comprovante(12).png" TargetMode="External"/><Relationship Id="rId2" Type="http://schemas.openxmlformats.org/officeDocument/2006/relationships/hyperlink" Target="comprovantes/Alimenta&#231;&#227;o-20260907T002627Z-1-001/Alimenta&#231;&#227;o/Comprovante_20260826T201132377486.png" TargetMode="External"/><Relationship Id="rId29" Type="http://schemas.openxmlformats.org/officeDocument/2006/relationships/hyperlink" Target="comprovantes/Alimenta&#231;&#227;o-20260907T002627Z-1-001/Alimenta&#231;&#227;o/Comprovante_20260826T194845576728.png" TargetMode="External"/><Relationship Id="rId255" Type="http://schemas.openxmlformats.org/officeDocument/2006/relationships/hyperlink" Target="comprovantes/Moradia/g&#225;s-jul.png" TargetMode="External"/><Relationship Id="rId276" Type="http://schemas.openxmlformats.org/officeDocument/2006/relationships/hyperlink" Target="comprovantes/Lazer%20e%20conviv&#234;ncia/Compartilhar%20comprovante(30).png" TargetMode="External"/><Relationship Id="rId297" Type="http://schemas.openxmlformats.org/officeDocument/2006/relationships/hyperlink" Target="comprovantes/Lazer%20e%20conviv&#234;ncia/Compartilhar%20comprovante(15).png"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8" Type="http://schemas.openxmlformats.org/officeDocument/2006/relationships/hyperlink" Target="comprovantes/Lazer%20e%20conviv&#234;ncia/Compartilhar%20comprovante(1).png" TargetMode="External"/><Relationship Id="rId13" Type="http://schemas.openxmlformats.org/officeDocument/2006/relationships/hyperlink" Target="comprovantes/Transporte/Compartilhar%20comprovante(132).png" TargetMode="External"/><Relationship Id="rId18" Type="http://schemas.openxmlformats.org/officeDocument/2006/relationships/hyperlink" Target="comprovantes/Transporte/Compartilhar%20comprovante(126).png" TargetMode="External"/><Relationship Id="rId26" Type="http://schemas.openxmlformats.org/officeDocument/2006/relationships/hyperlink" Target="comprovantes/Transporte/Compartilhar%20comprovante(117).png" TargetMode="External"/><Relationship Id="rId3" Type="http://schemas.openxmlformats.org/officeDocument/2006/relationships/hyperlink" Target="comprovantes/Lazer%20e%20conviv&#234;ncia/Compartilhar%20comprovante(37).png" TargetMode="External"/><Relationship Id="rId21" Type="http://schemas.openxmlformats.org/officeDocument/2006/relationships/hyperlink" Target="comprovantes/Transporte/Compartilhar%20comprovante(11).png" TargetMode="External"/><Relationship Id="rId34" Type="http://schemas.openxmlformats.org/officeDocument/2006/relationships/hyperlink" Target="comprovantes/Educa&#231;&#227;o/violino-maio-Comprovante.png" TargetMode="External"/><Relationship Id="rId7" Type="http://schemas.openxmlformats.org/officeDocument/2006/relationships/hyperlink" Target="comprovantes/Lazer%20e%20conviv&#234;ncia/Compartilhar%20comprovante(2).png" TargetMode="External"/><Relationship Id="rId12" Type="http://schemas.openxmlformats.org/officeDocument/2006/relationships/hyperlink" Target="comprovantes/Transporte/Compartilhar%20comprovante(133).png" TargetMode="External"/><Relationship Id="rId17" Type="http://schemas.openxmlformats.org/officeDocument/2006/relationships/hyperlink" Target="comprovantes/Transporte/Compartilhar%20comprovante(128).png" TargetMode="External"/><Relationship Id="rId25" Type="http://schemas.openxmlformats.org/officeDocument/2006/relationships/hyperlink" Target="comprovantes/Transporte/Compartilhar%20comprovante(121).png" TargetMode="External"/><Relationship Id="rId33" Type="http://schemas.openxmlformats.org/officeDocument/2006/relationships/hyperlink" Target="comprovantes/Educa&#231;&#227;o/violino-abril-comprovante.png" TargetMode="External"/><Relationship Id="rId38" Type="http://schemas.openxmlformats.org/officeDocument/2006/relationships/hyperlink" Target="comprovantes/Educa&#231;&#227;o%09eoria-musical-agosto.jpg" TargetMode="External"/><Relationship Id="rId2" Type="http://schemas.openxmlformats.org/officeDocument/2006/relationships/hyperlink" Target="comprovantes/Lazer%20e%20conviv&#234;ncia/Compartilhar%20comprovante(38).png" TargetMode="External"/><Relationship Id="rId16" Type="http://schemas.openxmlformats.org/officeDocument/2006/relationships/hyperlink" Target="comprovantes/Transporte/Compartilhar%20comprovante(131).png" TargetMode="External"/><Relationship Id="rId20" Type="http://schemas.openxmlformats.org/officeDocument/2006/relationships/hyperlink" Target="comprovantes/Transporte/Compartilhar%20comprovante(10).png" TargetMode="External"/><Relationship Id="rId29" Type="http://schemas.openxmlformats.org/officeDocument/2006/relationships/hyperlink" Target="comprovantes/Transporte/Compartilhar%20comprovante(116).png" TargetMode="External"/><Relationship Id="rId1" Type="http://schemas.openxmlformats.org/officeDocument/2006/relationships/hyperlink" Target="comprovantes/Lazer%20e%20conviv&#234;ncia/Compartilhar%20comprovante(10).png" TargetMode="External"/><Relationship Id="rId6" Type="http://schemas.openxmlformats.org/officeDocument/2006/relationships/hyperlink" Target="comprovantes/Lazer%20e%20conviv&#234;ncia/Compartilhar%20comprovante(34).png" TargetMode="External"/><Relationship Id="rId11" Type="http://schemas.openxmlformats.org/officeDocument/2006/relationships/hyperlink" Target="comprovantes/Moradia/faxina-julho.png" TargetMode="External"/><Relationship Id="rId24" Type="http://schemas.openxmlformats.org/officeDocument/2006/relationships/hyperlink" Target="comprovantes/Transporte/Compartilhar%20comprovante(120).png" TargetMode="External"/><Relationship Id="rId32" Type="http://schemas.openxmlformats.org/officeDocument/2006/relationships/hyperlink" Target="comprovantes/Educa&#231;&#227;o/violino-mar&#231;o-comprovante.png" TargetMode="External"/><Relationship Id="rId37" Type="http://schemas.openxmlformats.org/officeDocument/2006/relationships/hyperlink" Target="comprovantes/Educa&#231;&#227;o/violino-julho-%20comprovante.png" TargetMode="External"/><Relationship Id="rId5" Type="http://schemas.openxmlformats.org/officeDocument/2006/relationships/hyperlink" Target="comprovantes/Lazer%20e%20conviv&#234;ncia/Compartilhar%20comprovante(35).png" TargetMode="External"/><Relationship Id="rId15" Type="http://schemas.openxmlformats.org/officeDocument/2006/relationships/hyperlink" Target="comprovantes/Transporte/Compartilhar%20comprovante(130).png" TargetMode="External"/><Relationship Id="rId23" Type="http://schemas.openxmlformats.org/officeDocument/2006/relationships/hyperlink" Target="comprovantes/Transporte/Compartilhar%20comprovante(119).png" TargetMode="External"/><Relationship Id="rId28" Type="http://schemas.openxmlformats.org/officeDocument/2006/relationships/hyperlink" Target="comprovantes/Transporte/Compartilhar%20comprovante(1).png" TargetMode="External"/><Relationship Id="rId36" Type="http://schemas.openxmlformats.org/officeDocument/2006/relationships/hyperlink" Target="comprovantes/Educa&#231;&#227;o%09eoria-musical-junho.jpg" TargetMode="External"/><Relationship Id="rId10" Type="http://schemas.openxmlformats.org/officeDocument/2006/relationships/hyperlink" Target="comprovantes/Moradia/energia-el&#233;trica-jul.pdf" TargetMode="External"/><Relationship Id="rId19" Type="http://schemas.openxmlformats.org/officeDocument/2006/relationships/hyperlink" Target="comprovantes/Transporte/Compartilhar%20comprovante(12).png" TargetMode="External"/><Relationship Id="rId31" Type="http://schemas.openxmlformats.org/officeDocument/2006/relationships/hyperlink" Target="comprovantes/Transporte/Compartilhar%20comprovante(114).png" TargetMode="External"/><Relationship Id="rId4" Type="http://schemas.openxmlformats.org/officeDocument/2006/relationships/hyperlink" Target="comprovantes/Lazer%20e%20conviv&#234;ncia/Compartilhar%20comprovante(36).png" TargetMode="External"/><Relationship Id="rId9" Type="http://schemas.openxmlformats.org/officeDocument/2006/relationships/hyperlink" Target="comprovantes/Moradia/faxina-mar&#231;o.png" TargetMode="External"/><Relationship Id="rId14" Type="http://schemas.openxmlformats.org/officeDocument/2006/relationships/hyperlink" Target="comprovantes/Transporte/Compartilhar%20comprovante(129).png" TargetMode="External"/><Relationship Id="rId22" Type="http://schemas.openxmlformats.org/officeDocument/2006/relationships/hyperlink" Target="comprovantes/Transporte/Compartilhar%20comprovante(122).png" TargetMode="External"/><Relationship Id="rId27" Type="http://schemas.openxmlformats.org/officeDocument/2006/relationships/hyperlink" Target="comprovantes/Transporte/Compartilhar%20comprovante(118).png" TargetMode="External"/><Relationship Id="rId30" Type="http://schemas.openxmlformats.org/officeDocument/2006/relationships/hyperlink" Target="comprovantes/Transporte/Compartilhar%20comprovante(113).png" TargetMode="External"/><Relationship Id="rId35" Type="http://schemas.openxmlformats.org/officeDocument/2006/relationships/hyperlink" Target="comprovantes/Educa&#231;&#227;o/violinho-junho-comprovante.png"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rgb="FF60A5FA"/>
  </sheetPr>
  <dimension ref="A1:BA221"/>
  <sheetViews>
    <sheetView showGridLines="0" showRowColHeaders="0" tabSelected="1" zoomScaleNormal="100" workbookViewId="0">
      <pane xSplit="2" ySplit="4" topLeftCell="C5" activePane="bottomRight" state="frozenSplit"/>
      <selection pane="topRight" activeCell="C1" sqref="C1"/>
      <selection pane="bottomLeft" activeCell="A5" sqref="A5"/>
      <selection pane="bottomRight" activeCell="C5" sqref="C5"/>
    </sheetView>
  </sheetViews>
  <sheetFormatPr defaultColWidth="0" defaultRowHeight="14.25" x14ac:dyDescent="0.25"/>
  <cols>
    <col min="1" max="1" width="50.42578125" style="67" bestFit="1" customWidth="1"/>
    <col min="2" max="2" width="48.85546875" style="67" bestFit="1" customWidth="1"/>
    <col min="3" max="3" width="9.140625" style="68" bestFit="1" customWidth="1"/>
    <col min="4" max="4" width="4" style="68" bestFit="1" customWidth="1"/>
    <col min="5" max="7" width="10.5703125" style="68" bestFit="1" customWidth="1"/>
    <col min="8" max="8" width="9.140625" style="68" bestFit="1" customWidth="1"/>
    <col min="9" max="9" width="10.5703125" style="68" bestFit="1" customWidth="1"/>
    <col min="10" max="11" width="9.140625" style="68" bestFit="1" customWidth="1"/>
    <col min="12" max="12" width="4.28515625" style="68" bestFit="1" customWidth="1"/>
    <col min="13" max="13" width="9.140625" style="68" bestFit="1" customWidth="1"/>
    <col min="14" max="14" width="4.28515625" style="68" bestFit="1" customWidth="1"/>
    <col min="15" max="15" width="11.5703125" style="68" bestFit="1" customWidth="1"/>
    <col min="16" max="16" width="10.85546875" style="68" bestFit="1" customWidth="1"/>
    <col min="17" max="17" width="11.85546875" style="68" bestFit="1" customWidth="1"/>
    <col min="18" max="18" width="11" style="68" bestFit="1" customWidth="1"/>
    <col min="19" max="19" width="20.85546875" style="68" bestFit="1" customWidth="1"/>
    <col min="20" max="20" width="19.5703125" style="68" bestFit="1" customWidth="1"/>
    <col min="21" max="21" width="12.85546875" style="68" bestFit="1" customWidth="1"/>
    <col min="22" max="22" width="58.7109375" style="68" customWidth="1"/>
    <col min="23" max="23" width="28.7109375" style="68" customWidth="1"/>
    <col min="24" max="52" width="9.140625" style="68" hidden="1" customWidth="1"/>
    <col min="53" max="53" width="13" style="68" hidden="1" customWidth="1"/>
    <col min="54" max="16384" width="0" style="68" hidden="1"/>
  </cols>
  <sheetData>
    <row r="1" spans="1:52" x14ac:dyDescent="0.25">
      <c r="A1" s="69" t="s">
        <v>0</v>
      </c>
      <c r="B1" s="69"/>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row>
    <row r="2" spans="1:52" x14ac:dyDescent="0.25">
      <c r="A2" s="69"/>
      <c r="B2" s="69"/>
      <c r="C2" s="70"/>
      <c r="D2" s="70"/>
      <c r="E2" s="70"/>
      <c r="F2" s="70"/>
      <c r="G2" s="70"/>
      <c r="H2" s="70"/>
      <c r="I2" s="70"/>
      <c r="J2" s="70"/>
      <c r="K2" s="70"/>
      <c r="L2" s="70"/>
      <c r="M2" s="70"/>
      <c r="N2" s="70"/>
      <c r="O2" s="70"/>
      <c r="P2" s="70"/>
      <c r="Q2" s="70"/>
      <c r="R2" s="70"/>
      <c r="S2" s="70"/>
      <c r="T2" s="70"/>
      <c r="U2" s="70"/>
      <c r="V2" s="70"/>
      <c r="W2" s="70"/>
      <c r="X2" s="70"/>
      <c r="Y2" s="70"/>
      <c r="Z2" s="70"/>
      <c r="AA2" s="70"/>
      <c r="AB2" s="70"/>
      <c r="AC2" s="70"/>
      <c r="AD2" s="70"/>
      <c r="AE2" s="70"/>
      <c r="AF2" s="70"/>
      <c r="AG2" s="70"/>
      <c r="AH2" s="70"/>
      <c r="AI2" s="70"/>
      <c r="AJ2" s="70"/>
      <c r="AK2" s="70"/>
      <c r="AL2" s="70"/>
      <c r="AM2" s="70"/>
      <c r="AN2" s="70"/>
      <c r="AO2" s="70"/>
      <c r="AP2" s="70"/>
      <c r="AQ2" s="70"/>
      <c r="AR2" s="70"/>
      <c r="AS2" s="70"/>
      <c r="AT2" s="70"/>
      <c r="AU2" s="70"/>
      <c r="AV2" s="70"/>
      <c r="AW2" s="70"/>
      <c r="AX2" s="70"/>
      <c r="AY2" s="70"/>
      <c r="AZ2" s="70"/>
    </row>
    <row r="3" spans="1:52" x14ac:dyDescent="0.25">
      <c r="A3" s="69"/>
      <c r="B3" s="69"/>
      <c r="C3" s="70"/>
      <c r="D3" s="70"/>
      <c r="E3" s="70"/>
      <c r="F3" s="70"/>
      <c r="G3" s="70"/>
      <c r="H3" s="70"/>
      <c r="I3" s="70"/>
      <c r="J3" s="70"/>
      <c r="K3" s="70"/>
      <c r="L3" s="70"/>
      <c r="M3" s="70"/>
      <c r="N3" s="70"/>
      <c r="O3" s="70"/>
      <c r="P3" s="70"/>
      <c r="Q3" s="70"/>
      <c r="R3" s="70"/>
      <c r="S3" s="70"/>
      <c r="T3" s="70"/>
      <c r="U3" s="70"/>
      <c r="V3" s="70"/>
      <c r="W3" s="70"/>
      <c r="X3" s="70"/>
      <c r="Y3" s="70"/>
      <c r="Z3" s="70"/>
      <c r="AA3" s="70"/>
      <c r="AB3" s="70"/>
      <c r="AC3" s="70"/>
      <c r="AD3" s="70"/>
      <c r="AE3" s="70"/>
      <c r="AF3" s="70"/>
      <c r="AG3" s="70"/>
      <c r="AH3" s="70"/>
      <c r="AI3" s="70"/>
      <c r="AJ3" s="70"/>
      <c r="AK3" s="70"/>
      <c r="AL3" s="70"/>
      <c r="AM3" s="70"/>
      <c r="AN3" s="70"/>
      <c r="AO3" s="70"/>
      <c r="AP3" s="70"/>
      <c r="AQ3" s="70"/>
      <c r="AR3" s="70"/>
      <c r="AS3" s="70"/>
      <c r="AT3" s="70"/>
      <c r="AU3" s="70"/>
      <c r="AV3" s="70"/>
      <c r="AW3" s="70"/>
      <c r="AX3" s="70"/>
      <c r="AY3" s="70"/>
      <c r="AZ3" s="70"/>
    </row>
    <row r="4" spans="1:52" ht="45" customHeight="1" x14ac:dyDescent="0.25">
      <c r="A4" s="28" t="s">
        <v>1</v>
      </c>
      <c r="B4" s="30" t="s">
        <v>2</v>
      </c>
      <c r="C4" s="28" t="s">
        <v>3</v>
      </c>
      <c r="D4" s="28" t="s">
        <v>4</v>
      </c>
      <c r="E4" s="28" t="s">
        <v>5</v>
      </c>
      <c r="F4" s="28" t="s">
        <v>6</v>
      </c>
      <c r="G4" s="28" t="s">
        <v>7</v>
      </c>
      <c r="H4" s="28" t="s">
        <v>8</v>
      </c>
      <c r="I4" s="28" t="s">
        <v>9</v>
      </c>
      <c r="J4" s="28" t="s">
        <v>10</v>
      </c>
      <c r="K4" s="28" t="s">
        <v>11</v>
      </c>
      <c r="L4" s="28" t="s">
        <v>12</v>
      </c>
      <c r="M4" s="28" t="s">
        <v>13</v>
      </c>
      <c r="N4" s="28" t="s">
        <v>14</v>
      </c>
      <c r="O4" s="28" t="s">
        <v>15</v>
      </c>
      <c r="P4" s="28" t="s">
        <v>16</v>
      </c>
      <c r="Q4" s="28" t="s">
        <v>17</v>
      </c>
      <c r="R4" s="29" t="s">
        <v>18</v>
      </c>
      <c r="S4" s="29" t="s">
        <v>19</v>
      </c>
      <c r="T4" s="29" t="s">
        <v>20</v>
      </c>
      <c r="U4" s="29" t="s">
        <v>21</v>
      </c>
      <c r="V4" s="29" t="s">
        <v>22</v>
      </c>
      <c r="W4" s="29"/>
      <c r="X4" s="70"/>
      <c r="Y4" s="70"/>
      <c r="Z4" s="70"/>
      <c r="AA4" s="70"/>
      <c r="AB4" s="70"/>
      <c r="AC4" s="70"/>
      <c r="AD4" s="70"/>
      <c r="AE4" s="70"/>
      <c r="AF4" s="70"/>
      <c r="AG4" s="70"/>
      <c r="AH4" s="70"/>
      <c r="AI4" s="70"/>
      <c r="AJ4" s="70"/>
      <c r="AK4" s="70"/>
      <c r="AL4" s="70"/>
      <c r="AM4" s="70"/>
      <c r="AN4" s="70"/>
      <c r="AO4" s="70"/>
      <c r="AP4" s="70"/>
      <c r="AQ4" s="70"/>
      <c r="AR4" s="70"/>
      <c r="AS4" s="70"/>
      <c r="AT4" s="70"/>
      <c r="AU4" s="70"/>
      <c r="AV4" s="70"/>
      <c r="AW4" s="70"/>
      <c r="AX4" s="70"/>
      <c r="AY4" s="70"/>
      <c r="AZ4" s="70"/>
    </row>
    <row r="5" spans="1:52" ht="15.75" customHeight="1" x14ac:dyDescent="0.25">
      <c r="A5" s="5" t="s">
        <v>23</v>
      </c>
      <c r="B5" s="5" t="s">
        <v>24</v>
      </c>
      <c r="C5" s="211"/>
      <c r="D5" s="211"/>
      <c r="E5" s="211">
        <v>242.75</v>
      </c>
      <c r="F5" s="211">
        <v>109.99</v>
      </c>
      <c r="G5" s="211"/>
      <c r="H5" s="211"/>
      <c r="I5" s="211"/>
      <c r="J5" s="211"/>
      <c r="K5" s="211"/>
      <c r="L5" s="211"/>
      <c r="M5" s="211"/>
      <c r="N5" s="211"/>
      <c r="O5" s="211"/>
      <c r="P5" s="211">
        <f t="shared" ref="P5:P36" si="0">IF(OR(A5&lt;&gt;"",B5&lt;&gt;""),(SUM(C5:N5)+O5)/12,"")</f>
        <v>29.395</v>
      </c>
      <c r="Q5" s="211">
        <f t="shared" ref="Q5:Q36" si="1">IF(OR(A5&lt;&gt;"",B5&lt;&gt;""),SUM(C5:N5)+O5,"")</f>
        <v>352.74</v>
      </c>
      <c r="R5" s="6" t="s">
        <v>25</v>
      </c>
      <c r="S5" s="211">
        <f t="shared" ref="S5:S36" si="2">IF(OR(A5&lt;&gt;"",B5&lt;&gt;""),IF(R5="Sim",Q5/2,Q5),"")</f>
        <v>176.37</v>
      </c>
      <c r="T5" s="211">
        <f t="shared" ref="T5:T36" si="3">IF(OR(A5&lt;&gt;"",B5&lt;&gt;""),IF(R5="Sim",P5/2,P5),"")</f>
        <v>14.6975</v>
      </c>
      <c r="U5" s="157" t="s">
        <v>26</v>
      </c>
      <c r="V5" s="158" t="s">
        <v>27</v>
      </c>
      <c r="W5" s="5"/>
      <c r="X5" s="70"/>
      <c r="Y5" s="70"/>
      <c r="Z5" s="70"/>
      <c r="AA5" s="70"/>
      <c r="AB5" s="70"/>
      <c r="AC5" s="70"/>
      <c r="AD5" s="70"/>
      <c r="AE5" s="70"/>
      <c r="AF5" s="70"/>
      <c r="AG5" s="70"/>
      <c r="AH5" s="70"/>
      <c r="AI5" s="70"/>
      <c r="AJ5" s="70"/>
      <c r="AK5" s="70"/>
      <c r="AL5" s="70"/>
      <c r="AM5" s="70"/>
      <c r="AN5" s="70"/>
      <c r="AO5" s="70"/>
      <c r="AP5" s="70"/>
      <c r="AQ5" s="70"/>
      <c r="AR5" s="70"/>
      <c r="AS5" s="70"/>
      <c r="AT5" s="70"/>
      <c r="AU5" s="70"/>
      <c r="AV5" s="70"/>
      <c r="AW5" s="70"/>
      <c r="AX5" s="70"/>
      <c r="AY5" s="70"/>
      <c r="AZ5" s="70"/>
    </row>
    <row r="6" spans="1:52" ht="15.75" customHeight="1" x14ac:dyDescent="0.25">
      <c r="A6" s="7" t="s">
        <v>23</v>
      </c>
      <c r="B6" s="7" t="s">
        <v>28</v>
      </c>
      <c r="C6" s="212"/>
      <c r="D6" s="212"/>
      <c r="E6" s="212">
        <v>596.04</v>
      </c>
      <c r="F6" s="212">
        <v>596.04</v>
      </c>
      <c r="G6" s="212">
        <v>596.04</v>
      </c>
      <c r="H6" s="212">
        <v>596.04</v>
      </c>
      <c r="I6" s="212">
        <v>660</v>
      </c>
      <c r="J6" s="212">
        <v>660</v>
      </c>
      <c r="K6" s="212"/>
      <c r="L6" s="212"/>
      <c r="M6" s="212"/>
      <c r="N6" s="212"/>
      <c r="O6" s="212"/>
      <c r="P6" s="212">
        <f t="shared" si="0"/>
        <v>308.68</v>
      </c>
      <c r="Q6" s="213">
        <f t="shared" si="1"/>
        <v>3704.16</v>
      </c>
      <c r="R6" s="8" t="s">
        <v>25</v>
      </c>
      <c r="S6" s="212">
        <f t="shared" si="2"/>
        <v>1852.08</v>
      </c>
      <c r="T6" s="212">
        <f t="shared" si="3"/>
        <v>154.34</v>
      </c>
      <c r="U6" s="159" t="s">
        <v>26</v>
      </c>
      <c r="V6" s="160" t="s">
        <v>29</v>
      </c>
      <c r="W6" s="7"/>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row>
    <row r="7" spans="1:52" ht="15.75" customHeight="1" x14ac:dyDescent="0.25">
      <c r="A7" s="7" t="s">
        <v>23</v>
      </c>
      <c r="B7" s="7" t="s">
        <v>30</v>
      </c>
      <c r="C7" s="212"/>
      <c r="D7" s="212"/>
      <c r="E7" s="212"/>
      <c r="F7" s="212"/>
      <c r="G7" s="212"/>
      <c r="H7" s="212"/>
      <c r="I7" s="212"/>
      <c r="J7" s="212"/>
      <c r="K7" s="212"/>
      <c r="L7" s="212"/>
      <c r="M7" s="212"/>
      <c r="N7" s="212"/>
      <c r="O7" s="212">
        <v>760.15</v>
      </c>
      <c r="P7" s="212">
        <f t="shared" si="0"/>
        <v>63.345833333333331</v>
      </c>
      <c r="Q7" s="213">
        <f t="shared" si="1"/>
        <v>760.15</v>
      </c>
      <c r="R7" s="8" t="s">
        <v>25</v>
      </c>
      <c r="S7" s="212">
        <f t="shared" si="2"/>
        <v>380.07499999999999</v>
      </c>
      <c r="T7" s="212">
        <f t="shared" si="3"/>
        <v>31.672916666666666</v>
      </c>
      <c r="U7" s="159" t="s">
        <v>26</v>
      </c>
      <c r="V7" s="160" t="s">
        <v>31</v>
      </c>
      <c r="W7" s="7"/>
      <c r="X7" s="70"/>
      <c r="Y7" s="70"/>
      <c r="Z7" s="70"/>
      <c r="AA7" s="70"/>
      <c r="AB7" s="70"/>
      <c r="AC7" s="70"/>
      <c r="AD7" s="70"/>
      <c r="AE7" s="70"/>
      <c r="AF7" s="70"/>
      <c r="AG7" s="70"/>
      <c r="AH7" s="70"/>
      <c r="AI7" s="70"/>
      <c r="AJ7" s="70"/>
      <c r="AK7" s="70"/>
      <c r="AL7" s="70"/>
      <c r="AM7" s="70"/>
      <c r="AN7" s="70"/>
      <c r="AO7" s="70"/>
      <c r="AP7" s="70"/>
      <c r="AQ7" s="70"/>
      <c r="AR7" s="70"/>
      <c r="AS7" s="70"/>
      <c r="AT7" s="70"/>
      <c r="AU7" s="70"/>
      <c r="AV7" s="70"/>
      <c r="AW7" s="70"/>
      <c r="AX7" s="70"/>
      <c r="AY7" s="70"/>
      <c r="AZ7" s="70"/>
    </row>
    <row r="8" spans="1:52" ht="15.75" customHeight="1" x14ac:dyDescent="0.25">
      <c r="A8" s="7" t="s">
        <v>23</v>
      </c>
      <c r="B8" s="7" t="s">
        <v>32</v>
      </c>
      <c r="C8" s="212"/>
      <c r="D8" s="212"/>
      <c r="E8" s="212"/>
      <c r="F8" s="212">
        <v>257.20999999999998</v>
      </c>
      <c r="G8" s="212"/>
      <c r="H8" s="212">
        <v>283.67</v>
      </c>
      <c r="I8" s="212">
        <v>327.98</v>
      </c>
      <c r="J8" s="212"/>
      <c r="K8" s="212"/>
      <c r="L8" s="212"/>
      <c r="M8" s="212"/>
      <c r="N8" s="212"/>
      <c r="O8" s="212"/>
      <c r="P8" s="212">
        <f t="shared" si="0"/>
        <v>72.405000000000001</v>
      </c>
      <c r="Q8" s="213">
        <f t="shared" si="1"/>
        <v>868.86</v>
      </c>
      <c r="R8" s="8" t="s">
        <v>25</v>
      </c>
      <c r="S8" s="212">
        <f t="shared" si="2"/>
        <v>434.43</v>
      </c>
      <c r="T8" s="212">
        <f t="shared" si="3"/>
        <v>36.202500000000001</v>
      </c>
      <c r="U8" s="159" t="s">
        <v>26</v>
      </c>
      <c r="V8" s="160" t="s">
        <v>33</v>
      </c>
      <c r="W8" s="7"/>
      <c r="X8" s="70"/>
      <c r="Y8" s="70"/>
      <c r="Z8" s="70"/>
      <c r="AA8" s="70"/>
      <c r="AB8" s="70"/>
      <c r="AC8" s="70"/>
      <c r="AD8" s="70"/>
      <c r="AE8" s="70"/>
      <c r="AF8" s="70"/>
      <c r="AG8" s="70"/>
      <c r="AH8" s="70"/>
      <c r="AI8" s="70"/>
      <c r="AJ8" s="70"/>
      <c r="AK8" s="70"/>
      <c r="AL8" s="70"/>
      <c r="AM8" s="70"/>
      <c r="AN8" s="70"/>
      <c r="AO8" s="70"/>
      <c r="AP8" s="70"/>
      <c r="AQ8" s="70"/>
      <c r="AR8" s="70"/>
      <c r="AS8" s="70"/>
      <c r="AT8" s="70"/>
      <c r="AU8" s="70"/>
      <c r="AV8" s="70"/>
      <c r="AW8" s="70"/>
      <c r="AX8" s="70"/>
      <c r="AY8" s="70"/>
      <c r="AZ8" s="70"/>
    </row>
    <row r="9" spans="1:52" ht="15.75" customHeight="1" x14ac:dyDescent="0.25">
      <c r="A9" s="7" t="s">
        <v>23</v>
      </c>
      <c r="B9" s="7" t="s">
        <v>34</v>
      </c>
      <c r="C9" s="212"/>
      <c r="D9" s="212"/>
      <c r="E9" s="212">
        <v>144.11000000000001</v>
      </c>
      <c r="F9" s="212">
        <v>150.81</v>
      </c>
      <c r="G9" s="212"/>
      <c r="H9" s="212"/>
      <c r="I9" s="212">
        <v>121.7</v>
      </c>
      <c r="J9" s="212">
        <v>132.51</v>
      </c>
      <c r="K9" s="212"/>
      <c r="L9" s="212"/>
      <c r="M9" s="212"/>
      <c r="N9" s="212"/>
      <c r="O9" s="212"/>
      <c r="P9" s="212">
        <f t="shared" si="0"/>
        <v>45.760833333333331</v>
      </c>
      <c r="Q9" s="213">
        <f t="shared" si="1"/>
        <v>549.13</v>
      </c>
      <c r="R9" s="8" t="s">
        <v>25</v>
      </c>
      <c r="S9" s="212">
        <f t="shared" si="2"/>
        <v>274.565</v>
      </c>
      <c r="T9" s="212">
        <f t="shared" si="3"/>
        <v>22.880416666666665</v>
      </c>
      <c r="U9" s="159" t="s">
        <v>26</v>
      </c>
      <c r="V9" s="160" t="s">
        <v>35</v>
      </c>
      <c r="W9" s="7"/>
      <c r="X9" s="70"/>
      <c r="Y9" s="70"/>
      <c r="Z9" s="70"/>
      <c r="AA9" s="70"/>
      <c r="AB9" s="70"/>
      <c r="AC9" s="70"/>
      <c r="AD9" s="70"/>
      <c r="AE9" s="70"/>
      <c r="AF9" s="70"/>
      <c r="AG9" s="70"/>
      <c r="AH9" s="70"/>
      <c r="AI9" s="70"/>
      <c r="AJ9" s="70"/>
      <c r="AK9" s="70"/>
      <c r="AL9" s="70"/>
      <c r="AM9" s="70"/>
      <c r="AN9" s="70"/>
      <c r="AO9" s="70"/>
      <c r="AP9" s="70"/>
      <c r="AQ9" s="70"/>
      <c r="AR9" s="70"/>
      <c r="AS9" s="70"/>
      <c r="AT9" s="70"/>
      <c r="AU9" s="70"/>
      <c r="AV9" s="70"/>
      <c r="AW9" s="70"/>
      <c r="AX9" s="70"/>
      <c r="AY9" s="70"/>
      <c r="AZ9" s="70"/>
    </row>
    <row r="10" spans="1:52" ht="15.75" customHeight="1" x14ac:dyDescent="0.25">
      <c r="A10" s="7" t="s">
        <v>23</v>
      </c>
      <c r="B10" s="7" t="s">
        <v>36</v>
      </c>
      <c r="C10" s="212"/>
      <c r="D10" s="212"/>
      <c r="E10" s="212"/>
      <c r="F10" s="212">
        <v>109.99</v>
      </c>
      <c r="G10" s="212"/>
      <c r="H10" s="212"/>
      <c r="I10" s="212">
        <v>107</v>
      </c>
      <c r="J10" s="212"/>
      <c r="K10" s="212"/>
      <c r="L10" s="212"/>
      <c r="M10" s="212"/>
      <c r="N10" s="212"/>
      <c r="O10" s="212"/>
      <c r="P10" s="212">
        <f t="shared" si="0"/>
        <v>18.0825</v>
      </c>
      <c r="Q10" s="213">
        <f t="shared" si="1"/>
        <v>216.99</v>
      </c>
      <c r="R10" s="8" t="s">
        <v>25</v>
      </c>
      <c r="S10" s="212">
        <f t="shared" si="2"/>
        <v>108.495</v>
      </c>
      <c r="T10" s="212">
        <f t="shared" si="3"/>
        <v>9.0412499999999998</v>
      </c>
      <c r="U10" s="159" t="s">
        <v>26</v>
      </c>
      <c r="V10" s="160" t="s">
        <v>37</v>
      </c>
      <c r="W10" s="7"/>
      <c r="X10" s="70"/>
      <c r="Y10" s="70"/>
      <c r="Z10" s="70"/>
      <c r="AA10" s="70"/>
      <c r="AB10" s="70"/>
      <c r="AC10" s="70"/>
      <c r="AD10" s="70"/>
      <c r="AE10" s="70"/>
      <c r="AF10" s="70"/>
      <c r="AG10" s="70"/>
      <c r="AH10" s="70"/>
      <c r="AI10" s="70"/>
      <c r="AJ10" s="70"/>
      <c r="AK10" s="70"/>
      <c r="AL10" s="70"/>
      <c r="AM10" s="70"/>
      <c r="AN10" s="70"/>
      <c r="AO10" s="70"/>
      <c r="AP10" s="70"/>
      <c r="AQ10" s="70"/>
      <c r="AR10" s="70"/>
      <c r="AS10" s="70"/>
      <c r="AT10" s="70"/>
      <c r="AU10" s="70"/>
      <c r="AV10" s="70"/>
      <c r="AW10" s="70"/>
      <c r="AX10" s="70"/>
      <c r="AY10" s="70"/>
      <c r="AZ10" s="70"/>
    </row>
    <row r="11" spans="1:52" ht="15.75" customHeight="1" x14ac:dyDescent="0.25">
      <c r="A11" s="7" t="s">
        <v>23</v>
      </c>
      <c r="B11" s="7" t="s">
        <v>38</v>
      </c>
      <c r="C11" s="212"/>
      <c r="D11" s="212"/>
      <c r="E11" s="212">
        <v>99</v>
      </c>
      <c r="F11" s="212">
        <v>99</v>
      </c>
      <c r="G11" s="212">
        <v>99</v>
      </c>
      <c r="H11" s="212">
        <v>99</v>
      </c>
      <c r="I11" s="212">
        <v>99</v>
      </c>
      <c r="J11" s="212">
        <v>99</v>
      </c>
      <c r="K11" s="212"/>
      <c r="L11" s="212"/>
      <c r="M11" s="212"/>
      <c r="N11" s="212"/>
      <c r="O11" s="212"/>
      <c r="P11" s="212">
        <f t="shared" si="0"/>
        <v>49.5</v>
      </c>
      <c r="Q11" s="213">
        <f t="shared" si="1"/>
        <v>594</v>
      </c>
      <c r="R11" s="8" t="s">
        <v>25</v>
      </c>
      <c r="S11" s="212">
        <f t="shared" si="2"/>
        <v>297</v>
      </c>
      <c r="T11" s="212">
        <f t="shared" si="3"/>
        <v>24.75</v>
      </c>
      <c r="U11" s="159" t="s">
        <v>26</v>
      </c>
      <c r="V11" s="160" t="s">
        <v>39</v>
      </c>
      <c r="W11" s="7"/>
      <c r="X11" s="70"/>
      <c r="Y11" s="70"/>
      <c r="Z11" s="70"/>
      <c r="AA11" s="70"/>
      <c r="AB11" s="70"/>
      <c r="AC11" s="70"/>
      <c r="AD11" s="70"/>
      <c r="AE11" s="70"/>
      <c r="AF11" s="70"/>
      <c r="AG11" s="70"/>
      <c r="AH11" s="70"/>
      <c r="AI11" s="70"/>
      <c r="AJ11" s="70"/>
      <c r="AK11" s="70"/>
      <c r="AL11" s="70"/>
      <c r="AM11" s="70"/>
      <c r="AN11" s="70"/>
      <c r="AO11" s="70"/>
      <c r="AP11" s="70"/>
      <c r="AQ11" s="70"/>
      <c r="AR11" s="70"/>
      <c r="AS11" s="70"/>
      <c r="AT11" s="70"/>
      <c r="AU11" s="70"/>
      <c r="AV11" s="70"/>
      <c r="AW11" s="70"/>
      <c r="AX11" s="70"/>
      <c r="AY11" s="70"/>
      <c r="AZ11" s="70"/>
    </row>
    <row r="12" spans="1:52" ht="15.75" customHeight="1" x14ac:dyDescent="0.25">
      <c r="A12" s="9" t="s">
        <v>40</v>
      </c>
      <c r="B12" s="9" t="s">
        <v>41</v>
      </c>
      <c r="C12" s="214"/>
      <c r="D12" s="214"/>
      <c r="E12" s="214">
        <v>1364.49</v>
      </c>
      <c r="F12" s="214">
        <v>1271.98</v>
      </c>
      <c r="G12" s="214">
        <v>1589.03</v>
      </c>
      <c r="H12" s="214">
        <v>456.13</v>
      </c>
      <c r="I12" s="214">
        <v>1424.08</v>
      </c>
      <c r="J12" s="214"/>
      <c r="K12" s="214"/>
      <c r="L12" s="214"/>
      <c r="M12" s="214"/>
      <c r="N12" s="214"/>
      <c r="O12" s="214"/>
      <c r="P12" s="214">
        <f t="shared" si="0"/>
        <v>508.80916666666667</v>
      </c>
      <c r="Q12" s="215">
        <f t="shared" si="1"/>
        <v>6105.71</v>
      </c>
      <c r="R12" s="10" t="s">
        <v>42</v>
      </c>
      <c r="S12" s="214">
        <f t="shared" si="2"/>
        <v>3052.855</v>
      </c>
      <c r="T12" s="214">
        <f t="shared" si="3"/>
        <v>254.40458333333333</v>
      </c>
      <c r="U12" s="60" t="s">
        <v>26</v>
      </c>
      <c r="V12" s="61" t="s">
        <v>43</v>
      </c>
      <c r="W12" s="9"/>
      <c r="X12" s="70"/>
      <c r="Y12" s="70"/>
      <c r="Z12" s="70"/>
      <c r="AA12" s="70"/>
      <c r="AB12" s="70"/>
      <c r="AC12" s="70"/>
      <c r="AD12" s="70"/>
      <c r="AE12" s="70"/>
      <c r="AF12" s="70"/>
      <c r="AG12" s="70"/>
      <c r="AH12" s="70"/>
      <c r="AI12" s="70"/>
      <c r="AJ12" s="70"/>
      <c r="AK12" s="70"/>
      <c r="AL12" s="70"/>
      <c r="AM12" s="70"/>
      <c r="AN12" s="70"/>
      <c r="AO12" s="70"/>
      <c r="AP12" s="70"/>
      <c r="AQ12" s="70"/>
      <c r="AR12" s="70"/>
      <c r="AS12" s="70"/>
      <c r="AT12" s="70"/>
      <c r="AU12" s="70"/>
      <c r="AV12" s="70"/>
      <c r="AW12" s="70"/>
      <c r="AX12" s="70"/>
      <c r="AY12" s="70"/>
      <c r="AZ12" s="70"/>
    </row>
    <row r="13" spans="1:52" hidden="1" x14ac:dyDescent="0.25">
      <c r="A13" s="9" t="s">
        <v>40</v>
      </c>
      <c r="B13" s="9" t="s">
        <v>44</v>
      </c>
      <c r="C13" s="214"/>
      <c r="D13" s="214"/>
      <c r="E13" s="214"/>
      <c r="F13" s="214"/>
      <c r="G13" s="214"/>
      <c r="H13" s="214"/>
      <c r="I13" s="214"/>
      <c r="J13" s="214"/>
      <c r="K13" s="214"/>
      <c r="L13" s="214"/>
      <c r="M13" s="214"/>
      <c r="N13" s="214"/>
      <c r="O13" s="214"/>
      <c r="P13" s="214">
        <f t="shared" si="0"/>
        <v>0</v>
      </c>
      <c r="Q13" s="214">
        <f t="shared" si="1"/>
        <v>0</v>
      </c>
      <c r="R13" s="10" t="s">
        <v>42</v>
      </c>
      <c r="S13" s="214">
        <f t="shared" si="2"/>
        <v>0</v>
      </c>
      <c r="T13" s="214">
        <f t="shared" si="3"/>
        <v>0</v>
      </c>
      <c r="U13" s="34" t="s">
        <v>45</v>
      </c>
      <c r="V13" s="9"/>
      <c r="W13" s="9"/>
      <c r="X13" s="70"/>
      <c r="Y13" s="70"/>
      <c r="Z13" s="70"/>
      <c r="AA13" s="70"/>
      <c r="AB13" s="70"/>
      <c r="AC13" s="70"/>
      <c r="AD13" s="70"/>
      <c r="AE13" s="70"/>
      <c r="AF13" s="70"/>
      <c r="AG13" s="70"/>
      <c r="AH13" s="70"/>
      <c r="AI13" s="70"/>
      <c r="AJ13" s="70"/>
      <c r="AK13" s="70"/>
      <c r="AL13" s="70"/>
      <c r="AM13" s="70"/>
      <c r="AN13" s="70"/>
      <c r="AO13" s="70"/>
      <c r="AP13" s="70"/>
      <c r="AQ13" s="70"/>
      <c r="AR13" s="70"/>
      <c r="AS13" s="70"/>
      <c r="AT13" s="70"/>
      <c r="AU13" s="70"/>
      <c r="AV13" s="70"/>
      <c r="AW13" s="70"/>
      <c r="AX13" s="70"/>
      <c r="AY13" s="70"/>
      <c r="AZ13" s="70"/>
    </row>
    <row r="14" spans="1:52" ht="15.75" customHeight="1" x14ac:dyDescent="0.25">
      <c r="A14" s="9" t="s">
        <v>40</v>
      </c>
      <c r="B14" s="9" t="s">
        <v>46</v>
      </c>
      <c r="C14" s="214"/>
      <c r="D14" s="214"/>
      <c r="E14" s="214"/>
      <c r="F14" s="214"/>
      <c r="G14" s="214"/>
      <c r="H14" s="214">
        <v>36.119999999999997</v>
      </c>
      <c r="I14" s="214">
        <v>182.15</v>
      </c>
      <c r="J14" s="214"/>
      <c r="K14" s="214"/>
      <c r="L14" s="214"/>
      <c r="M14" s="214"/>
      <c r="N14" s="214"/>
      <c r="O14" s="214"/>
      <c r="P14" s="214">
        <f t="shared" si="0"/>
        <v>18.189166666666669</v>
      </c>
      <c r="Q14" s="215">
        <f t="shared" si="1"/>
        <v>218.27</v>
      </c>
      <c r="R14" s="10"/>
      <c r="S14" s="214">
        <f t="shared" si="2"/>
        <v>218.27</v>
      </c>
      <c r="T14" s="214">
        <f t="shared" si="3"/>
        <v>18.189166666666669</v>
      </c>
      <c r="U14" s="60" t="s">
        <v>26</v>
      </c>
      <c r="V14" s="61" t="s">
        <v>47</v>
      </c>
      <c r="W14" s="9"/>
      <c r="X14" s="70"/>
      <c r="Y14" s="70"/>
      <c r="Z14" s="70"/>
      <c r="AA14" s="70"/>
      <c r="AB14" s="70"/>
      <c r="AC14" s="70"/>
      <c r="AD14" s="70"/>
      <c r="AE14" s="70"/>
      <c r="AF14" s="70"/>
      <c r="AG14" s="70"/>
      <c r="AH14" s="70"/>
      <c r="AI14" s="70"/>
      <c r="AJ14" s="70"/>
      <c r="AK14" s="70"/>
      <c r="AL14" s="70"/>
      <c r="AM14" s="70"/>
      <c r="AN14" s="70"/>
      <c r="AO14" s="70"/>
      <c r="AP14" s="70"/>
      <c r="AQ14" s="70"/>
      <c r="AR14" s="70"/>
      <c r="AS14" s="70"/>
      <c r="AT14" s="70"/>
      <c r="AU14" s="70"/>
      <c r="AV14" s="70"/>
      <c r="AW14" s="70"/>
      <c r="AX14" s="70"/>
      <c r="AY14" s="70"/>
      <c r="AZ14" s="70"/>
    </row>
    <row r="15" spans="1:52" ht="15.75" customHeight="1" x14ac:dyDescent="0.25">
      <c r="A15" s="11" t="s">
        <v>48</v>
      </c>
      <c r="B15" s="11" t="s">
        <v>49</v>
      </c>
      <c r="C15" s="216"/>
      <c r="D15" s="216"/>
      <c r="E15" s="216">
        <v>2189</v>
      </c>
      <c r="F15" s="216">
        <v>994</v>
      </c>
      <c r="G15" s="216">
        <v>994</v>
      </c>
      <c r="H15" s="216">
        <v>994</v>
      </c>
      <c r="I15" s="216">
        <v>832.29</v>
      </c>
      <c r="J15" s="216"/>
      <c r="K15" s="216"/>
      <c r="L15" s="216"/>
      <c r="M15" s="216"/>
      <c r="N15" s="216"/>
      <c r="O15" s="216"/>
      <c r="P15" s="216">
        <f t="shared" si="0"/>
        <v>500.27416666666664</v>
      </c>
      <c r="Q15" s="217">
        <f t="shared" si="1"/>
        <v>6003.29</v>
      </c>
      <c r="R15" s="12"/>
      <c r="S15" s="216">
        <f t="shared" si="2"/>
        <v>6003.29</v>
      </c>
      <c r="T15" s="216">
        <f t="shared" si="3"/>
        <v>500.27416666666664</v>
      </c>
      <c r="U15" s="161" t="s">
        <v>26</v>
      </c>
      <c r="V15" s="162" t="s">
        <v>50</v>
      </c>
      <c r="W15" s="11"/>
      <c r="X15" s="70"/>
      <c r="Y15" s="70"/>
      <c r="Z15" s="70"/>
      <c r="AA15" s="70"/>
      <c r="AB15" s="70"/>
      <c r="AC15" s="70"/>
      <c r="AD15" s="70"/>
      <c r="AE15" s="70"/>
      <c r="AF15" s="70"/>
      <c r="AG15" s="70"/>
      <c r="AH15" s="70"/>
      <c r="AI15" s="70"/>
      <c r="AJ15" s="70"/>
      <c r="AK15" s="70"/>
      <c r="AL15" s="70"/>
      <c r="AM15" s="70"/>
      <c r="AN15" s="70"/>
      <c r="AO15" s="70"/>
      <c r="AP15" s="70"/>
      <c r="AQ15" s="70"/>
      <c r="AR15" s="70"/>
      <c r="AS15" s="70"/>
      <c r="AT15" s="70"/>
      <c r="AU15" s="70"/>
      <c r="AV15" s="70"/>
      <c r="AW15" s="70"/>
      <c r="AX15" s="70"/>
      <c r="AY15" s="70"/>
      <c r="AZ15" s="70"/>
    </row>
    <row r="16" spans="1:52" hidden="1" x14ac:dyDescent="0.25">
      <c r="A16" s="11" t="s">
        <v>48</v>
      </c>
      <c r="B16" s="11" t="s">
        <v>51</v>
      </c>
      <c r="C16" s="216"/>
      <c r="D16" s="216"/>
      <c r="E16" s="216"/>
      <c r="F16" s="216"/>
      <c r="G16" s="216"/>
      <c r="H16" s="216"/>
      <c r="I16" s="216"/>
      <c r="J16" s="216"/>
      <c r="K16" s="216"/>
      <c r="L16" s="216"/>
      <c r="M16" s="216"/>
      <c r="N16" s="216"/>
      <c r="O16" s="216"/>
      <c r="P16" s="216">
        <f t="shared" si="0"/>
        <v>0</v>
      </c>
      <c r="Q16" s="216">
        <f t="shared" si="1"/>
        <v>0</v>
      </c>
      <c r="R16" s="12"/>
      <c r="S16" s="216">
        <f t="shared" si="2"/>
        <v>0</v>
      </c>
      <c r="T16" s="216">
        <f t="shared" si="3"/>
        <v>0</v>
      </c>
      <c r="U16" s="35" t="s">
        <v>45</v>
      </c>
      <c r="V16" s="11"/>
      <c r="W16" s="11"/>
      <c r="X16" s="70"/>
      <c r="Y16" s="70"/>
      <c r="Z16" s="70"/>
      <c r="AA16" s="70"/>
      <c r="AB16" s="70"/>
      <c r="AC16" s="70"/>
      <c r="AD16" s="70"/>
      <c r="AE16" s="70"/>
      <c r="AF16" s="70"/>
      <c r="AG16" s="70"/>
      <c r="AH16" s="70"/>
      <c r="AI16" s="70"/>
      <c r="AJ16" s="70"/>
      <c r="AK16" s="70"/>
      <c r="AL16" s="70"/>
      <c r="AM16" s="70"/>
      <c r="AN16" s="70"/>
      <c r="AO16" s="70"/>
      <c r="AP16" s="70"/>
      <c r="AQ16" s="70"/>
      <c r="AR16" s="70"/>
      <c r="AS16" s="70"/>
      <c r="AT16" s="70"/>
      <c r="AU16" s="70"/>
      <c r="AV16" s="70"/>
      <c r="AW16" s="70"/>
      <c r="AX16" s="70"/>
      <c r="AY16" s="70"/>
      <c r="AZ16" s="70"/>
    </row>
    <row r="17" spans="1:52" hidden="1" x14ac:dyDescent="0.25">
      <c r="A17" s="11" t="s">
        <v>48</v>
      </c>
      <c r="B17" s="11" t="s">
        <v>52</v>
      </c>
      <c r="C17" s="216"/>
      <c r="D17" s="216"/>
      <c r="E17" s="216"/>
      <c r="F17" s="216"/>
      <c r="G17" s="216"/>
      <c r="H17" s="216"/>
      <c r="I17" s="216"/>
      <c r="J17" s="216"/>
      <c r="K17" s="216"/>
      <c r="L17" s="216"/>
      <c r="M17" s="216"/>
      <c r="N17" s="216"/>
      <c r="O17" s="216"/>
      <c r="P17" s="216">
        <f t="shared" si="0"/>
        <v>0</v>
      </c>
      <c r="Q17" s="216">
        <f t="shared" si="1"/>
        <v>0</v>
      </c>
      <c r="R17" s="12"/>
      <c r="S17" s="216">
        <f t="shared" si="2"/>
        <v>0</v>
      </c>
      <c r="T17" s="216">
        <f t="shared" si="3"/>
        <v>0</v>
      </c>
      <c r="U17" s="35" t="s">
        <v>45</v>
      </c>
      <c r="V17" s="11"/>
      <c r="W17" s="11"/>
      <c r="X17" s="70"/>
      <c r="Y17" s="70"/>
      <c r="Z17" s="70"/>
      <c r="AA17" s="70"/>
      <c r="AB17" s="70"/>
      <c r="AC17" s="70"/>
      <c r="AD17" s="70"/>
      <c r="AE17" s="70"/>
      <c r="AF17" s="70"/>
      <c r="AG17" s="70"/>
      <c r="AH17" s="70"/>
      <c r="AI17" s="70"/>
      <c r="AJ17" s="70"/>
      <c r="AK17" s="70"/>
      <c r="AL17" s="70"/>
      <c r="AM17" s="70"/>
      <c r="AN17" s="70"/>
      <c r="AO17" s="70"/>
      <c r="AP17" s="70"/>
      <c r="AQ17" s="70"/>
      <c r="AR17" s="70"/>
      <c r="AS17" s="70"/>
      <c r="AT17" s="70"/>
      <c r="AU17" s="70"/>
      <c r="AV17" s="70"/>
      <c r="AW17" s="70"/>
      <c r="AX17" s="70"/>
      <c r="AY17" s="70"/>
      <c r="AZ17" s="70"/>
    </row>
    <row r="18" spans="1:52" hidden="1" x14ac:dyDescent="0.25">
      <c r="A18" s="11" t="s">
        <v>48</v>
      </c>
      <c r="B18" s="11" t="s">
        <v>53</v>
      </c>
      <c r="C18" s="216"/>
      <c r="D18" s="216"/>
      <c r="E18" s="216"/>
      <c r="F18" s="216"/>
      <c r="G18" s="216"/>
      <c r="H18" s="216"/>
      <c r="I18" s="216"/>
      <c r="J18" s="216"/>
      <c r="K18" s="216"/>
      <c r="L18" s="216"/>
      <c r="M18" s="216"/>
      <c r="N18" s="216"/>
      <c r="O18" s="216"/>
      <c r="P18" s="216">
        <f t="shared" si="0"/>
        <v>0</v>
      </c>
      <c r="Q18" s="216">
        <f t="shared" si="1"/>
        <v>0</v>
      </c>
      <c r="R18" s="12"/>
      <c r="S18" s="216">
        <f t="shared" si="2"/>
        <v>0</v>
      </c>
      <c r="T18" s="216">
        <f t="shared" si="3"/>
        <v>0</v>
      </c>
      <c r="U18" s="35" t="s">
        <v>45</v>
      </c>
      <c r="V18" s="11"/>
      <c r="W18" s="11"/>
      <c r="X18" s="70"/>
      <c r="Y18" s="70"/>
      <c r="Z18" s="70"/>
      <c r="AA18" s="70"/>
      <c r="AB18" s="70"/>
      <c r="AC18" s="70"/>
      <c r="AD18" s="70"/>
      <c r="AE18" s="70"/>
      <c r="AF18" s="70"/>
      <c r="AG18" s="70"/>
      <c r="AH18" s="70"/>
      <c r="AI18" s="70"/>
      <c r="AJ18" s="70"/>
      <c r="AK18" s="70"/>
      <c r="AL18" s="70"/>
      <c r="AM18" s="70"/>
      <c r="AN18" s="70"/>
      <c r="AO18" s="70"/>
      <c r="AP18" s="70"/>
      <c r="AQ18" s="70"/>
      <c r="AR18" s="70"/>
      <c r="AS18" s="70"/>
      <c r="AT18" s="70"/>
      <c r="AU18" s="70"/>
      <c r="AV18" s="70"/>
      <c r="AW18" s="70"/>
      <c r="AX18" s="70"/>
      <c r="AY18" s="70"/>
      <c r="AZ18" s="70"/>
    </row>
    <row r="19" spans="1:52" ht="15.75" customHeight="1" x14ac:dyDescent="0.25">
      <c r="A19" s="11" t="s">
        <v>48</v>
      </c>
      <c r="B19" s="11" t="s">
        <v>54</v>
      </c>
      <c r="C19" s="216"/>
      <c r="D19" s="216"/>
      <c r="E19" s="216"/>
      <c r="F19" s="216"/>
      <c r="G19" s="216"/>
      <c r="H19" s="216"/>
      <c r="I19" s="216">
        <v>134.5</v>
      </c>
      <c r="J19" s="216"/>
      <c r="K19" s="216"/>
      <c r="L19" s="216"/>
      <c r="M19" s="216"/>
      <c r="N19" s="216"/>
      <c r="O19" s="216"/>
      <c r="P19" s="216">
        <f t="shared" si="0"/>
        <v>11.208333333333334</v>
      </c>
      <c r="Q19" s="217">
        <f t="shared" si="1"/>
        <v>134.5</v>
      </c>
      <c r="R19" s="12"/>
      <c r="S19" s="216">
        <f t="shared" si="2"/>
        <v>134.5</v>
      </c>
      <c r="T19" s="216">
        <f t="shared" si="3"/>
        <v>11.208333333333334</v>
      </c>
      <c r="U19" s="161" t="s">
        <v>26</v>
      </c>
      <c r="V19" s="162" t="s">
        <v>55</v>
      </c>
      <c r="W19" s="11"/>
      <c r="X19" s="70"/>
      <c r="Y19" s="70"/>
      <c r="Z19" s="70"/>
      <c r="AA19" s="70"/>
      <c r="AB19" s="70"/>
      <c r="AC19" s="70"/>
      <c r="AD19" s="70"/>
      <c r="AE19" s="70"/>
      <c r="AF19" s="70"/>
      <c r="AG19" s="70"/>
      <c r="AH19" s="70"/>
      <c r="AI19" s="70"/>
      <c r="AJ19" s="70"/>
      <c r="AK19" s="70"/>
      <c r="AL19" s="70"/>
      <c r="AM19" s="70"/>
      <c r="AN19" s="70"/>
      <c r="AO19" s="70"/>
      <c r="AP19" s="70"/>
      <c r="AQ19" s="70"/>
      <c r="AR19" s="70"/>
      <c r="AS19" s="70"/>
      <c r="AT19" s="70"/>
      <c r="AU19" s="70"/>
      <c r="AV19" s="70"/>
      <c r="AW19" s="70"/>
      <c r="AX19" s="70"/>
      <c r="AY19" s="70"/>
      <c r="AZ19" s="70"/>
    </row>
    <row r="20" spans="1:52" hidden="1" x14ac:dyDescent="0.25">
      <c r="A20" s="11" t="s">
        <v>48</v>
      </c>
      <c r="B20" s="11" t="s">
        <v>56</v>
      </c>
      <c r="C20" s="216"/>
      <c r="D20" s="216"/>
      <c r="E20" s="216"/>
      <c r="F20" s="216"/>
      <c r="G20" s="216"/>
      <c r="H20" s="216"/>
      <c r="I20" s="216"/>
      <c r="J20" s="216"/>
      <c r="K20" s="216"/>
      <c r="L20" s="216"/>
      <c r="M20" s="216"/>
      <c r="N20" s="216"/>
      <c r="O20" s="216"/>
      <c r="P20" s="216">
        <f t="shared" si="0"/>
        <v>0</v>
      </c>
      <c r="Q20" s="216">
        <f t="shared" si="1"/>
        <v>0</v>
      </c>
      <c r="R20" s="12"/>
      <c r="S20" s="216">
        <f t="shared" si="2"/>
        <v>0</v>
      </c>
      <c r="T20" s="216">
        <f t="shared" si="3"/>
        <v>0</v>
      </c>
      <c r="U20" s="35" t="s">
        <v>45</v>
      </c>
      <c r="V20" s="11"/>
      <c r="W20" s="11"/>
      <c r="X20" s="70"/>
      <c r="Y20" s="70"/>
      <c r="Z20" s="70"/>
      <c r="AA20" s="70"/>
      <c r="AB20" s="70"/>
      <c r="AC20" s="70"/>
      <c r="AD20" s="70"/>
      <c r="AE20" s="70"/>
      <c r="AF20" s="70"/>
      <c r="AG20" s="70"/>
      <c r="AH20" s="70"/>
      <c r="AI20" s="70"/>
      <c r="AJ20" s="70"/>
      <c r="AK20" s="70"/>
      <c r="AL20" s="70"/>
      <c r="AM20" s="70"/>
      <c r="AN20" s="70"/>
      <c r="AO20" s="70"/>
      <c r="AP20" s="70"/>
      <c r="AQ20" s="70"/>
      <c r="AR20" s="70"/>
      <c r="AS20" s="70"/>
      <c r="AT20" s="70"/>
      <c r="AU20" s="70"/>
      <c r="AV20" s="70"/>
      <c r="AW20" s="70"/>
      <c r="AX20" s="70"/>
      <c r="AY20" s="70"/>
      <c r="AZ20" s="70"/>
    </row>
    <row r="21" spans="1:52" hidden="1" x14ac:dyDescent="0.25">
      <c r="A21" s="11" t="s">
        <v>48</v>
      </c>
      <c r="B21" s="11" t="s">
        <v>57</v>
      </c>
      <c r="C21" s="216"/>
      <c r="D21" s="216"/>
      <c r="E21" s="216"/>
      <c r="F21" s="216"/>
      <c r="G21" s="216"/>
      <c r="H21" s="216"/>
      <c r="I21" s="216"/>
      <c r="J21" s="216"/>
      <c r="K21" s="216"/>
      <c r="L21" s="216"/>
      <c r="M21" s="216"/>
      <c r="N21" s="216"/>
      <c r="O21" s="216"/>
      <c r="P21" s="216">
        <f t="shared" si="0"/>
        <v>0</v>
      </c>
      <c r="Q21" s="216">
        <f t="shared" si="1"/>
        <v>0</v>
      </c>
      <c r="R21" s="12"/>
      <c r="S21" s="216">
        <f t="shared" si="2"/>
        <v>0</v>
      </c>
      <c r="T21" s="216">
        <f t="shared" si="3"/>
        <v>0</v>
      </c>
      <c r="U21" s="35" t="s">
        <v>45</v>
      </c>
      <c r="V21" s="11"/>
      <c r="W21" s="11"/>
      <c r="X21" s="70"/>
      <c r="Y21" s="70"/>
      <c r="Z21" s="70"/>
      <c r="AA21" s="70"/>
      <c r="AB21" s="70"/>
      <c r="AC21" s="70"/>
      <c r="AD21" s="70"/>
      <c r="AE21" s="70"/>
      <c r="AF21" s="70"/>
      <c r="AG21" s="70"/>
      <c r="AH21" s="70"/>
      <c r="AI21" s="70"/>
      <c r="AJ21" s="70"/>
      <c r="AK21" s="70"/>
      <c r="AL21" s="70"/>
      <c r="AM21" s="70"/>
      <c r="AN21" s="70"/>
      <c r="AO21" s="70"/>
      <c r="AP21" s="70"/>
      <c r="AQ21" s="70"/>
      <c r="AR21" s="70"/>
      <c r="AS21" s="70"/>
      <c r="AT21" s="70"/>
      <c r="AU21" s="70"/>
      <c r="AV21" s="70"/>
      <c r="AW21" s="70"/>
      <c r="AX21" s="70"/>
      <c r="AY21" s="70"/>
      <c r="AZ21" s="70"/>
    </row>
    <row r="22" spans="1:52" ht="15.75" customHeight="1" x14ac:dyDescent="0.25">
      <c r="A22" s="11" t="s">
        <v>48</v>
      </c>
      <c r="B22" s="11" t="s">
        <v>58</v>
      </c>
      <c r="C22" s="216"/>
      <c r="D22" s="216"/>
      <c r="E22" s="216"/>
      <c r="F22" s="216"/>
      <c r="G22" s="216"/>
      <c r="H22" s="216">
        <v>85</v>
      </c>
      <c r="I22" s="216"/>
      <c r="J22" s="216"/>
      <c r="K22" s="216"/>
      <c r="L22" s="216"/>
      <c r="M22" s="216"/>
      <c r="N22" s="216"/>
      <c r="O22" s="216"/>
      <c r="P22" s="216">
        <f t="shared" si="0"/>
        <v>7.083333333333333</v>
      </c>
      <c r="Q22" s="217">
        <f t="shared" si="1"/>
        <v>85</v>
      </c>
      <c r="R22" s="12"/>
      <c r="S22" s="216">
        <f t="shared" si="2"/>
        <v>85</v>
      </c>
      <c r="T22" s="216">
        <f t="shared" si="3"/>
        <v>7.083333333333333</v>
      </c>
      <c r="U22" s="161" t="s">
        <v>26</v>
      </c>
      <c r="V22" s="162" t="s">
        <v>59</v>
      </c>
      <c r="W22" s="11"/>
      <c r="X22" s="70"/>
      <c r="Y22" s="70"/>
      <c r="Z22" s="70"/>
      <c r="AA22" s="70"/>
      <c r="AB22" s="70"/>
      <c r="AC22" s="70"/>
      <c r="AD22" s="70"/>
      <c r="AE22" s="70"/>
      <c r="AF22" s="70"/>
      <c r="AG22" s="70"/>
      <c r="AH22" s="70"/>
      <c r="AI22" s="70"/>
      <c r="AJ22" s="70"/>
      <c r="AK22" s="70"/>
      <c r="AL22" s="70"/>
      <c r="AM22" s="70"/>
      <c r="AN22" s="70"/>
      <c r="AO22" s="70"/>
      <c r="AP22" s="70"/>
      <c r="AQ22" s="70"/>
      <c r="AR22" s="70"/>
      <c r="AS22" s="70"/>
      <c r="AT22" s="70"/>
      <c r="AU22" s="70"/>
      <c r="AV22" s="70"/>
      <c r="AW22" s="70"/>
      <c r="AX22" s="70"/>
      <c r="AY22" s="70"/>
      <c r="AZ22" s="70"/>
    </row>
    <row r="23" spans="1:52" hidden="1" x14ac:dyDescent="0.25">
      <c r="A23" s="11" t="s">
        <v>48</v>
      </c>
      <c r="B23" s="11" t="s">
        <v>60</v>
      </c>
      <c r="C23" s="216"/>
      <c r="D23" s="216"/>
      <c r="E23" s="216"/>
      <c r="F23" s="216"/>
      <c r="G23" s="216"/>
      <c r="H23" s="216"/>
      <c r="I23" s="216"/>
      <c r="J23" s="216"/>
      <c r="K23" s="216"/>
      <c r="L23" s="216"/>
      <c r="M23" s="216"/>
      <c r="N23" s="216"/>
      <c r="O23" s="216"/>
      <c r="P23" s="216">
        <f t="shared" si="0"/>
        <v>0</v>
      </c>
      <c r="Q23" s="216">
        <f t="shared" si="1"/>
        <v>0</v>
      </c>
      <c r="R23" s="12"/>
      <c r="S23" s="216">
        <f t="shared" si="2"/>
        <v>0</v>
      </c>
      <c r="T23" s="216">
        <f t="shared" si="3"/>
        <v>0</v>
      </c>
      <c r="U23" s="35" t="s">
        <v>45</v>
      </c>
      <c r="V23" s="11"/>
      <c r="W23" s="11"/>
      <c r="X23" s="70"/>
      <c r="Y23" s="70"/>
      <c r="Z23" s="70"/>
      <c r="AA23" s="70"/>
      <c r="AB23" s="70"/>
      <c r="AC23" s="70"/>
      <c r="AD23" s="70"/>
      <c r="AE23" s="70"/>
      <c r="AF23" s="70"/>
      <c r="AG23" s="70"/>
      <c r="AH23" s="70"/>
      <c r="AI23" s="70"/>
      <c r="AJ23" s="70"/>
      <c r="AK23" s="70"/>
      <c r="AL23" s="70"/>
      <c r="AM23" s="70"/>
      <c r="AN23" s="70"/>
      <c r="AO23" s="70"/>
      <c r="AP23" s="70"/>
      <c r="AQ23" s="70"/>
      <c r="AR23" s="70"/>
      <c r="AS23" s="70"/>
      <c r="AT23" s="70"/>
      <c r="AU23" s="70"/>
      <c r="AV23" s="70"/>
      <c r="AW23" s="70"/>
      <c r="AX23" s="70"/>
      <c r="AY23" s="70"/>
      <c r="AZ23" s="70"/>
    </row>
    <row r="24" spans="1:52" hidden="1" x14ac:dyDescent="0.25">
      <c r="A24" s="13" t="s">
        <v>61</v>
      </c>
      <c r="B24" s="13" t="s">
        <v>62</v>
      </c>
      <c r="C24" s="218"/>
      <c r="D24" s="218"/>
      <c r="E24" s="218"/>
      <c r="F24" s="218"/>
      <c r="G24" s="218"/>
      <c r="H24" s="218"/>
      <c r="I24" s="218"/>
      <c r="J24" s="218"/>
      <c r="K24" s="218"/>
      <c r="L24" s="218"/>
      <c r="M24" s="218"/>
      <c r="N24" s="218"/>
      <c r="O24" s="218"/>
      <c r="P24" s="218">
        <f t="shared" si="0"/>
        <v>0</v>
      </c>
      <c r="Q24" s="218">
        <f t="shared" si="1"/>
        <v>0</v>
      </c>
      <c r="R24" s="14"/>
      <c r="S24" s="218">
        <f t="shared" si="2"/>
        <v>0</v>
      </c>
      <c r="T24" s="218">
        <f t="shared" si="3"/>
        <v>0</v>
      </c>
      <c r="U24" s="36" t="s">
        <v>45</v>
      </c>
      <c r="V24" s="13"/>
      <c r="W24" s="13"/>
      <c r="X24" s="70"/>
      <c r="Y24" s="70"/>
      <c r="Z24" s="70"/>
      <c r="AA24" s="70"/>
      <c r="AB24" s="70"/>
      <c r="AC24" s="70"/>
      <c r="AD24" s="70"/>
      <c r="AE24" s="70"/>
      <c r="AF24" s="70"/>
      <c r="AG24" s="70"/>
      <c r="AH24" s="70"/>
      <c r="AI24" s="70"/>
      <c r="AJ24" s="70"/>
      <c r="AK24" s="70"/>
      <c r="AL24" s="70"/>
      <c r="AM24" s="70"/>
      <c r="AN24" s="70"/>
      <c r="AO24" s="70"/>
      <c r="AP24" s="70"/>
      <c r="AQ24" s="70"/>
      <c r="AR24" s="70"/>
      <c r="AS24" s="70"/>
      <c r="AT24" s="70"/>
      <c r="AU24" s="70"/>
      <c r="AV24" s="70"/>
      <c r="AW24" s="70"/>
      <c r="AX24" s="70"/>
      <c r="AY24" s="70"/>
      <c r="AZ24" s="70"/>
    </row>
    <row r="25" spans="1:52" hidden="1" x14ac:dyDescent="0.25">
      <c r="A25" s="13" t="s">
        <v>61</v>
      </c>
      <c r="B25" s="13" t="s">
        <v>63</v>
      </c>
      <c r="C25" s="218"/>
      <c r="D25" s="218"/>
      <c r="E25" s="218"/>
      <c r="F25" s="218"/>
      <c r="G25" s="218"/>
      <c r="H25" s="218"/>
      <c r="I25" s="218"/>
      <c r="J25" s="218"/>
      <c r="K25" s="218"/>
      <c r="L25" s="218"/>
      <c r="M25" s="218"/>
      <c r="N25" s="218"/>
      <c r="O25" s="218"/>
      <c r="P25" s="218">
        <f t="shared" si="0"/>
        <v>0</v>
      </c>
      <c r="Q25" s="218">
        <f t="shared" si="1"/>
        <v>0</v>
      </c>
      <c r="R25" s="14"/>
      <c r="S25" s="218">
        <f t="shared" si="2"/>
        <v>0</v>
      </c>
      <c r="T25" s="218">
        <f t="shared" si="3"/>
        <v>0</v>
      </c>
      <c r="U25" s="36" t="s">
        <v>45</v>
      </c>
      <c r="V25" s="13"/>
      <c r="W25" s="13"/>
      <c r="X25" s="70"/>
      <c r="Y25" s="70"/>
      <c r="Z25" s="70"/>
      <c r="AA25" s="70"/>
      <c r="AB25" s="70"/>
      <c r="AC25" s="70"/>
      <c r="AD25" s="70"/>
      <c r="AE25" s="70"/>
      <c r="AF25" s="70"/>
      <c r="AG25" s="70"/>
      <c r="AH25" s="70"/>
      <c r="AI25" s="70"/>
      <c r="AJ25" s="70"/>
      <c r="AK25" s="70"/>
      <c r="AL25" s="70"/>
      <c r="AM25" s="70"/>
      <c r="AN25" s="70"/>
      <c r="AO25" s="70"/>
      <c r="AP25" s="70"/>
      <c r="AQ25" s="70"/>
      <c r="AR25" s="70"/>
      <c r="AS25" s="70"/>
      <c r="AT25" s="70"/>
      <c r="AU25" s="70"/>
      <c r="AV25" s="70"/>
      <c r="AW25" s="70"/>
      <c r="AX25" s="70"/>
      <c r="AY25" s="70"/>
      <c r="AZ25" s="70"/>
    </row>
    <row r="26" spans="1:52" ht="15.75" customHeight="1" x14ac:dyDescent="0.25">
      <c r="A26" s="13" t="s">
        <v>61</v>
      </c>
      <c r="B26" s="13" t="s">
        <v>64</v>
      </c>
      <c r="C26" s="218"/>
      <c r="D26" s="218"/>
      <c r="E26" s="218">
        <v>186.12</v>
      </c>
      <c r="F26" s="218"/>
      <c r="G26" s="218"/>
      <c r="H26" s="218">
        <v>11.99</v>
      </c>
      <c r="I26" s="218"/>
      <c r="J26" s="218"/>
      <c r="K26" s="218">
        <v>180</v>
      </c>
      <c r="L26" s="218"/>
      <c r="M26" s="218"/>
      <c r="N26" s="218"/>
      <c r="O26" s="218"/>
      <c r="P26" s="218">
        <f t="shared" si="0"/>
        <v>31.509166666666669</v>
      </c>
      <c r="Q26" s="219">
        <f t="shared" si="1"/>
        <v>378.11</v>
      </c>
      <c r="R26" s="14"/>
      <c r="S26" s="218">
        <f t="shared" si="2"/>
        <v>378.11</v>
      </c>
      <c r="T26" s="218">
        <f t="shared" si="3"/>
        <v>31.509166666666669</v>
      </c>
      <c r="U26" s="163" t="s">
        <v>26</v>
      </c>
      <c r="V26" s="164" t="s">
        <v>65</v>
      </c>
      <c r="W26" s="13"/>
      <c r="X26" s="70"/>
      <c r="Y26" s="70"/>
      <c r="Z26" s="70"/>
      <c r="AA26" s="70"/>
      <c r="AB26" s="70"/>
      <c r="AC26" s="70"/>
      <c r="AD26" s="70"/>
      <c r="AE26" s="70"/>
      <c r="AF26" s="70"/>
      <c r="AG26" s="70"/>
      <c r="AH26" s="70"/>
      <c r="AI26" s="70"/>
      <c r="AJ26" s="70"/>
      <c r="AK26" s="70"/>
      <c r="AL26" s="70"/>
      <c r="AM26" s="70"/>
      <c r="AN26" s="70"/>
      <c r="AO26" s="70"/>
      <c r="AP26" s="70"/>
      <c r="AQ26" s="70"/>
      <c r="AR26" s="70"/>
      <c r="AS26" s="70"/>
      <c r="AT26" s="70"/>
      <c r="AU26" s="70"/>
      <c r="AV26" s="70"/>
      <c r="AW26" s="70"/>
      <c r="AX26" s="70"/>
      <c r="AY26" s="70"/>
      <c r="AZ26" s="70"/>
    </row>
    <row r="27" spans="1:52" ht="15.75" customHeight="1" x14ac:dyDescent="0.25">
      <c r="A27" s="13" t="s">
        <v>61</v>
      </c>
      <c r="B27" s="13" t="s">
        <v>66</v>
      </c>
      <c r="C27" s="218"/>
      <c r="D27" s="218"/>
      <c r="E27" s="218">
        <v>410.77</v>
      </c>
      <c r="F27" s="218">
        <v>200.89</v>
      </c>
      <c r="G27" s="218">
        <v>87.38</v>
      </c>
      <c r="H27" s="218">
        <v>195</v>
      </c>
      <c r="I27" s="218">
        <v>188.58</v>
      </c>
      <c r="J27" s="218"/>
      <c r="K27" s="218"/>
      <c r="L27" s="218"/>
      <c r="M27" s="218"/>
      <c r="N27" s="218"/>
      <c r="O27" s="218"/>
      <c r="P27" s="218">
        <f t="shared" si="0"/>
        <v>90.21833333333332</v>
      </c>
      <c r="Q27" s="219">
        <f t="shared" si="1"/>
        <v>1082.6199999999999</v>
      </c>
      <c r="R27" s="14"/>
      <c r="S27" s="218">
        <f t="shared" si="2"/>
        <v>1082.6199999999999</v>
      </c>
      <c r="T27" s="218">
        <f t="shared" si="3"/>
        <v>90.21833333333332</v>
      </c>
      <c r="U27" s="163" t="s">
        <v>26</v>
      </c>
      <c r="V27" s="164" t="s">
        <v>67</v>
      </c>
      <c r="W27" s="13"/>
      <c r="X27" s="70"/>
      <c r="Y27" s="70"/>
      <c r="Z27" s="70"/>
      <c r="AA27" s="70"/>
      <c r="AB27" s="70"/>
      <c r="AC27" s="70"/>
      <c r="AD27" s="70"/>
      <c r="AE27" s="70"/>
      <c r="AF27" s="70"/>
      <c r="AG27" s="70"/>
      <c r="AH27" s="70"/>
      <c r="AI27" s="70"/>
      <c r="AJ27" s="70"/>
      <c r="AK27" s="70"/>
      <c r="AL27" s="70"/>
      <c r="AM27" s="70"/>
      <c r="AN27" s="70"/>
      <c r="AO27" s="70"/>
      <c r="AP27" s="70"/>
      <c r="AQ27" s="70"/>
      <c r="AR27" s="70"/>
      <c r="AS27" s="70"/>
      <c r="AT27" s="70"/>
      <c r="AU27" s="70"/>
      <c r="AV27" s="70"/>
      <c r="AW27" s="70"/>
      <c r="AX27" s="70"/>
      <c r="AY27" s="70"/>
      <c r="AZ27" s="70"/>
    </row>
    <row r="28" spans="1:52" hidden="1" x14ac:dyDescent="0.25">
      <c r="A28" s="13" t="s">
        <v>61</v>
      </c>
      <c r="B28" s="13" t="s">
        <v>68</v>
      </c>
      <c r="C28" s="218"/>
      <c r="D28" s="218"/>
      <c r="E28" s="218"/>
      <c r="F28" s="218"/>
      <c r="G28" s="218"/>
      <c r="H28" s="218"/>
      <c r="I28" s="218"/>
      <c r="J28" s="218"/>
      <c r="K28" s="218"/>
      <c r="L28" s="218"/>
      <c r="M28" s="218"/>
      <c r="N28" s="218"/>
      <c r="O28" s="218"/>
      <c r="P28" s="218">
        <f t="shared" si="0"/>
        <v>0</v>
      </c>
      <c r="Q28" s="218">
        <f t="shared" si="1"/>
        <v>0</v>
      </c>
      <c r="R28" s="14"/>
      <c r="S28" s="218">
        <f t="shared" si="2"/>
        <v>0</v>
      </c>
      <c r="T28" s="218">
        <f t="shared" si="3"/>
        <v>0</v>
      </c>
      <c r="U28" s="36" t="s">
        <v>45</v>
      </c>
      <c r="V28" s="13"/>
      <c r="W28" s="13"/>
      <c r="X28" s="70"/>
      <c r="Y28" s="70"/>
      <c r="Z28" s="70"/>
      <c r="AA28" s="70"/>
      <c r="AB28" s="70"/>
      <c r="AC28" s="70"/>
      <c r="AD28" s="70"/>
      <c r="AE28" s="70"/>
      <c r="AF28" s="70"/>
      <c r="AG28" s="70"/>
      <c r="AH28" s="70"/>
      <c r="AI28" s="70"/>
      <c r="AJ28" s="70"/>
      <c r="AK28" s="70"/>
      <c r="AL28" s="70"/>
      <c r="AM28" s="70"/>
      <c r="AN28" s="70"/>
      <c r="AO28" s="70"/>
      <c r="AP28" s="70"/>
      <c r="AQ28" s="70"/>
      <c r="AR28" s="70"/>
      <c r="AS28" s="70"/>
      <c r="AT28" s="70"/>
      <c r="AU28" s="70"/>
      <c r="AV28" s="70"/>
      <c r="AW28" s="70"/>
      <c r="AX28" s="70"/>
      <c r="AY28" s="70"/>
      <c r="AZ28" s="70"/>
    </row>
    <row r="29" spans="1:52" ht="15.75" customHeight="1" x14ac:dyDescent="0.25">
      <c r="A29" s="13" t="s">
        <v>61</v>
      </c>
      <c r="B29" s="13" t="s">
        <v>69</v>
      </c>
      <c r="C29" s="218"/>
      <c r="D29" s="218"/>
      <c r="E29" s="218"/>
      <c r="F29" s="218">
        <v>210</v>
      </c>
      <c r="G29" s="218"/>
      <c r="H29" s="218">
        <v>375</v>
      </c>
      <c r="I29" s="218">
        <v>375</v>
      </c>
      <c r="J29" s="218">
        <v>155</v>
      </c>
      <c r="K29" s="218"/>
      <c r="L29" s="218"/>
      <c r="M29" s="218"/>
      <c r="N29" s="218"/>
      <c r="O29" s="218"/>
      <c r="P29" s="218">
        <f t="shared" si="0"/>
        <v>92.916666666666671</v>
      </c>
      <c r="Q29" s="219">
        <f t="shared" si="1"/>
        <v>1115</v>
      </c>
      <c r="R29" s="14"/>
      <c r="S29" s="218">
        <f t="shared" si="2"/>
        <v>1115</v>
      </c>
      <c r="T29" s="218">
        <f t="shared" si="3"/>
        <v>92.916666666666671</v>
      </c>
      <c r="U29" s="163" t="s">
        <v>26</v>
      </c>
      <c r="V29" s="164" t="s">
        <v>70</v>
      </c>
      <c r="W29" s="13"/>
      <c r="X29" s="70"/>
      <c r="Y29" s="70"/>
      <c r="Z29" s="70"/>
      <c r="AA29" s="70"/>
      <c r="AB29" s="70"/>
      <c r="AC29" s="70"/>
      <c r="AD29" s="70"/>
      <c r="AE29" s="70"/>
      <c r="AF29" s="70"/>
      <c r="AG29" s="70"/>
      <c r="AH29" s="70"/>
      <c r="AI29" s="70"/>
      <c r="AJ29" s="70"/>
      <c r="AK29" s="70"/>
      <c r="AL29" s="70"/>
      <c r="AM29" s="70"/>
      <c r="AN29" s="70"/>
      <c r="AO29" s="70"/>
      <c r="AP29" s="70"/>
      <c r="AQ29" s="70"/>
      <c r="AR29" s="70"/>
      <c r="AS29" s="70"/>
      <c r="AT29" s="70"/>
      <c r="AU29" s="70"/>
      <c r="AV29" s="70"/>
      <c r="AW29" s="70"/>
      <c r="AX29" s="70"/>
      <c r="AY29" s="70"/>
      <c r="AZ29" s="70"/>
    </row>
    <row r="30" spans="1:52" hidden="1" x14ac:dyDescent="0.25">
      <c r="A30" s="13" t="s">
        <v>61</v>
      </c>
      <c r="B30" s="13" t="s">
        <v>71</v>
      </c>
      <c r="C30" s="218"/>
      <c r="D30" s="218"/>
      <c r="E30" s="218"/>
      <c r="F30" s="218"/>
      <c r="G30" s="218"/>
      <c r="H30" s="218"/>
      <c r="I30" s="218"/>
      <c r="J30" s="218"/>
      <c r="K30" s="218"/>
      <c r="L30" s="218"/>
      <c r="M30" s="218"/>
      <c r="N30" s="218"/>
      <c r="O30" s="218"/>
      <c r="P30" s="218">
        <f t="shared" si="0"/>
        <v>0</v>
      </c>
      <c r="Q30" s="218">
        <f t="shared" si="1"/>
        <v>0</v>
      </c>
      <c r="R30" s="14"/>
      <c r="S30" s="218">
        <f t="shared" si="2"/>
        <v>0</v>
      </c>
      <c r="T30" s="218">
        <f t="shared" si="3"/>
        <v>0</v>
      </c>
      <c r="U30" s="36" t="s">
        <v>45</v>
      </c>
      <c r="V30" s="13"/>
      <c r="W30" s="13"/>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row>
    <row r="31" spans="1:52" hidden="1" x14ac:dyDescent="0.25">
      <c r="A31" s="13" t="s">
        <v>61</v>
      </c>
      <c r="B31" s="13" t="s">
        <v>72</v>
      </c>
      <c r="C31" s="218"/>
      <c r="D31" s="218"/>
      <c r="E31" s="218"/>
      <c r="F31" s="218"/>
      <c r="G31" s="218"/>
      <c r="H31" s="218"/>
      <c r="I31" s="218"/>
      <c r="J31" s="218"/>
      <c r="K31" s="218"/>
      <c r="L31" s="218"/>
      <c r="M31" s="218"/>
      <c r="N31" s="218"/>
      <c r="O31" s="218"/>
      <c r="P31" s="218">
        <f t="shared" si="0"/>
        <v>0</v>
      </c>
      <c r="Q31" s="218">
        <f t="shared" si="1"/>
        <v>0</v>
      </c>
      <c r="R31" s="14"/>
      <c r="S31" s="218">
        <f t="shared" si="2"/>
        <v>0</v>
      </c>
      <c r="T31" s="218">
        <f t="shared" si="3"/>
        <v>0</v>
      </c>
      <c r="U31" s="36" t="s">
        <v>45</v>
      </c>
      <c r="V31" s="13"/>
      <c r="W31" s="13"/>
      <c r="X31" s="70"/>
      <c r="Y31" s="70"/>
      <c r="Z31" s="70"/>
      <c r="AA31" s="70"/>
      <c r="AB31" s="70"/>
      <c r="AC31" s="70"/>
      <c r="AD31" s="70"/>
      <c r="AE31" s="70"/>
      <c r="AF31" s="70"/>
      <c r="AG31" s="70"/>
      <c r="AH31" s="70"/>
      <c r="AI31" s="70"/>
      <c r="AJ31" s="70"/>
      <c r="AK31" s="70"/>
      <c r="AL31" s="70"/>
      <c r="AM31" s="70"/>
      <c r="AN31" s="70"/>
      <c r="AO31" s="70"/>
      <c r="AP31" s="70"/>
      <c r="AQ31" s="70"/>
      <c r="AR31" s="70"/>
      <c r="AS31" s="70"/>
      <c r="AT31" s="70"/>
      <c r="AU31" s="70"/>
      <c r="AV31" s="70"/>
      <c r="AW31" s="70"/>
      <c r="AX31" s="70"/>
      <c r="AY31" s="70"/>
      <c r="AZ31" s="70"/>
    </row>
    <row r="32" spans="1:52" ht="15.75" customHeight="1" x14ac:dyDescent="0.25">
      <c r="A32" s="13" t="s">
        <v>61</v>
      </c>
      <c r="B32" s="13" t="s">
        <v>73</v>
      </c>
      <c r="C32" s="218"/>
      <c r="D32" s="218"/>
      <c r="E32" s="218"/>
      <c r="F32" s="218"/>
      <c r="G32" s="218"/>
      <c r="H32" s="218"/>
      <c r="I32" s="218"/>
      <c r="J32" s="218"/>
      <c r="K32" s="218"/>
      <c r="L32" s="218"/>
      <c r="M32" s="218">
        <v>200</v>
      </c>
      <c r="N32" s="218"/>
      <c r="O32" s="218"/>
      <c r="P32" s="218">
        <f t="shared" si="0"/>
        <v>16.666666666666668</v>
      </c>
      <c r="Q32" s="219">
        <f t="shared" si="1"/>
        <v>200</v>
      </c>
      <c r="R32" s="14"/>
      <c r="S32" s="218">
        <f t="shared" si="2"/>
        <v>200</v>
      </c>
      <c r="T32" s="218">
        <f t="shared" si="3"/>
        <v>16.666666666666668</v>
      </c>
      <c r="U32" s="163" t="s">
        <v>26</v>
      </c>
      <c r="V32" s="164" t="s">
        <v>74</v>
      </c>
      <c r="W32" s="13"/>
      <c r="X32" s="70"/>
      <c r="Y32" s="70"/>
      <c r="Z32" s="70"/>
      <c r="AA32" s="70"/>
      <c r="AB32" s="70"/>
      <c r="AC32" s="70"/>
      <c r="AD32" s="70"/>
      <c r="AE32" s="70"/>
      <c r="AF32" s="70"/>
      <c r="AG32" s="70"/>
      <c r="AH32" s="70"/>
      <c r="AI32" s="70"/>
      <c r="AJ32" s="70"/>
      <c r="AK32" s="70"/>
      <c r="AL32" s="70"/>
      <c r="AM32" s="70"/>
      <c r="AN32" s="70"/>
      <c r="AO32" s="70"/>
      <c r="AP32" s="70"/>
      <c r="AQ32" s="70"/>
      <c r="AR32" s="70"/>
      <c r="AS32" s="70"/>
      <c r="AT32" s="70"/>
      <c r="AU32" s="70"/>
      <c r="AV32" s="70"/>
      <c r="AW32" s="70"/>
      <c r="AX32" s="70"/>
      <c r="AY32" s="70"/>
      <c r="AZ32" s="70"/>
    </row>
    <row r="33" spans="1:52" hidden="1" x14ac:dyDescent="0.25">
      <c r="A33" s="15" t="s">
        <v>75</v>
      </c>
      <c r="B33" s="15" t="s">
        <v>76</v>
      </c>
      <c r="C33" s="220"/>
      <c r="D33" s="220"/>
      <c r="E33" s="220"/>
      <c r="F33" s="220"/>
      <c r="G33" s="220"/>
      <c r="H33" s="220"/>
      <c r="I33" s="220"/>
      <c r="J33" s="220"/>
      <c r="K33" s="220"/>
      <c r="L33" s="220"/>
      <c r="M33" s="220"/>
      <c r="N33" s="220"/>
      <c r="O33" s="220"/>
      <c r="P33" s="220">
        <f t="shared" si="0"/>
        <v>0</v>
      </c>
      <c r="Q33" s="220">
        <f t="shared" si="1"/>
        <v>0</v>
      </c>
      <c r="R33" s="16"/>
      <c r="S33" s="220">
        <f t="shared" si="2"/>
        <v>0</v>
      </c>
      <c r="T33" s="220">
        <f t="shared" si="3"/>
        <v>0</v>
      </c>
      <c r="U33" s="37" t="s">
        <v>45</v>
      </c>
      <c r="V33" s="15"/>
      <c r="W33" s="15"/>
      <c r="X33" s="70"/>
      <c r="Y33" s="70"/>
      <c r="Z33" s="70"/>
      <c r="AA33" s="70"/>
      <c r="AB33" s="70"/>
      <c r="AC33" s="70"/>
      <c r="AD33" s="70"/>
      <c r="AE33" s="70"/>
      <c r="AF33" s="70"/>
      <c r="AG33" s="70"/>
      <c r="AH33" s="70"/>
      <c r="AI33" s="70"/>
      <c r="AJ33" s="70"/>
      <c r="AK33" s="70"/>
      <c r="AL33" s="70"/>
      <c r="AM33" s="70"/>
      <c r="AN33" s="70"/>
      <c r="AO33" s="70"/>
      <c r="AP33" s="70"/>
      <c r="AQ33" s="70"/>
      <c r="AR33" s="70"/>
      <c r="AS33" s="70"/>
      <c r="AT33" s="70"/>
      <c r="AU33" s="70"/>
      <c r="AV33" s="70"/>
      <c r="AW33" s="70"/>
      <c r="AX33" s="70"/>
      <c r="AY33" s="70"/>
      <c r="AZ33" s="70"/>
    </row>
    <row r="34" spans="1:52" hidden="1" x14ac:dyDescent="0.25">
      <c r="A34" s="15" t="s">
        <v>75</v>
      </c>
      <c r="B34" s="15" t="s">
        <v>77</v>
      </c>
      <c r="C34" s="220"/>
      <c r="D34" s="220"/>
      <c r="E34" s="220"/>
      <c r="F34" s="220"/>
      <c r="G34" s="220"/>
      <c r="H34" s="220"/>
      <c r="I34" s="220"/>
      <c r="J34" s="220"/>
      <c r="K34" s="220"/>
      <c r="L34" s="220"/>
      <c r="M34" s="220"/>
      <c r="N34" s="220"/>
      <c r="O34" s="220"/>
      <c r="P34" s="220">
        <f t="shared" si="0"/>
        <v>0</v>
      </c>
      <c r="Q34" s="220">
        <f t="shared" si="1"/>
        <v>0</v>
      </c>
      <c r="R34" s="16"/>
      <c r="S34" s="220">
        <f t="shared" si="2"/>
        <v>0</v>
      </c>
      <c r="T34" s="220">
        <f t="shared" si="3"/>
        <v>0</v>
      </c>
      <c r="U34" s="37" t="s">
        <v>45</v>
      </c>
      <c r="V34" s="15"/>
      <c r="W34" s="15"/>
      <c r="X34" s="70"/>
      <c r="Y34" s="70"/>
      <c r="Z34" s="70"/>
      <c r="AA34" s="70"/>
      <c r="AB34" s="70"/>
      <c r="AC34" s="70"/>
      <c r="AD34" s="70"/>
      <c r="AE34" s="70"/>
      <c r="AF34" s="70"/>
      <c r="AG34" s="70"/>
      <c r="AH34" s="70"/>
      <c r="AI34" s="70"/>
      <c r="AJ34" s="70"/>
      <c r="AK34" s="70"/>
      <c r="AL34" s="70"/>
      <c r="AM34" s="70"/>
      <c r="AN34" s="70"/>
      <c r="AO34" s="70"/>
      <c r="AP34" s="70"/>
      <c r="AQ34" s="70"/>
      <c r="AR34" s="70"/>
      <c r="AS34" s="70"/>
      <c r="AT34" s="70"/>
      <c r="AU34" s="70"/>
      <c r="AV34" s="70"/>
      <c r="AW34" s="70"/>
      <c r="AX34" s="70"/>
      <c r="AY34" s="70"/>
      <c r="AZ34" s="70"/>
    </row>
    <row r="35" spans="1:52" hidden="1" x14ac:dyDescent="0.25">
      <c r="A35" s="15" t="s">
        <v>75</v>
      </c>
      <c r="B35" s="15" t="s">
        <v>78</v>
      </c>
      <c r="C35" s="220"/>
      <c r="D35" s="220"/>
      <c r="E35" s="220"/>
      <c r="F35" s="220"/>
      <c r="G35" s="220"/>
      <c r="H35" s="220"/>
      <c r="I35" s="220"/>
      <c r="J35" s="220"/>
      <c r="K35" s="220"/>
      <c r="L35" s="220"/>
      <c r="M35" s="220"/>
      <c r="N35" s="220"/>
      <c r="O35" s="220"/>
      <c r="P35" s="220">
        <f t="shared" si="0"/>
        <v>0</v>
      </c>
      <c r="Q35" s="220">
        <f t="shared" si="1"/>
        <v>0</v>
      </c>
      <c r="R35" s="16"/>
      <c r="S35" s="220">
        <f t="shared" si="2"/>
        <v>0</v>
      </c>
      <c r="T35" s="220">
        <f t="shared" si="3"/>
        <v>0</v>
      </c>
      <c r="U35" s="37" t="s">
        <v>45</v>
      </c>
      <c r="V35" s="15"/>
      <c r="W35" s="15"/>
      <c r="X35" s="70"/>
      <c r="Y35" s="70"/>
      <c r="Z35" s="70"/>
      <c r="AA35" s="70"/>
      <c r="AB35" s="70"/>
      <c r="AC35" s="70"/>
      <c r="AD35" s="70"/>
      <c r="AE35" s="70"/>
      <c r="AF35" s="70"/>
      <c r="AG35" s="70"/>
      <c r="AH35" s="70"/>
      <c r="AI35" s="70"/>
      <c r="AJ35" s="70"/>
      <c r="AK35" s="70"/>
      <c r="AL35" s="70"/>
      <c r="AM35" s="70"/>
      <c r="AN35" s="70"/>
      <c r="AO35" s="70"/>
      <c r="AP35" s="70"/>
      <c r="AQ35" s="70"/>
      <c r="AR35" s="70"/>
      <c r="AS35" s="70"/>
      <c r="AT35" s="70"/>
      <c r="AU35" s="70"/>
      <c r="AV35" s="70"/>
      <c r="AW35" s="70"/>
      <c r="AX35" s="70"/>
      <c r="AY35" s="70"/>
      <c r="AZ35" s="70"/>
    </row>
    <row r="36" spans="1:52" ht="15.75" customHeight="1" x14ac:dyDescent="0.25">
      <c r="A36" s="15" t="s">
        <v>75</v>
      </c>
      <c r="B36" s="15" t="s">
        <v>79</v>
      </c>
      <c r="C36" s="220"/>
      <c r="D36" s="220"/>
      <c r="E36" s="220">
        <v>839.79000000000008</v>
      </c>
      <c r="F36" s="220">
        <v>472.69</v>
      </c>
      <c r="G36" s="220">
        <v>291.41000000000003</v>
      </c>
      <c r="H36" s="220">
        <v>379.53</v>
      </c>
      <c r="I36" s="220">
        <v>752.7</v>
      </c>
      <c r="J36" s="220"/>
      <c r="K36" s="220"/>
      <c r="L36" s="220"/>
      <c r="M36" s="220"/>
      <c r="N36" s="220"/>
      <c r="O36" s="220"/>
      <c r="P36" s="220">
        <f t="shared" si="0"/>
        <v>228.01</v>
      </c>
      <c r="Q36" s="221">
        <f t="shared" si="1"/>
        <v>2736.12</v>
      </c>
      <c r="R36" s="16" t="s">
        <v>42</v>
      </c>
      <c r="S36" s="220">
        <f t="shared" si="2"/>
        <v>1368.06</v>
      </c>
      <c r="T36" s="220">
        <f t="shared" si="3"/>
        <v>114.005</v>
      </c>
      <c r="U36" s="165" t="s">
        <v>26</v>
      </c>
      <c r="V36" s="166" t="s">
        <v>80</v>
      </c>
      <c r="W36" s="15"/>
      <c r="X36" s="70"/>
      <c r="Y36" s="70"/>
      <c r="Z36" s="70"/>
      <c r="AA36" s="70"/>
      <c r="AB36" s="70"/>
      <c r="AC36" s="70"/>
      <c r="AD36" s="70"/>
      <c r="AE36" s="70"/>
      <c r="AF36" s="70"/>
      <c r="AG36" s="70"/>
      <c r="AH36" s="70"/>
      <c r="AI36" s="70"/>
      <c r="AJ36" s="70"/>
      <c r="AK36" s="70"/>
      <c r="AL36" s="70"/>
      <c r="AM36" s="70"/>
      <c r="AN36" s="70"/>
      <c r="AO36" s="70"/>
      <c r="AP36" s="70"/>
      <c r="AQ36" s="70"/>
      <c r="AR36" s="70"/>
      <c r="AS36" s="70"/>
      <c r="AT36" s="70"/>
      <c r="AU36" s="70"/>
      <c r="AV36" s="70"/>
      <c r="AW36" s="70"/>
      <c r="AX36" s="70"/>
      <c r="AY36" s="70"/>
      <c r="AZ36" s="70"/>
    </row>
    <row r="37" spans="1:52" ht="15.75" customHeight="1" x14ac:dyDescent="0.25">
      <c r="A37" s="17" t="s">
        <v>81</v>
      </c>
      <c r="B37" s="17" t="s">
        <v>82</v>
      </c>
      <c r="C37" s="222"/>
      <c r="D37" s="222"/>
      <c r="E37" s="222">
        <v>52</v>
      </c>
      <c r="F37" s="222">
        <v>219.89</v>
      </c>
      <c r="G37" s="222">
        <v>95.8</v>
      </c>
      <c r="H37" s="222"/>
      <c r="I37" s="222"/>
      <c r="J37" s="222">
        <v>179.97</v>
      </c>
      <c r="K37" s="222"/>
      <c r="L37" s="222"/>
      <c r="M37" s="222"/>
      <c r="N37" s="222"/>
      <c r="O37" s="222"/>
      <c r="P37" s="222">
        <f t="shared" ref="P37:P68" si="4">IF(OR(A37&lt;&gt;"",B37&lt;&gt;""),(SUM(C37:N37)+O37)/12,"")</f>
        <v>45.638333333333328</v>
      </c>
      <c r="Q37" s="223">
        <f t="shared" ref="Q37:Q68" si="5">IF(OR(A37&lt;&gt;"",B37&lt;&gt;""),SUM(C37:N37)+O37,"")</f>
        <v>547.66</v>
      </c>
      <c r="R37" s="18"/>
      <c r="S37" s="222">
        <f t="shared" ref="S37:S68" si="6">IF(OR(A37&lt;&gt;"",B37&lt;&gt;""),IF(R37="Sim",Q37/2,Q37),"")</f>
        <v>547.66</v>
      </c>
      <c r="T37" s="222">
        <f t="shared" ref="T37:T68" si="7">IF(OR(A37&lt;&gt;"",B37&lt;&gt;""),IF(R37="Sim",P37/2,P37),"")</f>
        <v>45.638333333333328</v>
      </c>
      <c r="U37" s="167" t="s">
        <v>26</v>
      </c>
      <c r="V37" s="168" t="s">
        <v>83</v>
      </c>
      <c r="W37" s="17"/>
      <c r="X37" s="70"/>
      <c r="Y37" s="70"/>
      <c r="Z37" s="70"/>
      <c r="AA37" s="70"/>
      <c r="AB37" s="70"/>
      <c r="AC37" s="70"/>
      <c r="AD37" s="70"/>
      <c r="AE37" s="70"/>
      <c r="AF37" s="70"/>
      <c r="AG37" s="70"/>
      <c r="AH37" s="70"/>
      <c r="AI37" s="70"/>
      <c r="AJ37" s="70"/>
      <c r="AK37" s="70"/>
      <c r="AL37" s="70"/>
      <c r="AM37" s="70"/>
      <c r="AN37" s="70"/>
      <c r="AO37" s="70"/>
      <c r="AP37" s="70"/>
      <c r="AQ37" s="70"/>
      <c r="AR37" s="70"/>
      <c r="AS37" s="70"/>
      <c r="AT37" s="70"/>
      <c r="AU37" s="70"/>
      <c r="AV37" s="70"/>
      <c r="AW37" s="70"/>
      <c r="AX37" s="70"/>
      <c r="AY37" s="70"/>
      <c r="AZ37" s="70"/>
    </row>
    <row r="38" spans="1:52" hidden="1" x14ac:dyDescent="0.25">
      <c r="A38" s="17" t="s">
        <v>81</v>
      </c>
      <c r="B38" s="17" t="s">
        <v>84</v>
      </c>
      <c r="C38" s="222"/>
      <c r="D38" s="222"/>
      <c r="E38" s="222"/>
      <c r="F38" s="222"/>
      <c r="G38" s="222"/>
      <c r="H38" s="222"/>
      <c r="I38" s="222"/>
      <c r="J38" s="222"/>
      <c r="K38" s="222"/>
      <c r="L38" s="222"/>
      <c r="M38" s="222"/>
      <c r="N38" s="222"/>
      <c r="O38" s="222"/>
      <c r="P38" s="222">
        <f t="shared" si="4"/>
        <v>0</v>
      </c>
      <c r="Q38" s="222">
        <f t="shared" si="5"/>
        <v>0</v>
      </c>
      <c r="R38" s="18"/>
      <c r="S38" s="222">
        <f t="shared" si="6"/>
        <v>0</v>
      </c>
      <c r="T38" s="222">
        <f t="shared" si="7"/>
        <v>0</v>
      </c>
      <c r="U38" s="38" t="s">
        <v>45</v>
      </c>
      <c r="V38" s="17"/>
      <c r="W38" s="17"/>
      <c r="X38" s="70"/>
      <c r="Y38" s="70"/>
      <c r="Z38" s="70"/>
      <c r="AA38" s="70"/>
      <c r="AB38" s="70"/>
      <c r="AC38" s="70"/>
      <c r="AD38" s="70"/>
      <c r="AE38" s="70"/>
      <c r="AF38" s="70"/>
      <c r="AG38" s="70"/>
      <c r="AH38" s="70"/>
      <c r="AI38" s="70"/>
      <c r="AJ38" s="70"/>
      <c r="AK38" s="70"/>
      <c r="AL38" s="70"/>
      <c r="AM38" s="70"/>
      <c r="AN38" s="70"/>
      <c r="AO38" s="70"/>
      <c r="AP38" s="70"/>
      <c r="AQ38" s="70"/>
      <c r="AR38" s="70"/>
      <c r="AS38" s="70"/>
      <c r="AT38" s="70"/>
      <c r="AU38" s="70"/>
      <c r="AV38" s="70"/>
      <c r="AW38" s="70"/>
      <c r="AX38" s="70"/>
      <c r="AY38" s="70"/>
      <c r="AZ38" s="70"/>
    </row>
    <row r="39" spans="1:52" hidden="1" x14ac:dyDescent="0.25">
      <c r="A39" s="17" t="s">
        <v>81</v>
      </c>
      <c r="B39" s="17" t="s">
        <v>85</v>
      </c>
      <c r="C39" s="222"/>
      <c r="D39" s="222"/>
      <c r="E39" s="222"/>
      <c r="F39" s="222"/>
      <c r="G39" s="222"/>
      <c r="H39" s="222"/>
      <c r="I39" s="222"/>
      <c r="J39" s="222"/>
      <c r="K39" s="222"/>
      <c r="L39" s="222"/>
      <c r="M39" s="222"/>
      <c r="N39" s="222"/>
      <c r="O39" s="222"/>
      <c r="P39" s="222">
        <f t="shared" si="4"/>
        <v>0</v>
      </c>
      <c r="Q39" s="222">
        <f t="shared" si="5"/>
        <v>0</v>
      </c>
      <c r="R39" s="18"/>
      <c r="S39" s="222">
        <f t="shared" si="6"/>
        <v>0</v>
      </c>
      <c r="T39" s="222">
        <f t="shared" si="7"/>
        <v>0</v>
      </c>
      <c r="U39" s="38" t="s">
        <v>45</v>
      </c>
      <c r="V39" s="17"/>
      <c r="W39" s="17"/>
      <c r="X39" s="70"/>
      <c r="Y39" s="70"/>
      <c r="Z39" s="70"/>
      <c r="AA39" s="70"/>
      <c r="AB39" s="70"/>
      <c r="AC39" s="70"/>
      <c r="AD39" s="70"/>
      <c r="AE39" s="70"/>
      <c r="AF39" s="70"/>
      <c r="AG39" s="70"/>
      <c r="AH39" s="70"/>
      <c r="AI39" s="70"/>
      <c r="AJ39" s="70"/>
      <c r="AK39" s="70"/>
      <c r="AL39" s="70"/>
      <c r="AM39" s="70"/>
      <c r="AN39" s="70"/>
      <c r="AO39" s="70"/>
      <c r="AP39" s="70"/>
      <c r="AQ39" s="70"/>
      <c r="AR39" s="70"/>
      <c r="AS39" s="70"/>
      <c r="AT39" s="70"/>
      <c r="AU39" s="70"/>
      <c r="AV39" s="70"/>
      <c r="AW39" s="70"/>
      <c r="AX39" s="70"/>
      <c r="AY39" s="70"/>
      <c r="AZ39" s="70"/>
    </row>
    <row r="40" spans="1:52" hidden="1" x14ac:dyDescent="0.25">
      <c r="A40" s="17" t="s">
        <v>81</v>
      </c>
      <c r="B40" s="17" t="s">
        <v>86</v>
      </c>
      <c r="C40" s="222"/>
      <c r="D40" s="222"/>
      <c r="E40" s="222"/>
      <c r="F40" s="222"/>
      <c r="G40" s="222"/>
      <c r="H40" s="222"/>
      <c r="I40" s="222"/>
      <c r="J40" s="222"/>
      <c r="K40" s="222"/>
      <c r="L40" s="222"/>
      <c r="M40" s="222"/>
      <c r="N40" s="222"/>
      <c r="O40" s="222"/>
      <c r="P40" s="222">
        <f t="shared" si="4"/>
        <v>0</v>
      </c>
      <c r="Q40" s="222">
        <f t="shared" si="5"/>
        <v>0</v>
      </c>
      <c r="R40" s="18"/>
      <c r="S40" s="222">
        <f t="shared" si="6"/>
        <v>0</v>
      </c>
      <c r="T40" s="222">
        <f t="shared" si="7"/>
        <v>0</v>
      </c>
      <c r="U40" s="38" t="s">
        <v>45</v>
      </c>
      <c r="V40" s="17"/>
      <c r="W40" s="17"/>
      <c r="X40" s="70"/>
      <c r="Y40" s="70"/>
      <c r="Z40" s="70"/>
      <c r="AA40" s="70"/>
      <c r="AB40" s="70"/>
      <c r="AC40" s="70"/>
      <c r="AD40" s="70"/>
      <c r="AE40" s="70"/>
      <c r="AF40" s="70"/>
      <c r="AG40" s="70"/>
      <c r="AH40" s="70"/>
      <c r="AI40" s="70"/>
      <c r="AJ40" s="70"/>
      <c r="AK40" s="70"/>
      <c r="AL40" s="70"/>
      <c r="AM40" s="70"/>
      <c r="AN40" s="70"/>
      <c r="AO40" s="70"/>
      <c r="AP40" s="70"/>
      <c r="AQ40" s="70"/>
      <c r="AR40" s="70"/>
      <c r="AS40" s="70"/>
      <c r="AT40" s="70"/>
      <c r="AU40" s="70"/>
      <c r="AV40" s="70"/>
      <c r="AW40" s="70"/>
      <c r="AX40" s="70"/>
      <c r="AY40" s="70"/>
      <c r="AZ40" s="70"/>
    </row>
    <row r="41" spans="1:52" ht="15.75" customHeight="1" x14ac:dyDescent="0.25">
      <c r="A41" s="17" t="s">
        <v>81</v>
      </c>
      <c r="B41" s="17" t="s">
        <v>87</v>
      </c>
      <c r="C41" s="222">
        <v>640</v>
      </c>
      <c r="D41" s="222"/>
      <c r="E41" s="222"/>
      <c r="F41" s="222"/>
      <c r="G41" s="222"/>
      <c r="H41" s="222"/>
      <c r="I41" s="222"/>
      <c r="J41" s="222"/>
      <c r="K41" s="222"/>
      <c r="L41" s="222"/>
      <c r="M41" s="222"/>
      <c r="N41" s="222"/>
      <c r="O41" s="222"/>
      <c r="P41" s="222">
        <f t="shared" si="4"/>
        <v>53.333333333333336</v>
      </c>
      <c r="Q41" s="223">
        <f t="shared" si="5"/>
        <v>640</v>
      </c>
      <c r="R41" s="18"/>
      <c r="S41" s="222">
        <f t="shared" si="6"/>
        <v>640</v>
      </c>
      <c r="T41" s="222">
        <f t="shared" si="7"/>
        <v>53.333333333333336</v>
      </c>
      <c r="U41" s="167" t="s">
        <v>26</v>
      </c>
      <c r="V41" s="168" t="s">
        <v>88</v>
      </c>
      <c r="W41" s="17"/>
      <c r="X41" s="70"/>
      <c r="Y41" s="70"/>
      <c r="Z41" s="70"/>
      <c r="AA41" s="70"/>
      <c r="AB41" s="70"/>
      <c r="AC41" s="70"/>
      <c r="AD41" s="70"/>
      <c r="AE41" s="70"/>
      <c r="AF41" s="70"/>
      <c r="AG41" s="70"/>
      <c r="AH41" s="70"/>
      <c r="AI41" s="70"/>
      <c r="AJ41" s="70"/>
      <c r="AK41" s="70"/>
      <c r="AL41" s="70"/>
      <c r="AM41" s="70"/>
      <c r="AN41" s="70"/>
      <c r="AO41" s="70"/>
      <c r="AP41" s="70"/>
      <c r="AQ41" s="70"/>
      <c r="AR41" s="70"/>
      <c r="AS41" s="70"/>
      <c r="AT41" s="70"/>
      <c r="AU41" s="70"/>
      <c r="AV41" s="70"/>
      <c r="AW41" s="70"/>
      <c r="AX41" s="70"/>
      <c r="AY41" s="70"/>
      <c r="AZ41" s="70"/>
    </row>
    <row r="42" spans="1:52" ht="15.75" customHeight="1" x14ac:dyDescent="0.25">
      <c r="A42" s="19" t="s">
        <v>89</v>
      </c>
      <c r="B42" s="19" t="s">
        <v>90</v>
      </c>
      <c r="C42" s="224"/>
      <c r="D42" s="224"/>
      <c r="E42" s="224">
        <v>71.400000000000006</v>
      </c>
      <c r="F42" s="224">
        <v>62.02</v>
      </c>
      <c r="G42" s="224">
        <v>61.7</v>
      </c>
      <c r="H42" s="224">
        <v>62.26</v>
      </c>
      <c r="I42" s="224">
        <v>61.7</v>
      </c>
      <c r="J42" s="224"/>
      <c r="K42" s="224"/>
      <c r="L42" s="224"/>
      <c r="M42" s="224"/>
      <c r="N42" s="224"/>
      <c r="O42" s="224"/>
      <c r="P42" s="224">
        <f t="shared" si="4"/>
        <v>26.59</v>
      </c>
      <c r="Q42" s="225">
        <f t="shared" si="5"/>
        <v>319.08</v>
      </c>
      <c r="R42" s="20"/>
      <c r="S42" s="224">
        <f t="shared" si="6"/>
        <v>319.08</v>
      </c>
      <c r="T42" s="224">
        <f t="shared" si="7"/>
        <v>26.59</v>
      </c>
      <c r="U42" s="169" t="s">
        <v>26</v>
      </c>
      <c r="V42" s="170" t="s">
        <v>91</v>
      </c>
      <c r="W42" s="19"/>
      <c r="X42" s="70"/>
      <c r="Y42" s="70"/>
      <c r="Z42" s="70"/>
      <c r="AA42" s="70"/>
      <c r="AB42" s="70"/>
      <c r="AC42" s="70"/>
      <c r="AD42" s="70"/>
      <c r="AE42" s="70"/>
      <c r="AF42" s="70"/>
      <c r="AG42" s="70"/>
      <c r="AH42" s="70"/>
      <c r="AI42" s="70"/>
      <c r="AJ42" s="70"/>
      <c r="AK42" s="70"/>
      <c r="AL42" s="70"/>
      <c r="AM42" s="70"/>
      <c r="AN42" s="70"/>
      <c r="AO42" s="70"/>
      <c r="AP42" s="70"/>
      <c r="AQ42" s="70"/>
      <c r="AR42" s="70"/>
      <c r="AS42" s="70"/>
      <c r="AT42" s="70"/>
      <c r="AU42" s="70"/>
      <c r="AV42" s="70"/>
      <c r="AW42" s="70"/>
      <c r="AX42" s="70"/>
      <c r="AY42" s="70"/>
      <c r="AZ42" s="70"/>
    </row>
    <row r="43" spans="1:52" hidden="1" x14ac:dyDescent="0.25">
      <c r="A43" s="19" t="s">
        <v>89</v>
      </c>
      <c r="B43" s="19" t="s">
        <v>92</v>
      </c>
      <c r="C43" s="224"/>
      <c r="D43" s="224"/>
      <c r="E43" s="224"/>
      <c r="F43" s="224"/>
      <c r="G43" s="224"/>
      <c r="H43" s="224"/>
      <c r="I43" s="224"/>
      <c r="J43" s="224"/>
      <c r="K43" s="224"/>
      <c r="L43" s="224"/>
      <c r="M43" s="224"/>
      <c r="N43" s="224"/>
      <c r="O43" s="224"/>
      <c r="P43" s="224">
        <f t="shared" si="4"/>
        <v>0</v>
      </c>
      <c r="Q43" s="224">
        <f t="shared" si="5"/>
        <v>0</v>
      </c>
      <c r="R43" s="20"/>
      <c r="S43" s="224">
        <f t="shared" si="6"/>
        <v>0</v>
      </c>
      <c r="T43" s="224">
        <f t="shared" si="7"/>
        <v>0</v>
      </c>
      <c r="U43" s="39" t="s">
        <v>45</v>
      </c>
      <c r="V43" s="19"/>
      <c r="W43" s="19"/>
      <c r="X43" s="70"/>
      <c r="Y43" s="70"/>
      <c r="Z43" s="70"/>
      <c r="AA43" s="70"/>
      <c r="AB43" s="70"/>
      <c r="AC43" s="70"/>
      <c r="AD43" s="70"/>
      <c r="AE43" s="70"/>
      <c r="AF43" s="70"/>
      <c r="AG43" s="70"/>
      <c r="AH43" s="70"/>
      <c r="AI43" s="70"/>
      <c r="AJ43" s="70"/>
      <c r="AK43" s="70"/>
      <c r="AL43" s="70"/>
      <c r="AM43" s="70"/>
      <c r="AN43" s="70"/>
      <c r="AO43" s="70"/>
      <c r="AP43" s="70"/>
      <c r="AQ43" s="70"/>
      <c r="AR43" s="70"/>
      <c r="AS43" s="70"/>
      <c r="AT43" s="70"/>
      <c r="AU43" s="70"/>
      <c r="AV43" s="70"/>
      <c r="AW43" s="70"/>
      <c r="AX43" s="70"/>
      <c r="AY43" s="70"/>
      <c r="AZ43" s="70"/>
    </row>
    <row r="44" spans="1:52" hidden="1" x14ac:dyDescent="0.25">
      <c r="A44" s="19" t="s">
        <v>89</v>
      </c>
      <c r="B44" s="19" t="s">
        <v>93</v>
      </c>
      <c r="C44" s="224"/>
      <c r="D44" s="224"/>
      <c r="E44" s="224"/>
      <c r="F44" s="224"/>
      <c r="G44" s="224"/>
      <c r="H44" s="224"/>
      <c r="I44" s="224"/>
      <c r="J44" s="224"/>
      <c r="K44" s="224"/>
      <c r="L44" s="224"/>
      <c r="M44" s="224"/>
      <c r="N44" s="224"/>
      <c r="O44" s="224"/>
      <c r="P44" s="224">
        <f t="shared" si="4"/>
        <v>0</v>
      </c>
      <c r="Q44" s="224">
        <f t="shared" si="5"/>
        <v>0</v>
      </c>
      <c r="R44" s="20"/>
      <c r="S44" s="224">
        <f t="shared" si="6"/>
        <v>0</v>
      </c>
      <c r="T44" s="224">
        <f t="shared" si="7"/>
        <v>0</v>
      </c>
      <c r="U44" s="39" t="s">
        <v>45</v>
      </c>
      <c r="V44" s="19"/>
      <c r="W44" s="19"/>
      <c r="X44" s="70"/>
      <c r="Y44" s="70"/>
      <c r="Z44" s="70"/>
      <c r="AA44" s="70"/>
      <c r="AB44" s="70"/>
      <c r="AC44" s="70"/>
      <c r="AD44" s="70"/>
      <c r="AE44" s="70"/>
      <c r="AF44" s="70"/>
      <c r="AG44" s="70"/>
      <c r="AH44" s="70"/>
      <c r="AI44" s="70"/>
      <c r="AJ44" s="70"/>
      <c r="AK44" s="70"/>
      <c r="AL44" s="70"/>
      <c r="AM44" s="70"/>
      <c r="AN44" s="70"/>
      <c r="AO44" s="70"/>
      <c r="AP44" s="70"/>
      <c r="AQ44" s="70"/>
      <c r="AR44" s="70"/>
      <c r="AS44" s="70"/>
      <c r="AT44" s="70"/>
      <c r="AU44" s="70"/>
      <c r="AV44" s="70"/>
      <c r="AW44" s="70"/>
      <c r="AX44" s="70"/>
      <c r="AY44" s="70"/>
      <c r="AZ44" s="70"/>
    </row>
    <row r="45" spans="1:52" hidden="1" x14ac:dyDescent="0.25">
      <c r="A45" s="19" t="s">
        <v>89</v>
      </c>
      <c r="B45" s="19" t="s">
        <v>94</v>
      </c>
      <c r="C45" s="224"/>
      <c r="D45" s="224"/>
      <c r="E45" s="224"/>
      <c r="F45" s="224"/>
      <c r="G45" s="224"/>
      <c r="H45" s="224"/>
      <c r="I45" s="224"/>
      <c r="J45" s="224"/>
      <c r="K45" s="224"/>
      <c r="L45" s="224"/>
      <c r="M45" s="224"/>
      <c r="N45" s="224"/>
      <c r="O45" s="224"/>
      <c r="P45" s="224">
        <f t="shared" si="4"/>
        <v>0</v>
      </c>
      <c r="Q45" s="224">
        <f t="shared" si="5"/>
        <v>0</v>
      </c>
      <c r="R45" s="20"/>
      <c r="S45" s="224">
        <f t="shared" si="6"/>
        <v>0</v>
      </c>
      <c r="T45" s="224">
        <f t="shared" si="7"/>
        <v>0</v>
      </c>
      <c r="U45" s="39" t="s">
        <v>45</v>
      </c>
      <c r="V45" s="19"/>
      <c r="W45" s="19"/>
      <c r="X45" s="70"/>
      <c r="Y45" s="70"/>
      <c r="Z45" s="70"/>
      <c r="AA45" s="70"/>
      <c r="AB45" s="70"/>
      <c r="AC45" s="70"/>
      <c r="AD45" s="70"/>
      <c r="AE45" s="70"/>
      <c r="AF45" s="70"/>
      <c r="AG45" s="70"/>
      <c r="AH45" s="70"/>
      <c r="AI45" s="70"/>
      <c r="AJ45" s="70"/>
      <c r="AK45" s="70"/>
      <c r="AL45" s="70"/>
      <c r="AM45" s="70"/>
      <c r="AN45" s="70"/>
      <c r="AO45" s="70"/>
      <c r="AP45" s="70"/>
      <c r="AQ45" s="70"/>
      <c r="AR45" s="70"/>
      <c r="AS45" s="70"/>
      <c r="AT45" s="70"/>
      <c r="AU45" s="70"/>
      <c r="AV45" s="70"/>
      <c r="AW45" s="70"/>
      <c r="AX45" s="70"/>
      <c r="AY45" s="70"/>
      <c r="AZ45" s="70"/>
    </row>
    <row r="46" spans="1:52" hidden="1" x14ac:dyDescent="0.25">
      <c r="A46" s="21" t="s">
        <v>95</v>
      </c>
      <c r="B46" s="21" t="s">
        <v>96</v>
      </c>
      <c r="C46" s="226"/>
      <c r="D46" s="226"/>
      <c r="E46" s="226"/>
      <c r="F46" s="226"/>
      <c r="G46" s="226"/>
      <c r="H46" s="226"/>
      <c r="I46" s="226"/>
      <c r="J46" s="226"/>
      <c r="K46" s="226"/>
      <c r="L46" s="226"/>
      <c r="M46" s="226"/>
      <c r="N46" s="226"/>
      <c r="O46" s="226"/>
      <c r="P46" s="226">
        <f t="shared" si="4"/>
        <v>0</v>
      </c>
      <c r="Q46" s="226">
        <f t="shared" si="5"/>
        <v>0</v>
      </c>
      <c r="R46" s="22"/>
      <c r="S46" s="226">
        <f t="shared" si="6"/>
        <v>0</v>
      </c>
      <c r="T46" s="226">
        <f t="shared" si="7"/>
        <v>0</v>
      </c>
      <c r="U46" s="40" t="s">
        <v>45</v>
      </c>
      <c r="V46" s="21"/>
      <c r="W46" s="21"/>
      <c r="X46" s="70"/>
      <c r="Y46" s="70"/>
      <c r="Z46" s="70"/>
      <c r="AA46" s="70"/>
      <c r="AB46" s="70"/>
      <c r="AC46" s="70"/>
      <c r="AD46" s="70"/>
      <c r="AE46" s="70"/>
      <c r="AF46" s="70"/>
      <c r="AG46" s="70"/>
      <c r="AH46" s="70"/>
      <c r="AI46" s="70"/>
      <c r="AJ46" s="70"/>
      <c r="AK46" s="70"/>
      <c r="AL46" s="70"/>
      <c r="AM46" s="70"/>
      <c r="AN46" s="70"/>
      <c r="AO46" s="70"/>
      <c r="AP46" s="70"/>
      <c r="AQ46" s="70"/>
      <c r="AR46" s="70"/>
      <c r="AS46" s="70"/>
      <c r="AT46" s="70"/>
      <c r="AU46" s="70"/>
      <c r="AV46" s="70"/>
      <c r="AW46" s="70"/>
      <c r="AX46" s="70"/>
      <c r="AY46" s="70"/>
      <c r="AZ46" s="70"/>
    </row>
    <row r="47" spans="1:52" hidden="1" x14ac:dyDescent="0.25">
      <c r="A47" s="21" t="s">
        <v>95</v>
      </c>
      <c r="B47" s="21" t="s">
        <v>97</v>
      </c>
      <c r="C47" s="226"/>
      <c r="D47" s="226"/>
      <c r="E47" s="226"/>
      <c r="F47" s="226"/>
      <c r="G47" s="226"/>
      <c r="H47" s="226"/>
      <c r="I47" s="226"/>
      <c r="J47" s="226"/>
      <c r="K47" s="226"/>
      <c r="L47" s="226"/>
      <c r="M47" s="226"/>
      <c r="N47" s="226"/>
      <c r="O47" s="226"/>
      <c r="P47" s="226">
        <f t="shared" si="4"/>
        <v>0</v>
      </c>
      <c r="Q47" s="226">
        <f t="shared" si="5"/>
        <v>0</v>
      </c>
      <c r="R47" s="22"/>
      <c r="S47" s="226">
        <f t="shared" si="6"/>
        <v>0</v>
      </c>
      <c r="T47" s="226">
        <f t="shared" si="7"/>
        <v>0</v>
      </c>
      <c r="U47" s="40" t="s">
        <v>45</v>
      </c>
      <c r="V47" s="21"/>
      <c r="W47" s="21"/>
      <c r="X47" s="70"/>
      <c r="Y47" s="70"/>
      <c r="Z47" s="70"/>
      <c r="AA47" s="70"/>
      <c r="AB47" s="70"/>
      <c r="AC47" s="70"/>
      <c r="AD47" s="70"/>
      <c r="AE47" s="70"/>
      <c r="AF47" s="70"/>
      <c r="AG47" s="70"/>
      <c r="AH47" s="70"/>
      <c r="AI47" s="70"/>
      <c r="AJ47" s="70"/>
      <c r="AK47" s="70"/>
      <c r="AL47" s="70"/>
      <c r="AM47" s="70"/>
      <c r="AN47" s="70"/>
      <c r="AO47" s="70"/>
      <c r="AP47" s="70"/>
      <c r="AQ47" s="70"/>
      <c r="AR47" s="70"/>
      <c r="AS47" s="70"/>
      <c r="AT47" s="70"/>
      <c r="AU47" s="70"/>
      <c r="AV47" s="70"/>
      <c r="AW47" s="70"/>
      <c r="AX47" s="70"/>
      <c r="AY47" s="70"/>
      <c r="AZ47" s="70"/>
    </row>
    <row r="48" spans="1:52" hidden="1" x14ac:dyDescent="0.25">
      <c r="A48" s="21" t="s">
        <v>95</v>
      </c>
      <c r="B48" s="21" t="s">
        <v>98</v>
      </c>
      <c r="C48" s="226"/>
      <c r="D48" s="226"/>
      <c r="E48" s="226"/>
      <c r="F48" s="226"/>
      <c r="G48" s="226"/>
      <c r="H48" s="226"/>
      <c r="I48" s="226"/>
      <c r="J48" s="226"/>
      <c r="K48" s="226"/>
      <c r="L48" s="226"/>
      <c r="M48" s="226"/>
      <c r="N48" s="226"/>
      <c r="O48" s="226"/>
      <c r="P48" s="226">
        <f t="shared" si="4"/>
        <v>0</v>
      </c>
      <c r="Q48" s="226">
        <f t="shared" si="5"/>
        <v>0</v>
      </c>
      <c r="R48" s="22"/>
      <c r="S48" s="226">
        <f t="shared" si="6"/>
        <v>0</v>
      </c>
      <c r="T48" s="226">
        <f t="shared" si="7"/>
        <v>0</v>
      </c>
      <c r="U48" s="40" t="s">
        <v>45</v>
      </c>
      <c r="V48" s="21"/>
      <c r="W48" s="21"/>
      <c r="X48" s="70"/>
      <c r="Y48" s="70"/>
      <c r="Z48" s="70"/>
      <c r="AA48" s="70"/>
      <c r="AB48" s="70"/>
      <c r="AC48" s="70"/>
      <c r="AD48" s="70"/>
      <c r="AE48" s="70"/>
      <c r="AF48" s="70"/>
      <c r="AG48" s="70"/>
      <c r="AH48" s="70"/>
      <c r="AI48" s="70"/>
      <c r="AJ48" s="70"/>
      <c r="AK48" s="70"/>
      <c r="AL48" s="70"/>
      <c r="AM48" s="70"/>
      <c r="AN48" s="70"/>
      <c r="AO48" s="70"/>
      <c r="AP48" s="70"/>
      <c r="AQ48" s="70"/>
      <c r="AR48" s="70"/>
      <c r="AS48" s="70"/>
      <c r="AT48" s="70"/>
      <c r="AU48" s="70"/>
      <c r="AV48" s="70"/>
      <c r="AW48" s="70"/>
      <c r="AX48" s="70"/>
      <c r="AY48" s="70"/>
      <c r="AZ48" s="70"/>
    </row>
    <row r="49" spans="1:52" hidden="1" x14ac:dyDescent="0.25">
      <c r="A49" s="21" t="s">
        <v>95</v>
      </c>
      <c r="B49" s="21" t="s">
        <v>99</v>
      </c>
      <c r="C49" s="226"/>
      <c r="D49" s="226"/>
      <c r="E49" s="226"/>
      <c r="F49" s="226"/>
      <c r="G49" s="226"/>
      <c r="H49" s="226"/>
      <c r="I49" s="226"/>
      <c r="J49" s="226"/>
      <c r="K49" s="226"/>
      <c r="L49" s="226"/>
      <c r="M49" s="226"/>
      <c r="N49" s="226"/>
      <c r="O49" s="226"/>
      <c r="P49" s="226">
        <f t="shared" si="4"/>
        <v>0</v>
      </c>
      <c r="Q49" s="227">
        <f t="shared" si="5"/>
        <v>0</v>
      </c>
      <c r="R49" s="22"/>
      <c r="S49" s="226">
        <f t="shared" si="6"/>
        <v>0</v>
      </c>
      <c r="T49" s="226">
        <f t="shared" si="7"/>
        <v>0</v>
      </c>
      <c r="U49" s="40" t="s">
        <v>45</v>
      </c>
      <c r="V49" s="48"/>
      <c r="W49" s="21"/>
      <c r="X49" s="70"/>
      <c r="Y49" s="70"/>
      <c r="Z49" s="70"/>
      <c r="AA49" s="70"/>
      <c r="AB49" s="70"/>
      <c r="AC49" s="70"/>
      <c r="AD49" s="70"/>
      <c r="AE49" s="70"/>
      <c r="AF49" s="70"/>
      <c r="AG49" s="70"/>
      <c r="AH49" s="70"/>
      <c r="AI49" s="70"/>
      <c r="AJ49" s="70"/>
      <c r="AK49" s="70"/>
      <c r="AL49" s="70"/>
      <c r="AM49" s="70"/>
      <c r="AN49" s="70"/>
      <c r="AO49" s="70"/>
      <c r="AP49" s="70"/>
      <c r="AQ49" s="70"/>
      <c r="AR49" s="70"/>
      <c r="AS49" s="70"/>
      <c r="AT49" s="70"/>
      <c r="AU49" s="70"/>
      <c r="AV49" s="70"/>
      <c r="AW49" s="70"/>
      <c r="AX49" s="70"/>
      <c r="AY49" s="70"/>
      <c r="AZ49" s="70"/>
    </row>
    <row r="50" spans="1:52" ht="15.75" customHeight="1" x14ac:dyDescent="0.25">
      <c r="A50" s="23" t="s">
        <v>100</v>
      </c>
      <c r="B50" s="23" t="s">
        <v>101</v>
      </c>
      <c r="C50" s="228"/>
      <c r="D50" s="228"/>
      <c r="E50" s="228">
        <v>243.02</v>
      </c>
      <c r="F50" s="228">
        <v>377.86</v>
      </c>
      <c r="G50" s="228">
        <v>35.99</v>
      </c>
      <c r="H50" s="228">
        <v>60.7</v>
      </c>
      <c r="I50" s="228"/>
      <c r="J50" s="228"/>
      <c r="K50" s="228"/>
      <c r="L50" s="228"/>
      <c r="M50" s="228"/>
      <c r="N50" s="228"/>
      <c r="O50" s="228"/>
      <c r="P50" s="228">
        <f t="shared" si="4"/>
        <v>59.797500000000007</v>
      </c>
      <c r="Q50" s="229">
        <f t="shared" si="5"/>
        <v>717.57</v>
      </c>
      <c r="R50" s="24" t="s">
        <v>42</v>
      </c>
      <c r="S50" s="228">
        <f t="shared" si="6"/>
        <v>358.78500000000003</v>
      </c>
      <c r="T50" s="228">
        <f t="shared" si="7"/>
        <v>29.898750000000003</v>
      </c>
      <c r="U50" s="171" t="s">
        <v>26</v>
      </c>
      <c r="V50" s="172" t="s">
        <v>102</v>
      </c>
      <c r="W50" s="23"/>
      <c r="X50" s="70"/>
      <c r="Y50" s="70"/>
      <c r="Z50" s="70"/>
      <c r="AA50" s="70"/>
      <c r="AB50" s="70"/>
      <c r="AC50" s="70"/>
      <c r="AD50" s="70"/>
      <c r="AE50" s="70"/>
      <c r="AF50" s="70"/>
      <c r="AG50" s="70"/>
      <c r="AH50" s="70"/>
      <c r="AI50" s="70"/>
      <c r="AJ50" s="70"/>
      <c r="AK50" s="70"/>
      <c r="AL50" s="70"/>
      <c r="AM50" s="70"/>
      <c r="AN50" s="70"/>
      <c r="AO50" s="70"/>
      <c r="AP50" s="70"/>
      <c r="AQ50" s="70"/>
      <c r="AR50" s="70"/>
      <c r="AS50" s="70"/>
      <c r="AT50" s="70"/>
      <c r="AU50" s="70"/>
      <c r="AV50" s="70"/>
      <c r="AW50" s="70"/>
      <c r="AX50" s="70"/>
      <c r="AY50" s="70"/>
      <c r="AZ50" s="70"/>
    </row>
    <row r="51" spans="1:52" hidden="1" x14ac:dyDescent="0.25">
      <c r="A51" s="23" t="s">
        <v>100</v>
      </c>
      <c r="B51" s="23" t="s">
        <v>103</v>
      </c>
      <c r="C51" s="228"/>
      <c r="D51" s="228"/>
      <c r="E51" s="228"/>
      <c r="F51" s="228"/>
      <c r="G51" s="228"/>
      <c r="H51" s="228"/>
      <c r="I51" s="228"/>
      <c r="J51" s="228"/>
      <c r="K51" s="228"/>
      <c r="L51" s="228"/>
      <c r="M51" s="228"/>
      <c r="N51" s="228"/>
      <c r="O51" s="228"/>
      <c r="P51" s="228">
        <f t="shared" si="4"/>
        <v>0</v>
      </c>
      <c r="Q51" s="228">
        <f t="shared" si="5"/>
        <v>0</v>
      </c>
      <c r="R51" s="24"/>
      <c r="S51" s="228">
        <f t="shared" si="6"/>
        <v>0</v>
      </c>
      <c r="T51" s="228">
        <f t="shared" si="7"/>
        <v>0</v>
      </c>
      <c r="U51" s="41" t="s">
        <v>45</v>
      </c>
      <c r="V51" s="23"/>
      <c r="W51" s="23"/>
      <c r="X51" s="70"/>
      <c r="Y51" s="70"/>
      <c r="Z51" s="70"/>
      <c r="AA51" s="70"/>
      <c r="AB51" s="70"/>
      <c r="AC51" s="70"/>
      <c r="AD51" s="70"/>
      <c r="AE51" s="70"/>
      <c r="AF51" s="70"/>
      <c r="AG51" s="70"/>
      <c r="AH51" s="70"/>
      <c r="AI51" s="70"/>
      <c r="AJ51" s="70"/>
      <c r="AK51" s="70"/>
      <c r="AL51" s="70"/>
      <c r="AM51" s="70"/>
      <c r="AN51" s="70"/>
      <c r="AO51" s="70"/>
      <c r="AP51" s="70"/>
      <c r="AQ51" s="70"/>
      <c r="AR51" s="70"/>
      <c r="AS51" s="70"/>
      <c r="AT51" s="70"/>
      <c r="AU51" s="70"/>
      <c r="AV51" s="70"/>
      <c r="AW51" s="70"/>
      <c r="AX51" s="70"/>
      <c r="AY51" s="70"/>
      <c r="AZ51" s="70"/>
    </row>
    <row r="52" spans="1:52" hidden="1" x14ac:dyDescent="0.25">
      <c r="A52" s="23" t="s">
        <v>100</v>
      </c>
      <c r="B52" s="23" t="s">
        <v>104</v>
      </c>
      <c r="C52" s="228"/>
      <c r="D52" s="228"/>
      <c r="E52" s="228"/>
      <c r="F52" s="228"/>
      <c r="G52" s="228"/>
      <c r="H52" s="228"/>
      <c r="I52" s="228"/>
      <c r="J52" s="228"/>
      <c r="K52" s="228"/>
      <c r="L52" s="228"/>
      <c r="M52" s="228"/>
      <c r="N52" s="228"/>
      <c r="O52" s="228"/>
      <c r="P52" s="228">
        <f t="shared" si="4"/>
        <v>0</v>
      </c>
      <c r="Q52" s="228">
        <f t="shared" si="5"/>
        <v>0</v>
      </c>
      <c r="R52" s="24"/>
      <c r="S52" s="228">
        <f t="shared" si="6"/>
        <v>0</v>
      </c>
      <c r="T52" s="228">
        <f t="shared" si="7"/>
        <v>0</v>
      </c>
      <c r="U52" s="41" t="s">
        <v>45</v>
      </c>
      <c r="V52" s="23"/>
      <c r="W52" s="23"/>
      <c r="X52" s="70"/>
      <c r="Y52" s="70"/>
      <c r="Z52" s="70"/>
      <c r="AA52" s="70"/>
      <c r="AB52" s="70"/>
      <c r="AC52" s="70"/>
      <c r="AD52" s="70"/>
      <c r="AE52" s="70"/>
      <c r="AF52" s="70"/>
      <c r="AG52" s="70"/>
      <c r="AH52" s="70"/>
      <c r="AI52" s="70"/>
      <c r="AJ52" s="70"/>
      <c r="AK52" s="70"/>
      <c r="AL52" s="70"/>
      <c r="AM52" s="70"/>
      <c r="AN52" s="70"/>
      <c r="AO52" s="70"/>
      <c r="AP52" s="70"/>
      <c r="AQ52" s="70"/>
      <c r="AR52" s="70"/>
      <c r="AS52" s="70"/>
      <c r="AT52" s="70"/>
      <c r="AU52" s="70"/>
      <c r="AV52" s="70"/>
      <c r="AW52" s="70"/>
      <c r="AX52" s="70"/>
      <c r="AY52" s="70"/>
      <c r="AZ52" s="70"/>
    </row>
    <row r="53" spans="1:52" ht="15.75" customHeight="1" x14ac:dyDescent="0.25">
      <c r="A53" s="23" t="s">
        <v>100</v>
      </c>
      <c r="B53" s="23" t="s">
        <v>105</v>
      </c>
      <c r="C53" s="228"/>
      <c r="D53" s="228"/>
      <c r="E53" s="228">
        <v>64.75</v>
      </c>
      <c r="F53" s="228">
        <v>84.65</v>
      </c>
      <c r="G53" s="228">
        <v>64.75</v>
      </c>
      <c r="H53" s="228">
        <v>84.65</v>
      </c>
      <c r="I53" s="228">
        <v>63.75</v>
      </c>
      <c r="J53" s="228">
        <v>35.9</v>
      </c>
      <c r="K53" s="228"/>
      <c r="L53" s="228"/>
      <c r="M53" s="228"/>
      <c r="N53" s="228"/>
      <c r="O53" s="228"/>
      <c r="P53" s="228">
        <f t="shared" si="4"/>
        <v>33.204166666666666</v>
      </c>
      <c r="Q53" s="229">
        <f t="shared" si="5"/>
        <v>398.45</v>
      </c>
      <c r="R53" s="24" t="s">
        <v>25</v>
      </c>
      <c r="S53" s="228">
        <f t="shared" si="6"/>
        <v>199.22499999999999</v>
      </c>
      <c r="T53" s="228">
        <f t="shared" si="7"/>
        <v>16.602083333333333</v>
      </c>
      <c r="U53" s="171" t="s">
        <v>26</v>
      </c>
      <c r="V53" s="172" t="s">
        <v>106</v>
      </c>
      <c r="W53" s="23"/>
      <c r="X53" s="70"/>
      <c r="Y53" s="70"/>
      <c r="Z53" s="70"/>
      <c r="AA53" s="70"/>
      <c r="AB53" s="70"/>
      <c r="AC53" s="70"/>
      <c r="AD53" s="70"/>
      <c r="AE53" s="70"/>
      <c r="AF53" s="70"/>
      <c r="AG53" s="70"/>
      <c r="AH53" s="70"/>
      <c r="AI53" s="70"/>
      <c r="AJ53" s="70"/>
      <c r="AK53" s="70"/>
      <c r="AL53" s="70"/>
      <c r="AM53" s="70"/>
      <c r="AN53" s="70"/>
      <c r="AO53" s="70"/>
      <c r="AP53" s="70"/>
      <c r="AQ53" s="70"/>
      <c r="AR53" s="70"/>
      <c r="AS53" s="70"/>
      <c r="AT53" s="70"/>
      <c r="AU53" s="70"/>
      <c r="AV53" s="70"/>
      <c r="AW53" s="70"/>
      <c r="AX53" s="70"/>
      <c r="AY53" s="70"/>
      <c r="AZ53" s="70"/>
    </row>
    <row r="54" spans="1:52" hidden="1" x14ac:dyDescent="0.25">
      <c r="A54" s="25" t="s">
        <v>107</v>
      </c>
      <c r="B54" s="25" t="s">
        <v>108</v>
      </c>
      <c r="C54" s="230"/>
      <c r="D54" s="230"/>
      <c r="E54" s="230"/>
      <c r="F54" s="230"/>
      <c r="G54" s="230"/>
      <c r="H54" s="230"/>
      <c r="I54" s="230"/>
      <c r="J54" s="230"/>
      <c r="K54" s="230"/>
      <c r="L54" s="230"/>
      <c r="M54" s="230"/>
      <c r="N54" s="230"/>
      <c r="O54" s="230"/>
      <c r="P54" s="230">
        <f t="shared" si="4"/>
        <v>0</v>
      </c>
      <c r="Q54" s="230">
        <f t="shared" si="5"/>
        <v>0</v>
      </c>
      <c r="R54" s="26"/>
      <c r="S54" s="230">
        <f t="shared" si="6"/>
        <v>0</v>
      </c>
      <c r="T54" s="230">
        <f t="shared" si="7"/>
        <v>0</v>
      </c>
      <c r="U54" s="42" t="s">
        <v>45</v>
      </c>
      <c r="V54" s="25"/>
      <c r="W54" s="25"/>
      <c r="X54" s="70"/>
      <c r="Y54" s="70"/>
      <c r="Z54" s="70"/>
      <c r="AA54" s="70"/>
      <c r="AB54" s="70"/>
      <c r="AC54" s="70"/>
      <c r="AD54" s="70"/>
      <c r="AE54" s="70"/>
      <c r="AF54" s="70"/>
      <c r="AG54" s="70"/>
      <c r="AH54" s="70"/>
      <c r="AI54" s="70"/>
      <c r="AJ54" s="70"/>
      <c r="AK54" s="70"/>
      <c r="AL54" s="70"/>
      <c r="AM54" s="70"/>
      <c r="AN54" s="70"/>
      <c r="AO54" s="70"/>
      <c r="AP54" s="70"/>
      <c r="AQ54" s="70"/>
      <c r="AR54" s="70"/>
      <c r="AS54" s="70"/>
      <c r="AT54" s="70"/>
      <c r="AU54" s="70"/>
      <c r="AV54" s="70"/>
      <c r="AW54" s="70"/>
      <c r="AX54" s="70"/>
      <c r="AY54" s="70"/>
      <c r="AZ54" s="70"/>
    </row>
    <row r="55" spans="1:52" hidden="1" x14ac:dyDescent="0.25">
      <c r="A55" s="25" t="s">
        <v>107</v>
      </c>
      <c r="B55" s="25" t="s">
        <v>109</v>
      </c>
      <c r="C55" s="230"/>
      <c r="D55" s="230"/>
      <c r="E55" s="230"/>
      <c r="F55" s="230"/>
      <c r="G55" s="230"/>
      <c r="H55" s="230"/>
      <c r="I55" s="230"/>
      <c r="J55" s="230"/>
      <c r="K55" s="230"/>
      <c r="L55" s="230"/>
      <c r="M55" s="230"/>
      <c r="N55" s="230"/>
      <c r="O55" s="230"/>
      <c r="P55" s="230">
        <f t="shared" si="4"/>
        <v>0</v>
      </c>
      <c r="Q55" s="230">
        <f t="shared" si="5"/>
        <v>0</v>
      </c>
      <c r="R55" s="26"/>
      <c r="S55" s="230">
        <f t="shared" si="6"/>
        <v>0</v>
      </c>
      <c r="T55" s="230">
        <f t="shared" si="7"/>
        <v>0</v>
      </c>
      <c r="U55" s="42" t="s">
        <v>45</v>
      </c>
      <c r="V55" s="25"/>
      <c r="W55" s="25"/>
      <c r="X55" s="70"/>
      <c r="Y55" s="70"/>
      <c r="Z55" s="70"/>
      <c r="AA55" s="70"/>
      <c r="AB55" s="70"/>
      <c r="AC55" s="70"/>
      <c r="AD55" s="70"/>
      <c r="AE55" s="70"/>
      <c r="AF55" s="70"/>
      <c r="AG55" s="70"/>
      <c r="AH55" s="70"/>
      <c r="AI55" s="70"/>
      <c r="AJ55" s="70"/>
      <c r="AK55" s="70"/>
      <c r="AL55" s="70"/>
      <c r="AM55" s="70"/>
      <c r="AN55" s="70"/>
      <c r="AO55" s="70"/>
      <c r="AP55" s="70"/>
      <c r="AQ55" s="70"/>
      <c r="AR55" s="70"/>
      <c r="AS55" s="70"/>
      <c r="AT55" s="70"/>
      <c r="AU55" s="70"/>
      <c r="AV55" s="70"/>
      <c r="AW55" s="70"/>
      <c r="AX55" s="70"/>
      <c r="AY55" s="70"/>
      <c r="AZ55" s="70"/>
    </row>
    <row r="56" spans="1:52" hidden="1" x14ac:dyDescent="0.25">
      <c r="A56" s="25" t="s">
        <v>107</v>
      </c>
      <c r="B56" s="25" t="s">
        <v>110</v>
      </c>
      <c r="C56" s="230"/>
      <c r="D56" s="230"/>
      <c r="E56" s="230"/>
      <c r="F56" s="230"/>
      <c r="G56" s="230"/>
      <c r="H56" s="230"/>
      <c r="I56" s="230"/>
      <c r="J56" s="230"/>
      <c r="K56" s="230"/>
      <c r="L56" s="230"/>
      <c r="M56" s="230"/>
      <c r="N56" s="230"/>
      <c r="O56" s="230"/>
      <c r="P56" s="230">
        <f t="shared" si="4"/>
        <v>0</v>
      </c>
      <c r="Q56" s="230">
        <f t="shared" si="5"/>
        <v>0</v>
      </c>
      <c r="R56" s="26"/>
      <c r="S56" s="230">
        <f t="shared" si="6"/>
        <v>0</v>
      </c>
      <c r="T56" s="230">
        <f t="shared" si="7"/>
        <v>0</v>
      </c>
      <c r="U56" s="42" t="s">
        <v>45</v>
      </c>
      <c r="V56" s="25"/>
      <c r="W56" s="25"/>
      <c r="X56" s="70"/>
      <c r="Y56" s="70"/>
      <c r="Z56" s="70"/>
      <c r="AA56" s="70"/>
      <c r="AB56" s="70"/>
      <c r="AC56" s="70"/>
      <c r="AD56" s="70"/>
      <c r="AE56" s="70"/>
      <c r="AF56" s="70"/>
      <c r="AG56" s="70"/>
      <c r="AH56" s="70"/>
      <c r="AI56" s="70"/>
      <c r="AJ56" s="70"/>
      <c r="AK56" s="70"/>
      <c r="AL56" s="70"/>
      <c r="AM56" s="70"/>
      <c r="AN56" s="70"/>
      <c r="AO56" s="70"/>
      <c r="AP56" s="70"/>
      <c r="AQ56" s="70"/>
      <c r="AR56" s="70"/>
      <c r="AS56" s="70"/>
      <c r="AT56" s="70"/>
      <c r="AU56" s="70"/>
      <c r="AV56" s="70"/>
      <c r="AW56" s="70"/>
      <c r="AX56" s="70"/>
      <c r="AY56" s="70"/>
      <c r="AZ56" s="70"/>
    </row>
    <row r="57" spans="1:52" hidden="1" x14ac:dyDescent="0.25">
      <c r="A57" s="25" t="s">
        <v>107</v>
      </c>
      <c r="B57" s="25" t="s">
        <v>111</v>
      </c>
      <c r="C57" s="230"/>
      <c r="D57" s="230"/>
      <c r="E57" s="230"/>
      <c r="F57" s="230"/>
      <c r="G57" s="230"/>
      <c r="H57" s="230"/>
      <c r="I57" s="230"/>
      <c r="J57" s="230"/>
      <c r="K57" s="230"/>
      <c r="L57" s="230"/>
      <c r="M57" s="230"/>
      <c r="N57" s="230"/>
      <c r="O57" s="230"/>
      <c r="P57" s="230">
        <f t="shared" si="4"/>
        <v>0</v>
      </c>
      <c r="Q57" s="231">
        <f t="shared" si="5"/>
        <v>0</v>
      </c>
      <c r="R57" s="26"/>
      <c r="S57" s="230">
        <f t="shared" si="6"/>
        <v>0</v>
      </c>
      <c r="T57" s="230">
        <f t="shared" si="7"/>
        <v>0</v>
      </c>
      <c r="U57" s="42" t="s">
        <v>45</v>
      </c>
      <c r="V57" s="49"/>
      <c r="W57" s="25"/>
      <c r="X57" s="70"/>
      <c r="Y57" s="70"/>
      <c r="Z57" s="70"/>
      <c r="AA57" s="70"/>
      <c r="AB57" s="70"/>
      <c r="AC57" s="70"/>
      <c r="AD57" s="70"/>
      <c r="AE57" s="70"/>
      <c r="AF57" s="70"/>
      <c r="AG57" s="70"/>
      <c r="AH57" s="70"/>
      <c r="AI57" s="70"/>
      <c r="AJ57" s="70"/>
      <c r="AK57" s="70"/>
      <c r="AL57" s="70"/>
      <c r="AM57" s="70"/>
      <c r="AN57" s="70"/>
      <c r="AO57" s="70"/>
      <c r="AP57" s="70"/>
      <c r="AQ57" s="70"/>
      <c r="AR57" s="70"/>
      <c r="AS57" s="70"/>
      <c r="AT57" s="70"/>
      <c r="AU57" s="70"/>
      <c r="AV57" s="70"/>
      <c r="AW57" s="70"/>
      <c r="AX57" s="70"/>
      <c r="AY57" s="70"/>
      <c r="AZ57" s="70"/>
    </row>
    <row r="58" spans="1:52" hidden="1" x14ac:dyDescent="0.25">
      <c r="A58" s="7" t="s">
        <v>23</v>
      </c>
      <c r="B58" s="7" t="s">
        <v>111</v>
      </c>
      <c r="C58" s="212"/>
      <c r="D58" s="212"/>
      <c r="E58" s="212"/>
      <c r="F58" s="212"/>
      <c r="G58" s="212"/>
      <c r="H58" s="212"/>
      <c r="I58" s="212"/>
      <c r="J58" s="212"/>
      <c r="K58" s="212"/>
      <c r="L58" s="212"/>
      <c r="M58" s="212"/>
      <c r="N58" s="212"/>
      <c r="O58" s="212"/>
      <c r="P58" s="212">
        <f t="shared" si="4"/>
        <v>0</v>
      </c>
      <c r="Q58" s="213">
        <f t="shared" si="5"/>
        <v>0</v>
      </c>
      <c r="R58" s="8" t="s">
        <v>25</v>
      </c>
      <c r="S58" s="212">
        <f t="shared" si="6"/>
        <v>0</v>
      </c>
      <c r="T58" s="212">
        <f t="shared" si="7"/>
        <v>0</v>
      </c>
      <c r="U58" s="99" t="s">
        <v>45</v>
      </c>
      <c r="V58" s="100"/>
      <c r="W58" s="7"/>
      <c r="X58" s="70"/>
      <c r="Y58" s="70"/>
      <c r="Z58" s="70"/>
      <c r="AA58" s="70"/>
      <c r="AB58" s="70"/>
      <c r="AC58" s="70"/>
      <c r="AD58" s="70"/>
      <c r="AE58" s="70"/>
      <c r="AF58" s="70"/>
      <c r="AG58" s="70"/>
      <c r="AH58" s="70"/>
      <c r="AI58" s="70"/>
      <c r="AJ58" s="70"/>
      <c r="AK58" s="70"/>
      <c r="AL58" s="70"/>
      <c r="AM58" s="70"/>
      <c r="AN58" s="70"/>
      <c r="AO58" s="70"/>
      <c r="AP58" s="70"/>
      <c r="AQ58" s="70"/>
      <c r="AR58" s="70"/>
      <c r="AS58" s="70"/>
      <c r="AT58" s="70"/>
      <c r="AU58" s="70"/>
      <c r="AV58" s="70"/>
      <c r="AW58" s="70"/>
      <c r="AX58" s="70"/>
      <c r="AY58" s="70"/>
      <c r="AZ58" s="70"/>
    </row>
    <row r="59" spans="1:52" hidden="1" x14ac:dyDescent="0.25">
      <c r="A59" s="11" t="s">
        <v>48</v>
      </c>
      <c r="B59" s="11" t="s">
        <v>99</v>
      </c>
      <c r="C59" s="216"/>
      <c r="D59" s="216"/>
      <c r="E59" s="216"/>
      <c r="F59" s="216"/>
      <c r="G59" s="216"/>
      <c r="H59" s="216"/>
      <c r="I59" s="216"/>
      <c r="J59" s="216"/>
      <c r="K59" s="216"/>
      <c r="L59" s="216"/>
      <c r="M59" s="216"/>
      <c r="N59" s="216"/>
      <c r="O59" s="216"/>
      <c r="P59" s="216">
        <f t="shared" si="4"/>
        <v>0</v>
      </c>
      <c r="Q59" s="217">
        <f t="shared" si="5"/>
        <v>0</v>
      </c>
      <c r="R59" s="12" t="s">
        <v>112</v>
      </c>
      <c r="S59" s="216">
        <f t="shared" si="6"/>
        <v>0</v>
      </c>
      <c r="T59" s="216">
        <f t="shared" si="7"/>
        <v>0</v>
      </c>
      <c r="U59" s="35" t="s">
        <v>45</v>
      </c>
      <c r="V59" s="101"/>
      <c r="W59" s="102"/>
      <c r="X59" s="71"/>
      <c r="Y59" s="71"/>
      <c r="Z59" s="71"/>
      <c r="AA59" s="71"/>
      <c r="AB59" s="71"/>
      <c r="AC59" s="71"/>
      <c r="AD59" s="71"/>
      <c r="AE59" s="71"/>
      <c r="AF59" s="71"/>
      <c r="AG59" s="71"/>
      <c r="AH59" s="71"/>
      <c r="AI59" s="71"/>
      <c r="AJ59" s="71"/>
      <c r="AK59" s="71"/>
      <c r="AL59" s="71"/>
      <c r="AM59" s="71"/>
      <c r="AN59" s="71"/>
      <c r="AO59" s="71"/>
      <c r="AP59" s="71"/>
      <c r="AQ59" s="71"/>
      <c r="AR59" s="71"/>
      <c r="AS59" s="71"/>
      <c r="AT59" s="71"/>
      <c r="AU59" s="71"/>
      <c r="AV59" s="71"/>
      <c r="AW59" s="71"/>
      <c r="AX59" s="71"/>
      <c r="AY59" s="71"/>
      <c r="AZ59" s="71"/>
    </row>
    <row r="60" spans="1:52" hidden="1" x14ac:dyDescent="0.25">
      <c r="A60" s="27"/>
      <c r="B60" s="27"/>
      <c r="C60" s="232"/>
      <c r="D60" s="232"/>
      <c r="E60" s="232"/>
      <c r="F60" s="232"/>
      <c r="G60" s="232"/>
      <c r="H60" s="232"/>
      <c r="I60" s="232"/>
      <c r="J60" s="232"/>
      <c r="K60" s="232"/>
      <c r="L60" s="232"/>
      <c r="M60" s="232"/>
      <c r="N60" s="232"/>
      <c r="O60" s="232"/>
      <c r="P60" s="232" t="str">
        <f t="shared" si="4"/>
        <v/>
      </c>
      <c r="Q60" s="232" t="str">
        <f t="shared" si="5"/>
        <v/>
      </c>
      <c r="R60" s="33"/>
      <c r="S60" s="232" t="str">
        <f t="shared" si="6"/>
        <v/>
      </c>
      <c r="T60" s="232" t="str">
        <f t="shared" si="7"/>
        <v/>
      </c>
      <c r="U60" s="43"/>
      <c r="V60" s="27"/>
      <c r="W60" s="27"/>
      <c r="X60" s="70"/>
      <c r="Y60" s="70"/>
      <c r="Z60" s="70"/>
      <c r="AA60" s="70"/>
      <c r="AB60" s="70"/>
      <c r="AC60" s="70"/>
      <c r="AD60" s="70"/>
      <c r="AE60" s="70"/>
      <c r="AF60" s="70"/>
      <c r="AG60" s="70"/>
      <c r="AH60" s="70"/>
      <c r="AI60" s="70"/>
      <c r="AJ60" s="70"/>
      <c r="AK60" s="70"/>
      <c r="AL60" s="70"/>
      <c r="AM60" s="70"/>
      <c r="AN60" s="70"/>
      <c r="AO60" s="70"/>
      <c r="AP60" s="70"/>
      <c r="AQ60" s="70"/>
      <c r="AR60" s="70"/>
      <c r="AS60" s="70"/>
      <c r="AT60" s="70"/>
      <c r="AU60" s="70"/>
      <c r="AV60" s="70"/>
      <c r="AW60" s="70"/>
      <c r="AX60" s="70"/>
      <c r="AY60" s="70"/>
      <c r="AZ60" s="70"/>
    </row>
    <row r="61" spans="1:52" hidden="1" x14ac:dyDescent="0.25">
      <c r="A61" s="27"/>
      <c r="B61" s="27"/>
      <c r="C61" s="232"/>
      <c r="D61" s="232"/>
      <c r="E61" s="232"/>
      <c r="F61" s="232"/>
      <c r="G61" s="232"/>
      <c r="H61" s="232"/>
      <c r="I61" s="232"/>
      <c r="J61" s="232"/>
      <c r="K61" s="232"/>
      <c r="L61" s="232"/>
      <c r="M61" s="232"/>
      <c r="N61" s="232"/>
      <c r="O61" s="232"/>
      <c r="P61" s="232" t="str">
        <f t="shared" si="4"/>
        <v/>
      </c>
      <c r="Q61" s="232" t="str">
        <f t="shared" si="5"/>
        <v/>
      </c>
      <c r="R61" s="33"/>
      <c r="S61" s="232" t="str">
        <f t="shared" si="6"/>
        <v/>
      </c>
      <c r="T61" s="232" t="str">
        <f t="shared" si="7"/>
        <v/>
      </c>
      <c r="U61" s="43"/>
      <c r="V61" s="27"/>
      <c r="W61" s="27"/>
      <c r="X61" s="70"/>
      <c r="Y61" s="70"/>
      <c r="Z61" s="70"/>
      <c r="AA61" s="70"/>
      <c r="AB61" s="70"/>
      <c r="AC61" s="70"/>
      <c r="AD61" s="70"/>
      <c r="AE61" s="70"/>
      <c r="AF61" s="70"/>
      <c r="AG61" s="70"/>
      <c r="AH61" s="70"/>
      <c r="AI61" s="70"/>
      <c r="AJ61" s="70"/>
      <c r="AK61" s="70"/>
      <c r="AL61" s="70"/>
      <c r="AM61" s="70"/>
      <c r="AN61" s="70"/>
      <c r="AO61" s="70"/>
      <c r="AP61" s="70"/>
      <c r="AQ61" s="70"/>
      <c r="AR61" s="70"/>
      <c r="AS61" s="70"/>
      <c r="AT61" s="70"/>
      <c r="AU61" s="70"/>
      <c r="AV61" s="70"/>
      <c r="AW61" s="70"/>
      <c r="AX61" s="70"/>
      <c r="AY61" s="70"/>
      <c r="AZ61" s="70"/>
    </row>
    <row r="62" spans="1:52" hidden="1" x14ac:dyDescent="0.25">
      <c r="A62" s="27"/>
      <c r="B62" s="27"/>
      <c r="C62" s="232"/>
      <c r="D62" s="232"/>
      <c r="E62" s="232"/>
      <c r="F62" s="232"/>
      <c r="G62" s="232"/>
      <c r="H62" s="232"/>
      <c r="I62" s="232"/>
      <c r="J62" s="232"/>
      <c r="K62" s="232"/>
      <c r="L62" s="232"/>
      <c r="M62" s="232"/>
      <c r="N62" s="232"/>
      <c r="O62" s="232"/>
      <c r="P62" s="232" t="str">
        <f t="shared" si="4"/>
        <v/>
      </c>
      <c r="Q62" s="232" t="str">
        <f t="shared" si="5"/>
        <v/>
      </c>
      <c r="R62" s="33"/>
      <c r="S62" s="232" t="str">
        <f t="shared" si="6"/>
        <v/>
      </c>
      <c r="T62" s="232" t="str">
        <f t="shared" si="7"/>
        <v/>
      </c>
      <c r="U62" s="43"/>
      <c r="V62" s="27"/>
      <c r="W62" s="27"/>
      <c r="X62" s="70"/>
      <c r="Y62" s="70"/>
      <c r="Z62" s="70"/>
      <c r="AA62" s="70"/>
      <c r="AB62" s="70"/>
      <c r="AC62" s="70"/>
      <c r="AD62" s="70"/>
      <c r="AE62" s="70"/>
      <c r="AF62" s="70"/>
      <c r="AG62" s="70"/>
      <c r="AH62" s="70"/>
      <c r="AI62" s="70"/>
      <c r="AJ62" s="70"/>
      <c r="AK62" s="70"/>
      <c r="AL62" s="70"/>
      <c r="AM62" s="70"/>
      <c r="AN62" s="70"/>
      <c r="AO62" s="70"/>
      <c r="AP62" s="70"/>
      <c r="AQ62" s="70"/>
      <c r="AR62" s="70"/>
      <c r="AS62" s="70"/>
      <c r="AT62" s="70"/>
      <c r="AU62" s="70"/>
      <c r="AV62" s="70"/>
      <c r="AW62" s="70"/>
      <c r="AX62" s="70"/>
      <c r="AY62" s="70"/>
      <c r="AZ62" s="70"/>
    </row>
    <row r="63" spans="1:52" hidden="1" x14ac:dyDescent="0.25">
      <c r="A63" s="27"/>
      <c r="B63" s="27"/>
      <c r="C63" s="232"/>
      <c r="D63" s="232"/>
      <c r="E63" s="232"/>
      <c r="F63" s="232"/>
      <c r="G63" s="232"/>
      <c r="H63" s="232"/>
      <c r="I63" s="232"/>
      <c r="J63" s="232"/>
      <c r="K63" s="232"/>
      <c r="L63" s="232"/>
      <c r="M63" s="232"/>
      <c r="N63" s="232"/>
      <c r="O63" s="232"/>
      <c r="P63" s="232" t="str">
        <f t="shared" si="4"/>
        <v/>
      </c>
      <c r="Q63" s="232" t="str">
        <f t="shared" si="5"/>
        <v/>
      </c>
      <c r="R63" s="33"/>
      <c r="S63" s="232" t="str">
        <f t="shared" si="6"/>
        <v/>
      </c>
      <c r="T63" s="232" t="str">
        <f t="shared" si="7"/>
        <v/>
      </c>
      <c r="U63" s="43"/>
      <c r="V63" s="27"/>
      <c r="W63" s="27"/>
      <c r="X63" s="70"/>
      <c r="Y63" s="70"/>
      <c r="Z63" s="70"/>
      <c r="AA63" s="70"/>
      <c r="AB63" s="70"/>
      <c r="AC63" s="70"/>
      <c r="AD63" s="70"/>
      <c r="AE63" s="70"/>
      <c r="AF63" s="70"/>
      <c r="AG63" s="70"/>
      <c r="AH63" s="70"/>
      <c r="AI63" s="70"/>
      <c r="AJ63" s="70"/>
      <c r="AK63" s="70"/>
      <c r="AL63" s="70"/>
      <c r="AM63" s="70"/>
      <c r="AN63" s="70"/>
      <c r="AO63" s="70"/>
      <c r="AP63" s="70"/>
      <c r="AQ63" s="70"/>
      <c r="AR63" s="70"/>
      <c r="AS63" s="70"/>
      <c r="AT63" s="70"/>
      <c r="AU63" s="70"/>
      <c r="AV63" s="70"/>
      <c r="AW63" s="70"/>
      <c r="AX63" s="70"/>
      <c r="AY63" s="70"/>
      <c r="AZ63" s="70"/>
    </row>
    <row r="64" spans="1:52" hidden="1" x14ac:dyDescent="0.25">
      <c r="A64" s="27"/>
      <c r="B64" s="27"/>
      <c r="C64" s="232"/>
      <c r="D64" s="232"/>
      <c r="E64" s="232"/>
      <c r="F64" s="232"/>
      <c r="G64" s="232"/>
      <c r="H64" s="232"/>
      <c r="I64" s="232"/>
      <c r="J64" s="232"/>
      <c r="K64" s="232"/>
      <c r="L64" s="232"/>
      <c r="M64" s="232"/>
      <c r="N64" s="232"/>
      <c r="O64" s="232"/>
      <c r="P64" s="232" t="str">
        <f t="shared" si="4"/>
        <v/>
      </c>
      <c r="Q64" s="232" t="str">
        <f t="shared" si="5"/>
        <v/>
      </c>
      <c r="R64" s="33"/>
      <c r="S64" s="232" t="str">
        <f t="shared" si="6"/>
        <v/>
      </c>
      <c r="T64" s="232" t="str">
        <f t="shared" si="7"/>
        <v/>
      </c>
      <c r="U64" s="43"/>
      <c r="V64" s="27"/>
      <c r="W64" s="27"/>
      <c r="X64" s="70"/>
      <c r="Y64" s="70"/>
      <c r="Z64" s="70"/>
      <c r="AA64" s="70"/>
      <c r="AB64" s="70"/>
      <c r="AC64" s="70"/>
      <c r="AD64" s="70"/>
      <c r="AE64" s="70"/>
      <c r="AF64" s="70"/>
      <c r="AG64" s="70"/>
      <c r="AH64" s="70"/>
      <c r="AI64" s="70"/>
      <c r="AJ64" s="70"/>
      <c r="AK64" s="70"/>
      <c r="AL64" s="70"/>
      <c r="AM64" s="70"/>
      <c r="AN64" s="70"/>
      <c r="AO64" s="70"/>
      <c r="AP64" s="70"/>
      <c r="AQ64" s="70"/>
      <c r="AR64" s="70"/>
      <c r="AS64" s="70"/>
      <c r="AT64" s="70"/>
      <c r="AU64" s="70"/>
      <c r="AV64" s="70"/>
      <c r="AW64" s="70"/>
      <c r="AX64" s="70"/>
      <c r="AY64" s="70"/>
      <c r="AZ64" s="70"/>
    </row>
    <row r="65" spans="1:52" hidden="1" x14ac:dyDescent="0.25">
      <c r="A65" s="27"/>
      <c r="B65" s="27"/>
      <c r="C65" s="232"/>
      <c r="D65" s="232"/>
      <c r="E65" s="232"/>
      <c r="F65" s="232"/>
      <c r="G65" s="232"/>
      <c r="H65" s="232"/>
      <c r="I65" s="232"/>
      <c r="J65" s="232"/>
      <c r="K65" s="232"/>
      <c r="L65" s="232"/>
      <c r="M65" s="232"/>
      <c r="N65" s="232"/>
      <c r="O65" s="232"/>
      <c r="P65" s="232" t="str">
        <f t="shared" si="4"/>
        <v/>
      </c>
      <c r="Q65" s="232" t="str">
        <f t="shared" si="5"/>
        <v/>
      </c>
      <c r="R65" s="33"/>
      <c r="S65" s="232" t="str">
        <f t="shared" si="6"/>
        <v/>
      </c>
      <c r="T65" s="232" t="str">
        <f t="shared" si="7"/>
        <v/>
      </c>
      <c r="U65" s="43"/>
      <c r="V65" s="27"/>
      <c r="W65" s="27"/>
      <c r="X65" s="70"/>
      <c r="Y65" s="70"/>
      <c r="Z65" s="70"/>
      <c r="AA65" s="70"/>
      <c r="AB65" s="70"/>
      <c r="AC65" s="70"/>
      <c r="AD65" s="70"/>
      <c r="AE65" s="70"/>
      <c r="AF65" s="70"/>
      <c r="AG65" s="70"/>
      <c r="AH65" s="70"/>
      <c r="AI65" s="70"/>
      <c r="AJ65" s="70"/>
      <c r="AK65" s="70"/>
      <c r="AL65" s="70"/>
      <c r="AM65" s="70"/>
      <c r="AN65" s="70"/>
      <c r="AO65" s="70"/>
      <c r="AP65" s="70"/>
      <c r="AQ65" s="70"/>
      <c r="AR65" s="70"/>
      <c r="AS65" s="70"/>
      <c r="AT65" s="70"/>
      <c r="AU65" s="70"/>
      <c r="AV65" s="70"/>
      <c r="AW65" s="70"/>
      <c r="AX65" s="70"/>
      <c r="AY65" s="70"/>
      <c r="AZ65" s="70"/>
    </row>
    <row r="66" spans="1:52" hidden="1" x14ac:dyDescent="0.25">
      <c r="A66" s="27"/>
      <c r="B66" s="27"/>
      <c r="C66" s="232"/>
      <c r="D66" s="232"/>
      <c r="E66" s="232"/>
      <c r="F66" s="232"/>
      <c r="G66" s="232"/>
      <c r="H66" s="232"/>
      <c r="I66" s="232"/>
      <c r="J66" s="232"/>
      <c r="K66" s="232"/>
      <c r="L66" s="232"/>
      <c r="M66" s="232"/>
      <c r="N66" s="232"/>
      <c r="O66" s="232"/>
      <c r="P66" s="232" t="str">
        <f t="shared" si="4"/>
        <v/>
      </c>
      <c r="Q66" s="232" t="str">
        <f t="shared" si="5"/>
        <v/>
      </c>
      <c r="R66" s="33"/>
      <c r="S66" s="232" t="str">
        <f t="shared" si="6"/>
        <v/>
      </c>
      <c r="T66" s="232" t="str">
        <f t="shared" si="7"/>
        <v/>
      </c>
      <c r="U66" s="43"/>
      <c r="V66" s="27"/>
      <c r="W66" s="27"/>
      <c r="X66" s="70"/>
      <c r="Y66" s="70"/>
      <c r="Z66" s="70"/>
      <c r="AA66" s="70"/>
      <c r="AB66" s="70"/>
      <c r="AC66" s="70"/>
      <c r="AD66" s="70"/>
      <c r="AE66" s="70"/>
      <c r="AF66" s="70"/>
      <c r="AG66" s="70"/>
      <c r="AH66" s="70"/>
      <c r="AI66" s="70"/>
      <c r="AJ66" s="70"/>
      <c r="AK66" s="70"/>
      <c r="AL66" s="70"/>
      <c r="AM66" s="70"/>
      <c r="AN66" s="70"/>
      <c r="AO66" s="70"/>
      <c r="AP66" s="70"/>
      <c r="AQ66" s="70"/>
      <c r="AR66" s="70"/>
      <c r="AS66" s="70"/>
      <c r="AT66" s="70"/>
      <c r="AU66" s="70"/>
      <c r="AV66" s="70"/>
      <c r="AW66" s="70"/>
      <c r="AX66" s="70"/>
      <c r="AY66" s="70"/>
      <c r="AZ66" s="70"/>
    </row>
    <row r="67" spans="1:52" hidden="1" x14ac:dyDescent="0.25">
      <c r="A67" s="27"/>
      <c r="B67" s="27"/>
      <c r="C67" s="232"/>
      <c r="D67" s="232"/>
      <c r="E67" s="232"/>
      <c r="F67" s="232"/>
      <c r="G67" s="232"/>
      <c r="H67" s="232"/>
      <c r="I67" s="232"/>
      <c r="J67" s="232"/>
      <c r="K67" s="232"/>
      <c r="L67" s="232"/>
      <c r="M67" s="232"/>
      <c r="N67" s="232"/>
      <c r="O67" s="232"/>
      <c r="P67" s="232" t="str">
        <f t="shared" si="4"/>
        <v/>
      </c>
      <c r="Q67" s="232" t="str">
        <f t="shared" si="5"/>
        <v/>
      </c>
      <c r="R67" s="33"/>
      <c r="S67" s="232" t="str">
        <f t="shared" si="6"/>
        <v/>
      </c>
      <c r="T67" s="232" t="str">
        <f t="shared" si="7"/>
        <v/>
      </c>
      <c r="U67" s="43"/>
      <c r="V67" s="27"/>
      <c r="W67" s="27"/>
      <c r="X67" s="70"/>
      <c r="Y67" s="70"/>
      <c r="Z67" s="70"/>
      <c r="AA67" s="70"/>
      <c r="AB67" s="70"/>
      <c r="AC67" s="70"/>
      <c r="AD67" s="70"/>
      <c r="AE67" s="70"/>
      <c r="AF67" s="70"/>
      <c r="AG67" s="70"/>
      <c r="AH67" s="70"/>
      <c r="AI67" s="70"/>
      <c r="AJ67" s="70"/>
      <c r="AK67" s="70"/>
      <c r="AL67" s="70"/>
      <c r="AM67" s="70"/>
      <c r="AN67" s="70"/>
      <c r="AO67" s="70"/>
      <c r="AP67" s="70"/>
      <c r="AQ67" s="70"/>
      <c r="AR67" s="70"/>
      <c r="AS67" s="70"/>
      <c r="AT67" s="70"/>
      <c r="AU67" s="70"/>
      <c r="AV67" s="70"/>
      <c r="AW67" s="70"/>
      <c r="AX67" s="70"/>
      <c r="AY67" s="70"/>
      <c r="AZ67" s="70"/>
    </row>
    <row r="68" spans="1:52" hidden="1" x14ac:dyDescent="0.25">
      <c r="A68" s="27"/>
      <c r="B68" s="27"/>
      <c r="C68" s="232"/>
      <c r="D68" s="232"/>
      <c r="E68" s="232"/>
      <c r="F68" s="232"/>
      <c r="G68" s="232"/>
      <c r="H68" s="232"/>
      <c r="I68" s="232"/>
      <c r="J68" s="232"/>
      <c r="K68" s="232"/>
      <c r="L68" s="232"/>
      <c r="M68" s="232"/>
      <c r="N68" s="232"/>
      <c r="O68" s="232"/>
      <c r="P68" s="232" t="str">
        <f t="shared" si="4"/>
        <v/>
      </c>
      <c r="Q68" s="232" t="str">
        <f t="shared" si="5"/>
        <v/>
      </c>
      <c r="R68" s="33"/>
      <c r="S68" s="232" t="str">
        <f t="shared" si="6"/>
        <v/>
      </c>
      <c r="T68" s="232" t="str">
        <f t="shared" si="7"/>
        <v/>
      </c>
      <c r="U68" s="43"/>
      <c r="V68" s="27"/>
      <c r="W68" s="27"/>
      <c r="X68" s="70"/>
      <c r="Y68" s="70"/>
      <c r="Z68" s="70"/>
      <c r="AA68" s="70"/>
      <c r="AB68" s="70"/>
      <c r="AC68" s="70"/>
      <c r="AD68" s="70"/>
      <c r="AE68" s="70"/>
      <c r="AF68" s="70"/>
      <c r="AG68" s="70"/>
      <c r="AH68" s="70"/>
      <c r="AI68" s="70"/>
      <c r="AJ68" s="70"/>
      <c r="AK68" s="70"/>
      <c r="AL68" s="70"/>
      <c r="AM68" s="70"/>
      <c r="AN68" s="70"/>
      <c r="AO68" s="70"/>
      <c r="AP68" s="70"/>
      <c r="AQ68" s="70"/>
      <c r="AR68" s="70"/>
      <c r="AS68" s="70"/>
      <c r="AT68" s="70"/>
      <c r="AU68" s="70"/>
      <c r="AV68" s="70"/>
      <c r="AW68" s="70"/>
      <c r="AX68" s="70"/>
      <c r="AY68" s="70"/>
      <c r="AZ68" s="70"/>
    </row>
    <row r="69" spans="1:52" hidden="1" x14ac:dyDescent="0.25">
      <c r="A69" s="27"/>
      <c r="B69" s="27"/>
      <c r="C69" s="232"/>
      <c r="D69" s="232"/>
      <c r="E69" s="232"/>
      <c r="F69" s="232"/>
      <c r="G69" s="232"/>
      <c r="H69" s="232"/>
      <c r="I69" s="232"/>
      <c r="J69" s="232"/>
      <c r="K69" s="232"/>
      <c r="L69" s="232"/>
      <c r="M69" s="232"/>
      <c r="N69" s="232"/>
      <c r="O69" s="232"/>
      <c r="P69" s="232" t="str">
        <f t="shared" ref="P69:P100" si="8">IF(OR(A69&lt;&gt;"",B69&lt;&gt;""),(SUM(C69:N69)+O69)/12,"")</f>
        <v/>
      </c>
      <c r="Q69" s="232" t="str">
        <f t="shared" ref="Q69:Q100" si="9">IF(OR(A69&lt;&gt;"",B69&lt;&gt;""),SUM(C69:N69)+O69,"")</f>
        <v/>
      </c>
      <c r="R69" s="33"/>
      <c r="S69" s="232" t="str">
        <f t="shared" ref="S69:S100" si="10">IF(OR(A69&lt;&gt;"",B69&lt;&gt;""),IF(R69="Sim",Q69/2,Q69),"")</f>
        <v/>
      </c>
      <c r="T69" s="232" t="str">
        <f t="shared" ref="T69:T100" si="11">IF(OR(A69&lt;&gt;"",B69&lt;&gt;""),IF(R69="Sim",P69/2,P69),"")</f>
        <v/>
      </c>
      <c r="U69" s="43"/>
      <c r="V69" s="27"/>
      <c r="W69" s="27"/>
      <c r="X69" s="70"/>
      <c r="Y69" s="70"/>
      <c r="Z69" s="70"/>
      <c r="AA69" s="70"/>
      <c r="AB69" s="70"/>
      <c r="AC69" s="70"/>
      <c r="AD69" s="70"/>
      <c r="AE69" s="70"/>
      <c r="AF69" s="70"/>
      <c r="AG69" s="70"/>
      <c r="AH69" s="70"/>
      <c r="AI69" s="70"/>
      <c r="AJ69" s="70"/>
      <c r="AK69" s="70"/>
      <c r="AL69" s="70"/>
      <c r="AM69" s="70"/>
      <c r="AN69" s="70"/>
      <c r="AO69" s="70"/>
      <c r="AP69" s="70"/>
      <c r="AQ69" s="70"/>
      <c r="AR69" s="70"/>
      <c r="AS69" s="70"/>
      <c r="AT69" s="70"/>
      <c r="AU69" s="70"/>
      <c r="AV69" s="70"/>
      <c r="AW69" s="70"/>
      <c r="AX69" s="70"/>
      <c r="AY69" s="70"/>
      <c r="AZ69" s="70"/>
    </row>
    <row r="70" spans="1:52" hidden="1" x14ac:dyDescent="0.25">
      <c r="A70" s="27"/>
      <c r="B70" s="27"/>
      <c r="C70" s="232"/>
      <c r="D70" s="232"/>
      <c r="E70" s="232"/>
      <c r="F70" s="232"/>
      <c r="G70" s="232"/>
      <c r="H70" s="232"/>
      <c r="I70" s="232"/>
      <c r="J70" s="232"/>
      <c r="K70" s="232"/>
      <c r="L70" s="232"/>
      <c r="M70" s="232"/>
      <c r="N70" s="232"/>
      <c r="O70" s="232"/>
      <c r="P70" s="232" t="str">
        <f t="shared" si="8"/>
        <v/>
      </c>
      <c r="Q70" s="232" t="str">
        <f t="shared" si="9"/>
        <v/>
      </c>
      <c r="R70" s="33"/>
      <c r="S70" s="232" t="str">
        <f t="shared" si="10"/>
        <v/>
      </c>
      <c r="T70" s="232" t="str">
        <f t="shared" si="11"/>
        <v/>
      </c>
      <c r="U70" s="43"/>
      <c r="V70" s="27"/>
      <c r="W70" s="27"/>
      <c r="X70" s="70"/>
      <c r="Y70" s="70"/>
      <c r="Z70" s="70"/>
      <c r="AA70" s="70"/>
      <c r="AB70" s="70"/>
      <c r="AC70" s="70"/>
      <c r="AD70" s="70"/>
      <c r="AE70" s="70"/>
      <c r="AF70" s="70"/>
      <c r="AG70" s="70"/>
      <c r="AH70" s="70"/>
      <c r="AI70" s="70"/>
      <c r="AJ70" s="70"/>
      <c r="AK70" s="70"/>
      <c r="AL70" s="70"/>
      <c r="AM70" s="70"/>
      <c r="AN70" s="70"/>
      <c r="AO70" s="70"/>
      <c r="AP70" s="70"/>
      <c r="AQ70" s="70"/>
      <c r="AR70" s="70"/>
      <c r="AS70" s="70"/>
      <c r="AT70" s="70"/>
      <c r="AU70" s="70"/>
      <c r="AV70" s="70"/>
      <c r="AW70" s="70"/>
      <c r="AX70" s="70"/>
      <c r="AY70" s="70"/>
      <c r="AZ70" s="70"/>
    </row>
    <row r="71" spans="1:52" hidden="1" x14ac:dyDescent="0.25">
      <c r="A71" s="27"/>
      <c r="B71" s="27"/>
      <c r="C71" s="232"/>
      <c r="D71" s="232"/>
      <c r="E71" s="232"/>
      <c r="F71" s="232"/>
      <c r="G71" s="232"/>
      <c r="H71" s="232"/>
      <c r="I71" s="232"/>
      <c r="J71" s="232"/>
      <c r="K71" s="232"/>
      <c r="L71" s="232"/>
      <c r="M71" s="232"/>
      <c r="N71" s="232"/>
      <c r="O71" s="232"/>
      <c r="P71" s="232" t="str">
        <f t="shared" si="8"/>
        <v/>
      </c>
      <c r="Q71" s="232" t="str">
        <f t="shared" si="9"/>
        <v/>
      </c>
      <c r="R71" s="33"/>
      <c r="S71" s="232" t="str">
        <f t="shared" si="10"/>
        <v/>
      </c>
      <c r="T71" s="232" t="str">
        <f t="shared" si="11"/>
        <v/>
      </c>
      <c r="U71" s="43"/>
      <c r="V71" s="27"/>
      <c r="W71" s="27"/>
      <c r="X71" s="70"/>
      <c r="Y71" s="70"/>
      <c r="Z71" s="70"/>
      <c r="AA71" s="70"/>
      <c r="AB71" s="70"/>
      <c r="AC71" s="70"/>
      <c r="AD71" s="70"/>
      <c r="AE71" s="70"/>
      <c r="AF71" s="70"/>
      <c r="AG71" s="70"/>
      <c r="AH71" s="70"/>
      <c r="AI71" s="70"/>
      <c r="AJ71" s="70"/>
      <c r="AK71" s="70"/>
      <c r="AL71" s="70"/>
      <c r="AM71" s="70"/>
      <c r="AN71" s="70"/>
      <c r="AO71" s="70"/>
      <c r="AP71" s="70"/>
      <c r="AQ71" s="70"/>
      <c r="AR71" s="70"/>
      <c r="AS71" s="70"/>
      <c r="AT71" s="70"/>
      <c r="AU71" s="70"/>
      <c r="AV71" s="70"/>
      <c r="AW71" s="70"/>
      <c r="AX71" s="70"/>
      <c r="AY71" s="70"/>
      <c r="AZ71" s="70"/>
    </row>
    <row r="72" spans="1:52" hidden="1" x14ac:dyDescent="0.25">
      <c r="A72" s="27"/>
      <c r="B72" s="27"/>
      <c r="C72" s="232"/>
      <c r="D72" s="232"/>
      <c r="E72" s="232"/>
      <c r="F72" s="232"/>
      <c r="G72" s="232"/>
      <c r="H72" s="232"/>
      <c r="I72" s="232"/>
      <c r="J72" s="232"/>
      <c r="K72" s="232"/>
      <c r="L72" s="232"/>
      <c r="M72" s="232"/>
      <c r="N72" s="232"/>
      <c r="O72" s="232"/>
      <c r="P72" s="232" t="str">
        <f t="shared" si="8"/>
        <v/>
      </c>
      <c r="Q72" s="232" t="str">
        <f t="shared" si="9"/>
        <v/>
      </c>
      <c r="R72" s="33"/>
      <c r="S72" s="232" t="str">
        <f t="shared" si="10"/>
        <v/>
      </c>
      <c r="T72" s="232" t="str">
        <f t="shared" si="11"/>
        <v/>
      </c>
      <c r="U72" s="43"/>
      <c r="V72" s="27"/>
      <c r="W72" s="27"/>
      <c r="X72" s="70"/>
      <c r="Y72" s="70"/>
      <c r="Z72" s="70"/>
      <c r="AA72" s="70"/>
      <c r="AB72" s="70"/>
      <c r="AC72" s="70"/>
      <c r="AD72" s="70"/>
      <c r="AE72" s="70"/>
      <c r="AF72" s="70"/>
      <c r="AG72" s="70"/>
      <c r="AH72" s="70"/>
      <c r="AI72" s="70"/>
      <c r="AJ72" s="70"/>
      <c r="AK72" s="70"/>
      <c r="AL72" s="70"/>
      <c r="AM72" s="70"/>
      <c r="AN72" s="70"/>
      <c r="AO72" s="70"/>
      <c r="AP72" s="70"/>
      <c r="AQ72" s="70"/>
      <c r="AR72" s="70"/>
      <c r="AS72" s="70"/>
      <c r="AT72" s="70"/>
      <c r="AU72" s="70"/>
      <c r="AV72" s="70"/>
      <c r="AW72" s="70"/>
      <c r="AX72" s="70"/>
      <c r="AY72" s="70"/>
      <c r="AZ72" s="70"/>
    </row>
    <row r="73" spans="1:52" hidden="1" x14ac:dyDescent="0.25">
      <c r="A73" s="27"/>
      <c r="B73" s="27"/>
      <c r="C73" s="232"/>
      <c r="D73" s="232"/>
      <c r="E73" s="232"/>
      <c r="F73" s="232"/>
      <c r="G73" s="232"/>
      <c r="H73" s="232"/>
      <c r="I73" s="232"/>
      <c r="J73" s="232"/>
      <c r="K73" s="232"/>
      <c r="L73" s="232"/>
      <c r="M73" s="232"/>
      <c r="N73" s="232"/>
      <c r="O73" s="232"/>
      <c r="P73" s="232" t="str">
        <f t="shared" si="8"/>
        <v/>
      </c>
      <c r="Q73" s="232" t="str">
        <f t="shared" si="9"/>
        <v/>
      </c>
      <c r="R73" s="33"/>
      <c r="S73" s="232" t="str">
        <f t="shared" si="10"/>
        <v/>
      </c>
      <c r="T73" s="232" t="str">
        <f t="shared" si="11"/>
        <v/>
      </c>
      <c r="U73" s="43"/>
      <c r="V73" s="27"/>
      <c r="W73" s="27"/>
      <c r="X73" s="70"/>
      <c r="Y73" s="70"/>
      <c r="Z73" s="70"/>
      <c r="AA73" s="70"/>
      <c r="AB73" s="70"/>
      <c r="AC73" s="70"/>
      <c r="AD73" s="70"/>
      <c r="AE73" s="70"/>
      <c r="AF73" s="70"/>
      <c r="AG73" s="70"/>
      <c r="AH73" s="70"/>
      <c r="AI73" s="70"/>
      <c r="AJ73" s="70"/>
      <c r="AK73" s="70"/>
      <c r="AL73" s="70"/>
      <c r="AM73" s="70"/>
      <c r="AN73" s="70"/>
      <c r="AO73" s="70"/>
      <c r="AP73" s="70"/>
      <c r="AQ73" s="70"/>
      <c r="AR73" s="70"/>
      <c r="AS73" s="70"/>
      <c r="AT73" s="70"/>
      <c r="AU73" s="70"/>
      <c r="AV73" s="70"/>
      <c r="AW73" s="70"/>
      <c r="AX73" s="70"/>
      <c r="AY73" s="70"/>
      <c r="AZ73" s="70"/>
    </row>
    <row r="74" spans="1:52" hidden="1" x14ac:dyDescent="0.25">
      <c r="A74" s="27"/>
      <c r="B74" s="27"/>
      <c r="C74" s="232"/>
      <c r="D74" s="232"/>
      <c r="E74" s="232"/>
      <c r="F74" s="232"/>
      <c r="G74" s="232"/>
      <c r="H74" s="232"/>
      <c r="I74" s="232"/>
      <c r="J74" s="232"/>
      <c r="K74" s="232"/>
      <c r="L74" s="232"/>
      <c r="M74" s="232"/>
      <c r="N74" s="232"/>
      <c r="O74" s="232"/>
      <c r="P74" s="232" t="str">
        <f t="shared" si="8"/>
        <v/>
      </c>
      <c r="Q74" s="232" t="str">
        <f t="shared" si="9"/>
        <v/>
      </c>
      <c r="R74" s="33"/>
      <c r="S74" s="232" t="str">
        <f t="shared" si="10"/>
        <v/>
      </c>
      <c r="T74" s="232" t="str">
        <f t="shared" si="11"/>
        <v/>
      </c>
      <c r="U74" s="43"/>
      <c r="V74" s="27"/>
      <c r="W74" s="27"/>
      <c r="X74" s="70"/>
      <c r="Y74" s="70"/>
      <c r="Z74" s="70"/>
      <c r="AA74" s="70"/>
      <c r="AB74" s="70"/>
      <c r="AC74" s="70"/>
      <c r="AD74" s="70"/>
      <c r="AE74" s="70"/>
      <c r="AF74" s="70"/>
      <c r="AG74" s="70"/>
      <c r="AH74" s="70"/>
      <c r="AI74" s="70"/>
      <c r="AJ74" s="70"/>
      <c r="AK74" s="70"/>
      <c r="AL74" s="70"/>
      <c r="AM74" s="70"/>
      <c r="AN74" s="70"/>
      <c r="AO74" s="70"/>
      <c r="AP74" s="70"/>
      <c r="AQ74" s="70"/>
      <c r="AR74" s="70"/>
      <c r="AS74" s="70"/>
      <c r="AT74" s="70"/>
      <c r="AU74" s="70"/>
      <c r="AV74" s="70"/>
      <c r="AW74" s="70"/>
      <c r="AX74" s="70"/>
      <c r="AY74" s="70"/>
      <c r="AZ74" s="70"/>
    </row>
    <row r="75" spans="1:52" hidden="1" x14ac:dyDescent="0.25">
      <c r="A75" s="27"/>
      <c r="B75" s="27"/>
      <c r="C75" s="232"/>
      <c r="D75" s="232"/>
      <c r="E75" s="232"/>
      <c r="F75" s="232"/>
      <c r="G75" s="232"/>
      <c r="H75" s="232"/>
      <c r="I75" s="232"/>
      <c r="J75" s="232"/>
      <c r="K75" s="232"/>
      <c r="L75" s="232"/>
      <c r="M75" s="232"/>
      <c r="N75" s="232"/>
      <c r="O75" s="232"/>
      <c r="P75" s="232" t="str">
        <f t="shared" si="8"/>
        <v/>
      </c>
      <c r="Q75" s="232" t="str">
        <f t="shared" si="9"/>
        <v/>
      </c>
      <c r="R75" s="33"/>
      <c r="S75" s="232" t="str">
        <f t="shared" si="10"/>
        <v/>
      </c>
      <c r="T75" s="232" t="str">
        <f t="shared" si="11"/>
        <v/>
      </c>
      <c r="U75" s="43"/>
      <c r="V75" s="27"/>
      <c r="W75" s="27"/>
      <c r="X75" s="70"/>
      <c r="Y75" s="70"/>
      <c r="Z75" s="70"/>
      <c r="AA75" s="70"/>
      <c r="AB75" s="70"/>
      <c r="AC75" s="70"/>
      <c r="AD75" s="70"/>
      <c r="AE75" s="70"/>
      <c r="AF75" s="70"/>
      <c r="AG75" s="70"/>
      <c r="AH75" s="70"/>
      <c r="AI75" s="70"/>
      <c r="AJ75" s="70"/>
      <c r="AK75" s="70"/>
      <c r="AL75" s="70"/>
      <c r="AM75" s="70"/>
      <c r="AN75" s="70"/>
      <c r="AO75" s="70"/>
      <c r="AP75" s="70"/>
      <c r="AQ75" s="70"/>
      <c r="AR75" s="70"/>
      <c r="AS75" s="70"/>
      <c r="AT75" s="70"/>
      <c r="AU75" s="70"/>
      <c r="AV75" s="70"/>
      <c r="AW75" s="70"/>
      <c r="AX75" s="70"/>
      <c r="AY75" s="70"/>
      <c r="AZ75" s="70"/>
    </row>
    <row r="76" spans="1:52" hidden="1" x14ac:dyDescent="0.25">
      <c r="A76" s="27"/>
      <c r="B76" s="27"/>
      <c r="C76" s="232"/>
      <c r="D76" s="232"/>
      <c r="E76" s="232"/>
      <c r="F76" s="232"/>
      <c r="G76" s="232"/>
      <c r="H76" s="232"/>
      <c r="I76" s="232"/>
      <c r="J76" s="232"/>
      <c r="K76" s="232"/>
      <c r="L76" s="232"/>
      <c r="M76" s="232"/>
      <c r="N76" s="232"/>
      <c r="O76" s="232"/>
      <c r="P76" s="232" t="str">
        <f t="shared" si="8"/>
        <v/>
      </c>
      <c r="Q76" s="232" t="str">
        <f t="shared" si="9"/>
        <v/>
      </c>
      <c r="R76" s="33"/>
      <c r="S76" s="232" t="str">
        <f t="shared" si="10"/>
        <v/>
      </c>
      <c r="T76" s="232" t="str">
        <f t="shared" si="11"/>
        <v/>
      </c>
      <c r="U76" s="43"/>
      <c r="V76" s="27"/>
      <c r="W76" s="27"/>
      <c r="X76" s="70"/>
      <c r="Y76" s="70"/>
      <c r="Z76" s="70"/>
      <c r="AA76" s="70"/>
      <c r="AB76" s="70"/>
      <c r="AC76" s="70"/>
      <c r="AD76" s="70"/>
      <c r="AE76" s="70"/>
      <c r="AF76" s="70"/>
      <c r="AG76" s="70"/>
      <c r="AH76" s="70"/>
      <c r="AI76" s="70"/>
      <c r="AJ76" s="70"/>
      <c r="AK76" s="70"/>
      <c r="AL76" s="70"/>
      <c r="AM76" s="70"/>
      <c r="AN76" s="70"/>
      <c r="AO76" s="70"/>
      <c r="AP76" s="70"/>
      <c r="AQ76" s="70"/>
      <c r="AR76" s="70"/>
      <c r="AS76" s="70"/>
      <c r="AT76" s="70"/>
      <c r="AU76" s="70"/>
      <c r="AV76" s="70"/>
      <c r="AW76" s="70"/>
      <c r="AX76" s="70"/>
      <c r="AY76" s="70"/>
      <c r="AZ76" s="70"/>
    </row>
    <row r="77" spans="1:52" hidden="1" x14ac:dyDescent="0.25">
      <c r="A77" s="27"/>
      <c r="B77" s="27"/>
      <c r="C77" s="232"/>
      <c r="D77" s="232"/>
      <c r="E77" s="232"/>
      <c r="F77" s="232"/>
      <c r="G77" s="232"/>
      <c r="H77" s="232"/>
      <c r="I77" s="232"/>
      <c r="J77" s="232"/>
      <c r="K77" s="232"/>
      <c r="L77" s="232"/>
      <c r="M77" s="232"/>
      <c r="N77" s="232"/>
      <c r="O77" s="232"/>
      <c r="P77" s="232" t="str">
        <f t="shared" si="8"/>
        <v/>
      </c>
      <c r="Q77" s="232" t="str">
        <f t="shared" si="9"/>
        <v/>
      </c>
      <c r="R77" s="33"/>
      <c r="S77" s="232" t="str">
        <f t="shared" si="10"/>
        <v/>
      </c>
      <c r="T77" s="232" t="str">
        <f t="shared" si="11"/>
        <v/>
      </c>
      <c r="U77" s="43"/>
      <c r="V77" s="27"/>
      <c r="W77" s="27"/>
      <c r="X77" s="70"/>
      <c r="Y77" s="70"/>
      <c r="Z77" s="70"/>
      <c r="AA77" s="70"/>
      <c r="AB77" s="70"/>
      <c r="AC77" s="70"/>
      <c r="AD77" s="70"/>
      <c r="AE77" s="70"/>
      <c r="AF77" s="70"/>
      <c r="AG77" s="70"/>
      <c r="AH77" s="70"/>
      <c r="AI77" s="70"/>
      <c r="AJ77" s="70"/>
      <c r="AK77" s="70"/>
      <c r="AL77" s="70"/>
      <c r="AM77" s="70"/>
      <c r="AN77" s="70"/>
      <c r="AO77" s="70"/>
      <c r="AP77" s="70"/>
      <c r="AQ77" s="70"/>
      <c r="AR77" s="70"/>
      <c r="AS77" s="70"/>
      <c r="AT77" s="70"/>
      <c r="AU77" s="70"/>
      <c r="AV77" s="70"/>
      <c r="AW77" s="70"/>
      <c r="AX77" s="70"/>
      <c r="AY77" s="70"/>
      <c r="AZ77" s="70"/>
    </row>
    <row r="78" spans="1:52" hidden="1" x14ac:dyDescent="0.25">
      <c r="A78" s="27"/>
      <c r="B78" s="27"/>
      <c r="C78" s="232"/>
      <c r="D78" s="232"/>
      <c r="E78" s="232"/>
      <c r="F78" s="232"/>
      <c r="G78" s="232"/>
      <c r="H78" s="232"/>
      <c r="I78" s="232"/>
      <c r="J78" s="232"/>
      <c r="K78" s="232"/>
      <c r="L78" s="232"/>
      <c r="M78" s="232"/>
      <c r="N78" s="232"/>
      <c r="O78" s="232"/>
      <c r="P78" s="232" t="str">
        <f t="shared" si="8"/>
        <v/>
      </c>
      <c r="Q78" s="232" t="str">
        <f t="shared" si="9"/>
        <v/>
      </c>
      <c r="R78" s="33"/>
      <c r="S78" s="232" t="str">
        <f t="shared" si="10"/>
        <v/>
      </c>
      <c r="T78" s="232" t="str">
        <f t="shared" si="11"/>
        <v/>
      </c>
      <c r="U78" s="43"/>
      <c r="V78" s="27"/>
      <c r="W78" s="27"/>
      <c r="X78" s="70"/>
      <c r="Y78" s="70"/>
      <c r="Z78" s="70"/>
      <c r="AA78" s="70"/>
      <c r="AB78" s="70"/>
      <c r="AC78" s="70"/>
      <c r="AD78" s="70"/>
      <c r="AE78" s="70"/>
      <c r="AF78" s="70"/>
      <c r="AG78" s="70"/>
      <c r="AH78" s="70"/>
      <c r="AI78" s="70"/>
      <c r="AJ78" s="70"/>
      <c r="AK78" s="70"/>
      <c r="AL78" s="70"/>
      <c r="AM78" s="70"/>
      <c r="AN78" s="70"/>
      <c r="AO78" s="70"/>
      <c r="AP78" s="70"/>
      <c r="AQ78" s="70"/>
      <c r="AR78" s="70"/>
      <c r="AS78" s="70"/>
      <c r="AT78" s="70"/>
      <c r="AU78" s="70"/>
      <c r="AV78" s="70"/>
      <c r="AW78" s="70"/>
      <c r="AX78" s="70"/>
      <c r="AY78" s="70"/>
      <c r="AZ78" s="70"/>
    </row>
    <row r="79" spans="1:52" hidden="1" x14ac:dyDescent="0.25">
      <c r="A79" s="27"/>
      <c r="B79" s="27"/>
      <c r="C79" s="232"/>
      <c r="D79" s="232"/>
      <c r="E79" s="232"/>
      <c r="F79" s="232"/>
      <c r="G79" s="232"/>
      <c r="H79" s="232"/>
      <c r="I79" s="232"/>
      <c r="J79" s="232"/>
      <c r="K79" s="232"/>
      <c r="L79" s="232"/>
      <c r="M79" s="232"/>
      <c r="N79" s="232"/>
      <c r="O79" s="232"/>
      <c r="P79" s="232" t="str">
        <f t="shared" si="8"/>
        <v/>
      </c>
      <c r="Q79" s="232" t="str">
        <f t="shared" si="9"/>
        <v/>
      </c>
      <c r="R79" s="33"/>
      <c r="S79" s="232" t="str">
        <f t="shared" si="10"/>
        <v/>
      </c>
      <c r="T79" s="232" t="str">
        <f t="shared" si="11"/>
        <v/>
      </c>
      <c r="U79" s="43"/>
      <c r="V79" s="27"/>
      <c r="W79" s="27"/>
      <c r="X79" s="70"/>
      <c r="Y79" s="70"/>
      <c r="Z79" s="70"/>
      <c r="AA79" s="70"/>
      <c r="AB79" s="70"/>
      <c r="AC79" s="70"/>
      <c r="AD79" s="70"/>
      <c r="AE79" s="70"/>
      <c r="AF79" s="70"/>
      <c r="AG79" s="70"/>
      <c r="AH79" s="70"/>
      <c r="AI79" s="70"/>
      <c r="AJ79" s="70"/>
      <c r="AK79" s="70"/>
      <c r="AL79" s="70"/>
      <c r="AM79" s="70"/>
      <c r="AN79" s="70"/>
      <c r="AO79" s="70"/>
      <c r="AP79" s="70"/>
      <c r="AQ79" s="70"/>
      <c r="AR79" s="70"/>
      <c r="AS79" s="70"/>
      <c r="AT79" s="70"/>
      <c r="AU79" s="70"/>
      <c r="AV79" s="70"/>
      <c r="AW79" s="70"/>
      <c r="AX79" s="70"/>
      <c r="AY79" s="70"/>
      <c r="AZ79" s="70"/>
    </row>
    <row r="80" spans="1:52" hidden="1" x14ac:dyDescent="0.25">
      <c r="A80" s="27"/>
      <c r="B80" s="27"/>
      <c r="C80" s="232"/>
      <c r="D80" s="232"/>
      <c r="E80" s="232"/>
      <c r="F80" s="232"/>
      <c r="G80" s="232"/>
      <c r="H80" s="232"/>
      <c r="I80" s="232"/>
      <c r="J80" s="232"/>
      <c r="K80" s="232"/>
      <c r="L80" s="232"/>
      <c r="M80" s="232"/>
      <c r="N80" s="232"/>
      <c r="O80" s="232"/>
      <c r="P80" s="232" t="str">
        <f t="shared" si="8"/>
        <v/>
      </c>
      <c r="Q80" s="232" t="str">
        <f t="shared" si="9"/>
        <v/>
      </c>
      <c r="R80" s="33"/>
      <c r="S80" s="232" t="str">
        <f t="shared" si="10"/>
        <v/>
      </c>
      <c r="T80" s="232" t="str">
        <f t="shared" si="11"/>
        <v/>
      </c>
      <c r="U80" s="43"/>
      <c r="V80" s="27"/>
      <c r="W80" s="27"/>
      <c r="X80" s="70"/>
      <c r="Y80" s="70"/>
      <c r="Z80" s="70"/>
      <c r="AA80" s="70"/>
      <c r="AB80" s="70"/>
      <c r="AC80" s="70"/>
      <c r="AD80" s="70"/>
      <c r="AE80" s="70"/>
      <c r="AF80" s="70"/>
      <c r="AG80" s="70"/>
      <c r="AH80" s="70"/>
      <c r="AI80" s="70"/>
      <c r="AJ80" s="70"/>
      <c r="AK80" s="70"/>
      <c r="AL80" s="70"/>
      <c r="AM80" s="70"/>
      <c r="AN80" s="70"/>
      <c r="AO80" s="70"/>
      <c r="AP80" s="70"/>
      <c r="AQ80" s="70"/>
      <c r="AR80" s="70"/>
      <c r="AS80" s="70"/>
      <c r="AT80" s="70"/>
      <c r="AU80" s="70"/>
      <c r="AV80" s="70"/>
      <c r="AW80" s="70"/>
      <c r="AX80" s="70"/>
      <c r="AY80" s="70"/>
      <c r="AZ80" s="70"/>
    </row>
    <row r="81" spans="1:52" hidden="1" x14ac:dyDescent="0.25">
      <c r="A81" s="27"/>
      <c r="B81" s="27"/>
      <c r="C81" s="232"/>
      <c r="D81" s="232"/>
      <c r="E81" s="232"/>
      <c r="F81" s="232"/>
      <c r="G81" s="232"/>
      <c r="H81" s="232"/>
      <c r="I81" s="232"/>
      <c r="J81" s="232"/>
      <c r="K81" s="232"/>
      <c r="L81" s="232"/>
      <c r="M81" s="232"/>
      <c r="N81" s="232"/>
      <c r="O81" s="232"/>
      <c r="P81" s="232" t="str">
        <f t="shared" si="8"/>
        <v/>
      </c>
      <c r="Q81" s="232" t="str">
        <f t="shared" si="9"/>
        <v/>
      </c>
      <c r="R81" s="33"/>
      <c r="S81" s="232" t="str">
        <f t="shared" si="10"/>
        <v/>
      </c>
      <c r="T81" s="232" t="str">
        <f t="shared" si="11"/>
        <v/>
      </c>
      <c r="U81" s="43"/>
      <c r="V81" s="27"/>
      <c r="W81" s="27"/>
      <c r="X81" s="70"/>
      <c r="Y81" s="70"/>
      <c r="Z81" s="70"/>
      <c r="AA81" s="70"/>
      <c r="AB81" s="70"/>
      <c r="AC81" s="70"/>
      <c r="AD81" s="70"/>
      <c r="AE81" s="70"/>
      <c r="AF81" s="70"/>
      <c r="AG81" s="70"/>
      <c r="AH81" s="70"/>
      <c r="AI81" s="70"/>
      <c r="AJ81" s="70"/>
      <c r="AK81" s="70"/>
      <c r="AL81" s="70"/>
      <c r="AM81" s="70"/>
      <c r="AN81" s="70"/>
      <c r="AO81" s="70"/>
      <c r="AP81" s="70"/>
      <c r="AQ81" s="70"/>
      <c r="AR81" s="70"/>
      <c r="AS81" s="70"/>
      <c r="AT81" s="70"/>
      <c r="AU81" s="70"/>
      <c r="AV81" s="70"/>
      <c r="AW81" s="70"/>
      <c r="AX81" s="70"/>
      <c r="AY81" s="70"/>
      <c r="AZ81" s="70"/>
    </row>
    <row r="82" spans="1:52" hidden="1" x14ac:dyDescent="0.25">
      <c r="A82" s="27"/>
      <c r="B82" s="27"/>
      <c r="C82" s="232"/>
      <c r="D82" s="232"/>
      <c r="E82" s="232"/>
      <c r="F82" s="232"/>
      <c r="G82" s="232"/>
      <c r="H82" s="232"/>
      <c r="I82" s="232"/>
      <c r="J82" s="232"/>
      <c r="K82" s="232"/>
      <c r="L82" s="232"/>
      <c r="M82" s="232"/>
      <c r="N82" s="232"/>
      <c r="O82" s="232"/>
      <c r="P82" s="232" t="str">
        <f t="shared" si="8"/>
        <v/>
      </c>
      <c r="Q82" s="232" t="str">
        <f t="shared" si="9"/>
        <v/>
      </c>
      <c r="R82" s="33"/>
      <c r="S82" s="232" t="str">
        <f t="shared" si="10"/>
        <v/>
      </c>
      <c r="T82" s="232" t="str">
        <f t="shared" si="11"/>
        <v/>
      </c>
      <c r="U82" s="43"/>
      <c r="V82" s="27"/>
      <c r="W82" s="27"/>
      <c r="X82" s="70"/>
      <c r="Y82" s="70"/>
      <c r="Z82" s="70"/>
      <c r="AA82" s="70"/>
      <c r="AB82" s="70"/>
      <c r="AC82" s="70"/>
      <c r="AD82" s="70"/>
      <c r="AE82" s="70"/>
      <c r="AF82" s="70"/>
      <c r="AG82" s="70"/>
      <c r="AH82" s="70"/>
      <c r="AI82" s="70"/>
      <c r="AJ82" s="70"/>
      <c r="AK82" s="70"/>
      <c r="AL82" s="70"/>
      <c r="AM82" s="70"/>
      <c r="AN82" s="70"/>
      <c r="AO82" s="70"/>
      <c r="AP82" s="70"/>
      <c r="AQ82" s="70"/>
      <c r="AR82" s="70"/>
      <c r="AS82" s="70"/>
      <c r="AT82" s="70"/>
      <c r="AU82" s="70"/>
      <c r="AV82" s="70"/>
      <c r="AW82" s="70"/>
      <c r="AX82" s="70"/>
      <c r="AY82" s="70"/>
      <c r="AZ82" s="70"/>
    </row>
    <row r="83" spans="1:52" hidden="1" x14ac:dyDescent="0.25">
      <c r="A83" s="27"/>
      <c r="B83" s="27"/>
      <c r="C83" s="232"/>
      <c r="D83" s="232"/>
      <c r="E83" s="232"/>
      <c r="F83" s="232"/>
      <c r="G83" s="232"/>
      <c r="H83" s="232"/>
      <c r="I83" s="232"/>
      <c r="J83" s="232"/>
      <c r="K83" s="232"/>
      <c r="L83" s="232"/>
      <c r="M83" s="232"/>
      <c r="N83" s="232"/>
      <c r="O83" s="232"/>
      <c r="P83" s="232" t="str">
        <f t="shared" si="8"/>
        <v/>
      </c>
      <c r="Q83" s="232" t="str">
        <f t="shared" si="9"/>
        <v/>
      </c>
      <c r="R83" s="33"/>
      <c r="S83" s="232" t="str">
        <f t="shared" si="10"/>
        <v/>
      </c>
      <c r="T83" s="232" t="str">
        <f t="shared" si="11"/>
        <v/>
      </c>
      <c r="U83" s="43"/>
      <c r="V83" s="27"/>
      <c r="W83" s="27"/>
      <c r="X83" s="70"/>
      <c r="Y83" s="70"/>
      <c r="Z83" s="70"/>
      <c r="AA83" s="70"/>
      <c r="AB83" s="70"/>
      <c r="AC83" s="70"/>
      <c r="AD83" s="70"/>
      <c r="AE83" s="70"/>
      <c r="AF83" s="70"/>
      <c r="AG83" s="70"/>
      <c r="AH83" s="70"/>
      <c r="AI83" s="70"/>
      <c r="AJ83" s="70"/>
      <c r="AK83" s="70"/>
      <c r="AL83" s="70"/>
      <c r="AM83" s="70"/>
      <c r="AN83" s="70"/>
      <c r="AO83" s="70"/>
      <c r="AP83" s="70"/>
      <c r="AQ83" s="70"/>
      <c r="AR83" s="70"/>
      <c r="AS83" s="70"/>
      <c r="AT83" s="70"/>
      <c r="AU83" s="70"/>
      <c r="AV83" s="70"/>
      <c r="AW83" s="70"/>
      <c r="AX83" s="70"/>
      <c r="AY83" s="70"/>
      <c r="AZ83" s="70"/>
    </row>
    <row r="84" spans="1:52" hidden="1" x14ac:dyDescent="0.25">
      <c r="A84" s="27"/>
      <c r="B84" s="27"/>
      <c r="C84" s="232"/>
      <c r="D84" s="232"/>
      <c r="E84" s="232"/>
      <c r="F84" s="232"/>
      <c r="G84" s="232"/>
      <c r="H84" s="232"/>
      <c r="I84" s="232"/>
      <c r="J84" s="232"/>
      <c r="K84" s="232"/>
      <c r="L84" s="232"/>
      <c r="M84" s="232"/>
      <c r="N84" s="232"/>
      <c r="O84" s="232"/>
      <c r="P84" s="232" t="str">
        <f t="shared" si="8"/>
        <v/>
      </c>
      <c r="Q84" s="232" t="str">
        <f t="shared" si="9"/>
        <v/>
      </c>
      <c r="R84" s="33"/>
      <c r="S84" s="232" t="str">
        <f t="shared" si="10"/>
        <v/>
      </c>
      <c r="T84" s="232" t="str">
        <f t="shared" si="11"/>
        <v/>
      </c>
      <c r="U84" s="43"/>
      <c r="V84" s="27"/>
      <c r="W84" s="27"/>
      <c r="X84" s="70"/>
      <c r="Y84" s="70"/>
      <c r="Z84" s="70"/>
      <c r="AA84" s="70"/>
      <c r="AB84" s="70"/>
      <c r="AC84" s="70"/>
      <c r="AD84" s="70"/>
      <c r="AE84" s="70"/>
      <c r="AF84" s="70"/>
      <c r="AG84" s="70"/>
      <c r="AH84" s="70"/>
      <c r="AI84" s="70"/>
      <c r="AJ84" s="70"/>
      <c r="AK84" s="70"/>
      <c r="AL84" s="70"/>
      <c r="AM84" s="70"/>
      <c r="AN84" s="70"/>
      <c r="AO84" s="70"/>
      <c r="AP84" s="70"/>
      <c r="AQ84" s="70"/>
      <c r="AR84" s="70"/>
      <c r="AS84" s="70"/>
      <c r="AT84" s="70"/>
      <c r="AU84" s="70"/>
      <c r="AV84" s="70"/>
      <c r="AW84" s="70"/>
      <c r="AX84" s="70"/>
      <c r="AY84" s="70"/>
      <c r="AZ84" s="70"/>
    </row>
    <row r="85" spans="1:52" hidden="1" x14ac:dyDescent="0.25">
      <c r="A85" s="27"/>
      <c r="B85" s="27"/>
      <c r="C85" s="232"/>
      <c r="D85" s="232"/>
      <c r="E85" s="232"/>
      <c r="F85" s="232"/>
      <c r="G85" s="232"/>
      <c r="H85" s="232"/>
      <c r="I85" s="232"/>
      <c r="J85" s="232"/>
      <c r="K85" s="232"/>
      <c r="L85" s="232"/>
      <c r="M85" s="232"/>
      <c r="N85" s="232"/>
      <c r="O85" s="232"/>
      <c r="P85" s="232" t="str">
        <f t="shared" si="8"/>
        <v/>
      </c>
      <c r="Q85" s="232" t="str">
        <f t="shared" si="9"/>
        <v/>
      </c>
      <c r="R85" s="33"/>
      <c r="S85" s="232" t="str">
        <f t="shared" si="10"/>
        <v/>
      </c>
      <c r="T85" s="232" t="str">
        <f t="shared" si="11"/>
        <v/>
      </c>
      <c r="U85" s="43"/>
      <c r="V85" s="27"/>
      <c r="W85" s="27"/>
      <c r="X85" s="70"/>
      <c r="Y85" s="70"/>
      <c r="Z85" s="70"/>
      <c r="AA85" s="70"/>
      <c r="AB85" s="70"/>
      <c r="AC85" s="70"/>
      <c r="AD85" s="70"/>
      <c r="AE85" s="70"/>
      <c r="AF85" s="70"/>
      <c r="AG85" s="70"/>
      <c r="AH85" s="70"/>
      <c r="AI85" s="70"/>
      <c r="AJ85" s="70"/>
      <c r="AK85" s="70"/>
      <c r="AL85" s="70"/>
      <c r="AM85" s="70"/>
      <c r="AN85" s="70"/>
      <c r="AO85" s="70"/>
      <c r="AP85" s="70"/>
      <c r="AQ85" s="70"/>
      <c r="AR85" s="70"/>
      <c r="AS85" s="70"/>
      <c r="AT85" s="70"/>
      <c r="AU85" s="70"/>
      <c r="AV85" s="70"/>
      <c r="AW85" s="70"/>
      <c r="AX85" s="70"/>
      <c r="AY85" s="70"/>
      <c r="AZ85" s="70"/>
    </row>
    <row r="86" spans="1:52" hidden="1" x14ac:dyDescent="0.25">
      <c r="A86" s="27"/>
      <c r="B86" s="27"/>
      <c r="C86" s="232"/>
      <c r="D86" s="232"/>
      <c r="E86" s="232"/>
      <c r="F86" s="232"/>
      <c r="G86" s="232"/>
      <c r="H86" s="232"/>
      <c r="I86" s="232"/>
      <c r="J86" s="232"/>
      <c r="K86" s="232"/>
      <c r="L86" s="232"/>
      <c r="M86" s="232"/>
      <c r="N86" s="232"/>
      <c r="O86" s="232"/>
      <c r="P86" s="232" t="str">
        <f t="shared" si="8"/>
        <v/>
      </c>
      <c r="Q86" s="232" t="str">
        <f t="shared" si="9"/>
        <v/>
      </c>
      <c r="R86" s="33"/>
      <c r="S86" s="232" t="str">
        <f t="shared" si="10"/>
        <v/>
      </c>
      <c r="T86" s="232" t="str">
        <f t="shared" si="11"/>
        <v/>
      </c>
      <c r="U86" s="43"/>
      <c r="V86" s="27"/>
      <c r="W86" s="27"/>
      <c r="X86" s="70"/>
      <c r="Y86" s="70"/>
      <c r="Z86" s="70"/>
      <c r="AA86" s="70"/>
      <c r="AB86" s="70"/>
      <c r="AC86" s="70"/>
      <c r="AD86" s="70"/>
      <c r="AE86" s="70"/>
      <c r="AF86" s="70"/>
      <c r="AG86" s="70"/>
      <c r="AH86" s="70"/>
      <c r="AI86" s="70"/>
      <c r="AJ86" s="70"/>
      <c r="AK86" s="70"/>
      <c r="AL86" s="70"/>
      <c r="AM86" s="70"/>
      <c r="AN86" s="70"/>
      <c r="AO86" s="70"/>
      <c r="AP86" s="70"/>
      <c r="AQ86" s="70"/>
      <c r="AR86" s="70"/>
      <c r="AS86" s="70"/>
      <c r="AT86" s="70"/>
      <c r="AU86" s="70"/>
      <c r="AV86" s="70"/>
      <c r="AW86" s="70"/>
      <c r="AX86" s="70"/>
      <c r="AY86" s="70"/>
      <c r="AZ86" s="70"/>
    </row>
    <row r="87" spans="1:52" hidden="1" x14ac:dyDescent="0.25">
      <c r="A87" s="27"/>
      <c r="B87" s="27"/>
      <c r="C87" s="232"/>
      <c r="D87" s="232"/>
      <c r="E87" s="232"/>
      <c r="F87" s="232"/>
      <c r="G87" s="232"/>
      <c r="H87" s="232"/>
      <c r="I87" s="232"/>
      <c r="J87" s="232"/>
      <c r="K87" s="232"/>
      <c r="L87" s="232"/>
      <c r="M87" s="232"/>
      <c r="N87" s="232"/>
      <c r="O87" s="232"/>
      <c r="P87" s="232" t="str">
        <f t="shared" si="8"/>
        <v/>
      </c>
      <c r="Q87" s="232" t="str">
        <f t="shared" si="9"/>
        <v/>
      </c>
      <c r="R87" s="33"/>
      <c r="S87" s="232" t="str">
        <f t="shared" si="10"/>
        <v/>
      </c>
      <c r="T87" s="232" t="str">
        <f t="shared" si="11"/>
        <v/>
      </c>
      <c r="U87" s="43"/>
      <c r="V87" s="27"/>
      <c r="W87" s="27"/>
      <c r="X87" s="70"/>
      <c r="Y87" s="70"/>
      <c r="Z87" s="70"/>
      <c r="AA87" s="70"/>
      <c r="AB87" s="70"/>
      <c r="AC87" s="70"/>
      <c r="AD87" s="70"/>
      <c r="AE87" s="70"/>
      <c r="AF87" s="70"/>
      <c r="AG87" s="70"/>
      <c r="AH87" s="70"/>
      <c r="AI87" s="70"/>
      <c r="AJ87" s="70"/>
      <c r="AK87" s="70"/>
      <c r="AL87" s="70"/>
      <c r="AM87" s="70"/>
      <c r="AN87" s="70"/>
      <c r="AO87" s="70"/>
      <c r="AP87" s="70"/>
      <c r="AQ87" s="70"/>
      <c r="AR87" s="70"/>
      <c r="AS87" s="70"/>
      <c r="AT87" s="70"/>
      <c r="AU87" s="70"/>
      <c r="AV87" s="70"/>
      <c r="AW87" s="70"/>
      <c r="AX87" s="70"/>
      <c r="AY87" s="70"/>
      <c r="AZ87" s="70"/>
    </row>
    <row r="88" spans="1:52" hidden="1" x14ac:dyDescent="0.25">
      <c r="A88" s="27"/>
      <c r="B88" s="27"/>
      <c r="C88" s="232"/>
      <c r="D88" s="232"/>
      <c r="E88" s="232"/>
      <c r="F88" s="232"/>
      <c r="G88" s="232"/>
      <c r="H88" s="232"/>
      <c r="I88" s="232"/>
      <c r="J88" s="232"/>
      <c r="K88" s="232"/>
      <c r="L88" s="232"/>
      <c r="M88" s="232"/>
      <c r="N88" s="232"/>
      <c r="O88" s="232"/>
      <c r="P88" s="232" t="str">
        <f t="shared" si="8"/>
        <v/>
      </c>
      <c r="Q88" s="232" t="str">
        <f t="shared" si="9"/>
        <v/>
      </c>
      <c r="R88" s="33"/>
      <c r="S88" s="232" t="str">
        <f t="shared" si="10"/>
        <v/>
      </c>
      <c r="T88" s="232" t="str">
        <f t="shared" si="11"/>
        <v/>
      </c>
      <c r="U88" s="43"/>
      <c r="V88" s="27"/>
      <c r="W88" s="27"/>
      <c r="X88" s="70"/>
      <c r="Y88" s="70"/>
      <c r="Z88" s="70"/>
      <c r="AA88" s="70"/>
      <c r="AB88" s="70"/>
      <c r="AC88" s="70"/>
      <c r="AD88" s="70"/>
      <c r="AE88" s="70"/>
      <c r="AF88" s="70"/>
      <c r="AG88" s="70"/>
      <c r="AH88" s="70"/>
      <c r="AI88" s="70"/>
      <c r="AJ88" s="70"/>
      <c r="AK88" s="70"/>
      <c r="AL88" s="70"/>
      <c r="AM88" s="70"/>
      <c r="AN88" s="70"/>
      <c r="AO88" s="70"/>
      <c r="AP88" s="70"/>
      <c r="AQ88" s="70"/>
      <c r="AR88" s="70"/>
      <c r="AS88" s="70"/>
      <c r="AT88" s="70"/>
      <c r="AU88" s="70"/>
      <c r="AV88" s="70"/>
      <c r="AW88" s="70"/>
      <c r="AX88" s="70"/>
      <c r="AY88" s="70"/>
      <c r="AZ88" s="70"/>
    </row>
    <row r="89" spans="1:52" hidden="1" x14ac:dyDescent="0.25">
      <c r="A89" s="27"/>
      <c r="B89" s="27"/>
      <c r="C89" s="232"/>
      <c r="D89" s="232"/>
      <c r="E89" s="232"/>
      <c r="F89" s="232"/>
      <c r="G89" s="232"/>
      <c r="H89" s="232"/>
      <c r="I89" s="232"/>
      <c r="J89" s="232"/>
      <c r="K89" s="232"/>
      <c r="L89" s="232"/>
      <c r="M89" s="232"/>
      <c r="N89" s="232"/>
      <c r="O89" s="232"/>
      <c r="P89" s="232" t="str">
        <f t="shared" si="8"/>
        <v/>
      </c>
      <c r="Q89" s="232" t="str">
        <f t="shared" si="9"/>
        <v/>
      </c>
      <c r="R89" s="33"/>
      <c r="S89" s="232" t="str">
        <f t="shared" si="10"/>
        <v/>
      </c>
      <c r="T89" s="232" t="str">
        <f t="shared" si="11"/>
        <v/>
      </c>
      <c r="U89" s="43"/>
      <c r="V89" s="27"/>
      <c r="W89" s="27"/>
      <c r="X89" s="70"/>
      <c r="Y89" s="70"/>
      <c r="Z89" s="70"/>
      <c r="AA89" s="70"/>
      <c r="AB89" s="70"/>
      <c r="AC89" s="70"/>
      <c r="AD89" s="70"/>
      <c r="AE89" s="70"/>
      <c r="AF89" s="70"/>
      <c r="AG89" s="70"/>
      <c r="AH89" s="70"/>
      <c r="AI89" s="70"/>
      <c r="AJ89" s="70"/>
      <c r="AK89" s="70"/>
      <c r="AL89" s="70"/>
      <c r="AM89" s="70"/>
      <c r="AN89" s="70"/>
      <c r="AO89" s="70"/>
      <c r="AP89" s="70"/>
      <c r="AQ89" s="70"/>
      <c r="AR89" s="70"/>
      <c r="AS89" s="70"/>
      <c r="AT89" s="70"/>
      <c r="AU89" s="70"/>
      <c r="AV89" s="70"/>
      <c r="AW89" s="70"/>
      <c r="AX89" s="70"/>
      <c r="AY89" s="70"/>
      <c r="AZ89" s="70"/>
    </row>
    <row r="90" spans="1:52" hidden="1" x14ac:dyDescent="0.25">
      <c r="A90" s="27"/>
      <c r="B90" s="27"/>
      <c r="C90" s="232"/>
      <c r="D90" s="232"/>
      <c r="E90" s="232"/>
      <c r="F90" s="232"/>
      <c r="G90" s="232"/>
      <c r="H90" s="232"/>
      <c r="I90" s="232"/>
      <c r="J90" s="232"/>
      <c r="K90" s="232"/>
      <c r="L90" s="232"/>
      <c r="M90" s="232"/>
      <c r="N90" s="232"/>
      <c r="O90" s="232"/>
      <c r="P90" s="232" t="str">
        <f t="shared" si="8"/>
        <v/>
      </c>
      <c r="Q90" s="232" t="str">
        <f t="shared" si="9"/>
        <v/>
      </c>
      <c r="R90" s="33"/>
      <c r="S90" s="232" t="str">
        <f t="shared" si="10"/>
        <v/>
      </c>
      <c r="T90" s="232" t="str">
        <f t="shared" si="11"/>
        <v/>
      </c>
      <c r="U90" s="43"/>
      <c r="V90" s="27"/>
      <c r="W90" s="27"/>
      <c r="X90" s="70"/>
      <c r="Y90" s="70"/>
      <c r="Z90" s="70"/>
      <c r="AA90" s="70"/>
      <c r="AB90" s="70"/>
      <c r="AC90" s="70"/>
      <c r="AD90" s="70"/>
      <c r="AE90" s="70"/>
      <c r="AF90" s="70"/>
      <c r="AG90" s="70"/>
      <c r="AH90" s="70"/>
      <c r="AI90" s="70"/>
      <c r="AJ90" s="70"/>
      <c r="AK90" s="70"/>
      <c r="AL90" s="70"/>
      <c r="AM90" s="70"/>
      <c r="AN90" s="70"/>
      <c r="AO90" s="70"/>
      <c r="AP90" s="70"/>
      <c r="AQ90" s="70"/>
      <c r="AR90" s="70"/>
      <c r="AS90" s="70"/>
      <c r="AT90" s="70"/>
      <c r="AU90" s="70"/>
      <c r="AV90" s="70"/>
      <c r="AW90" s="70"/>
      <c r="AX90" s="70"/>
      <c r="AY90" s="70"/>
      <c r="AZ90" s="70"/>
    </row>
    <row r="91" spans="1:52" hidden="1" x14ac:dyDescent="0.25">
      <c r="A91" s="27"/>
      <c r="B91" s="27"/>
      <c r="C91" s="232"/>
      <c r="D91" s="232"/>
      <c r="E91" s="232"/>
      <c r="F91" s="232"/>
      <c r="G91" s="232"/>
      <c r="H91" s="232"/>
      <c r="I91" s="232"/>
      <c r="J91" s="232"/>
      <c r="K91" s="232"/>
      <c r="L91" s="232"/>
      <c r="M91" s="232"/>
      <c r="N91" s="232"/>
      <c r="O91" s="232"/>
      <c r="P91" s="232" t="str">
        <f t="shared" si="8"/>
        <v/>
      </c>
      <c r="Q91" s="232" t="str">
        <f t="shared" si="9"/>
        <v/>
      </c>
      <c r="R91" s="33"/>
      <c r="S91" s="232" t="str">
        <f t="shared" si="10"/>
        <v/>
      </c>
      <c r="T91" s="232" t="str">
        <f t="shared" si="11"/>
        <v/>
      </c>
      <c r="U91" s="43"/>
      <c r="V91" s="27"/>
      <c r="W91" s="27"/>
      <c r="X91" s="70"/>
      <c r="Y91" s="70"/>
      <c r="Z91" s="70"/>
      <c r="AA91" s="70"/>
      <c r="AB91" s="70"/>
      <c r="AC91" s="70"/>
      <c r="AD91" s="70"/>
      <c r="AE91" s="70"/>
      <c r="AF91" s="70"/>
      <c r="AG91" s="70"/>
      <c r="AH91" s="70"/>
      <c r="AI91" s="70"/>
      <c r="AJ91" s="70"/>
      <c r="AK91" s="70"/>
      <c r="AL91" s="70"/>
      <c r="AM91" s="70"/>
      <c r="AN91" s="70"/>
      <c r="AO91" s="70"/>
      <c r="AP91" s="70"/>
      <c r="AQ91" s="70"/>
      <c r="AR91" s="70"/>
      <c r="AS91" s="70"/>
      <c r="AT91" s="70"/>
      <c r="AU91" s="70"/>
      <c r="AV91" s="70"/>
      <c r="AW91" s="70"/>
      <c r="AX91" s="70"/>
      <c r="AY91" s="70"/>
      <c r="AZ91" s="70"/>
    </row>
    <row r="92" spans="1:52" hidden="1" x14ac:dyDescent="0.25">
      <c r="A92" s="27"/>
      <c r="B92" s="27"/>
      <c r="C92" s="232"/>
      <c r="D92" s="232"/>
      <c r="E92" s="232"/>
      <c r="F92" s="232"/>
      <c r="G92" s="232"/>
      <c r="H92" s="232"/>
      <c r="I92" s="232"/>
      <c r="J92" s="232"/>
      <c r="K92" s="232"/>
      <c r="L92" s="232"/>
      <c r="M92" s="232"/>
      <c r="N92" s="232"/>
      <c r="O92" s="232"/>
      <c r="P92" s="232" t="str">
        <f t="shared" si="8"/>
        <v/>
      </c>
      <c r="Q92" s="232" t="str">
        <f t="shared" si="9"/>
        <v/>
      </c>
      <c r="R92" s="33"/>
      <c r="S92" s="232" t="str">
        <f t="shared" si="10"/>
        <v/>
      </c>
      <c r="T92" s="232" t="str">
        <f t="shared" si="11"/>
        <v/>
      </c>
      <c r="U92" s="43"/>
      <c r="V92" s="27"/>
      <c r="W92" s="27"/>
      <c r="X92" s="70"/>
      <c r="Y92" s="70"/>
      <c r="Z92" s="70"/>
      <c r="AA92" s="70"/>
      <c r="AB92" s="70"/>
      <c r="AC92" s="70"/>
      <c r="AD92" s="70"/>
      <c r="AE92" s="70"/>
      <c r="AF92" s="70"/>
      <c r="AG92" s="70"/>
      <c r="AH92" s="70"/>
      <c r="AI92" s="70"/>
      <c r="AJ92" s="70"/>
      <c r="AK92" s="70"/>
      <c r="AL92" s="70"/>
      <c r="AM92" s="70"/>
      <c r="AN92" s="70"/>
      <c r="AO92" s="70"/>
      <c r="AP92" s="70"/>
      <c r="AQ92" s="70"/>
      <c r="AR92" s="70"/>
      <c r="AS92" s="70"/>
      <c r="AT92" s="70"/>
      <c r="AU92" s="70"/>
      <c r="AV92" s="70"/>
      <c r="AW92" s="70"/>
      <c r="AX92" s="70"/>
      <c r="AY92" s="70"/>
      <c r="AZ92" s="70"/>
    </row>
    <row r="93" spans="1:52" hidden="1" x14ac:dyDescent="0.25">
      <c r="A93" s="27"/>
      <c r="B93" s="27"/>
      <c r="C93" s="232"/>
      <c r="D93" s="232"/>
      <c r="E93" s="232"/>
      <c r="F93" s="232"/>
      <c r="G93" s="232"/>
      <c r="H93" s="232"/>
      <c r="I93" s="232"/>
      <c r="J93" s="232"/>
      <c r="K93" s="232"/>
      <c r="L93" s="232"/>
      <c r="M93" s="232"/>
      <c r="N93" s="232"/>
      <c r="O93" s="232"/>
      <c r="P93" s="232" t="str">
        <f t="shared" si="8"/>
        <v/>
      </c>
      <c r="Q93" s="232" t="str">
        <f t="shared" si="9"/>
        <v/>
      </c>
      <c r="R93" s="33"/>
      <c r="S93" s="232" t="str">
        <f t="shared" si="10"/>
        <v/>
      </c>
      <c r="T93" s="232" t="str">
        <f t="shared" si="11"/>
        <v/>
      </c>
      <c r="U93" s="43"/>
      <c r="V93" s="27"/>
      <c r="W93" s="27"/>
      <c r="X93" s="70"/>
      <c r="Y93" s="70"/>
      <c r="Z93" s="70"/>
      <c r="AA93" s="70"/>
      <c r="AB93" s="70"/>
      <c r="AC93" s="70"/>
      <c r="AD93" s="70"/>
      <c r="AE93" s="70"/>
      <c r="AF93" s="70"/>
      <c r="AG93" s="70"/>
      <c r="AH93" s="70"/>
      <c r="AI93" s="70"/>
      <c r="AJ93" s="70"/>
      <c r="AK93" s="70"/>
      <c r="AL93" s="70"/>
      <c r="AM93" s="70"/>
      <c r="AN93" s="70"/>
      <c r="AO93" s="70"/>
      <c r="AP93" s="70"/>
      <c r="AQ93" s="70"/>
      <c r="AR93" s="70"/>
      <c r="AS93" s="70"/>
      <c r="AT93" s="70"/>
      <c r="AU93" s="70"/>
      <c r="AV93" s="70"/>
      <c r="AW93" s="70"/>
      <c r="AX93" s="70"/>
      <c r="AY93" s="70"/>
      <c r="AZ93" s="70"/>
    </row>
    <row r="94" spans="1:52" hidden="1" x14ac:dyDescent="0.25">
      <c r="A94" s="27"/>
      <c r="B94" s="27"/>
      <c r="C94" s="232"/>
      <c r="D94" s="232"/>
      <c r="E94" s="232"/>
      <c r="F94" s="232"/>
      <c r="G94" s="232"/>
      <c r="H94" s="232"/>
      <c r="I94" s="232"/>
      <c r="J94" s="232"/>
      <c r="K94" s="232"/>
      <c r="L94" s="232"/>
      <c r="M94" s="232"/>
      <c r="N94" s="232"/>
      <c r="O94" s="232"/>
      <c r="P94" s="232" t="str">
        <f t="shared" si="8"/>
        <v/>
      </c>
      <c r="Q94" s="232" t="str">
        <f t="shared" si="9"/>
        <v/>
      </c>
      <c r="R94" s="33"/>
      <c r="S94" s="232" t="str">
        <f t="shared" si="10"/>
        <v/>
      </c>
      <c r="T94" s="232" t="str">
        <f t="shared" si="11"/>
        <v/>
      </c>
      <c r="U94" s="43"/>
      <c r="V94" s="27"/>
      <c r="W94" s="27"/>
      <c r="X94" s="70"/>
      <c r="Y94" s="70"/>
      <c r="Z94" s="70"/>
      <c r="AA94" s="70"/>
      <c r="AB94" s="70"/>
      <c r="AC94" s="70"/>
      <c r="AD94" s="70"/>
      <c r="AE94" s="70"/>
      <c r="AF94" s="70"/>
      <c r="AG94" s="70"/>
      <c r="AH94" s="70"/>
      <c r="AI94" s="70"/>
      <c r="AJ94" s="70"/>
      <c r="AK94" s="70"/>
      <c r="AL94" s="70"/>
      <c r="AM94" s="70"/>
      <c r="AN94" s="70"/>
      <c r="AO94" s="70"/>
      <c r="AP94" s="70"/>
      <c r="AQ94" s="70"/>
      <c r="AR94" s="70"/>
      <c r="AS94" s="70"/>
      <c r="AT94" s="70"/>
      <c r="AU94" s="70"/>
      <c r="AV94" s="70"/>
      <c r="AW94" s="70"/>
      <c r="AX94" s="70"/>
      <c r="AY94" s="70"/>
      <c r="AZ94" s="70"/>
    </row>
    <row r="95" spans="1:52" hidden="1" x14ac:dyDescent="0.25">
      <c r="A95" s="27"/>
      <c r="B95" s="27"/>
      <c r="C95" s="232"/>
      <c r="D95" s="232"/>
      <c r="E95" s="232"/>
      <c r="F95" s="232"/>
      <c r="G95" s="232"/>
      <c r="H95" s="232"/>
      <c r="I95" s="232"/>
      <c r="J95" s="232"/>
      <c r="K95" s="232"/>
      <c r="L95" s="232"/>
      <c r="M95" s="232"/>
      <c r="N95" s="232"/>
      <c r="O95" s="232"/>
      <c r="P95" s="232" t="str">
        <f t="shared" si="8"/>
        <v/>
      </c>
      <c r="Q95" s="232" t="str">
        <f t="shared" si="9"/>
        <v/>
      </c>
      <c r="R95" s="33"/>
      <c r="S95" s="232" t="str">
        <f t="shared" si="10"/>
        <v/>
      </c>
      <c r="T95" s="232" t="str">
        <f t="shared" si="11"/>
        <v/>
      </c>
      <c r="U95" s="43"/>
      <c r="V95" s="27"/>
      <c r="W95" s="27"/>
      <c r="X95" s="70"/>
      <c r="Y95" s="70"/>
      <c r="Z95" s="70"/>
      <c r="AA95" s="70"/>
      <c r="AB95" s="70"/>
      <c r="AC95" s="70"/>
      <c r="AD95" s="70"/>
      <c r="AE95" s="70"/>
      <c r="AF95" s="70"/>
      <c r="AG95" s="70"/>
      <c r="AH95" s="70"/>
      <c r="AI95" s="70"/>
      <c r="AJ95" s="70"/>
      <c r="AK95" s="70"/>
      <c r="AL95" s="70"/>
      <c r="AM95" s="70"/>
      <c r="AN95" s="70"/>
      <c r="AO95" s="70"/>
      <c r="AP95" s="70"/>
      <c r="AQ95" s="70"/>
      <c r="AR95" s="70"/>
      <c r="AS95" s="70"/>
      <c r="AT95" s="70"/>
      <c r="AU95" s="70"/>
      <c r="AV95" s="70"/>
      <c r="AW95" s="70"/>
      <c r="AX95" s="70"/>
      <c r="AY95" s="70"/>
      <c r="AZ95" s="70"/>
    </row>
    <row r="96" spans="1:52" hidden="1" x14ac:dyDescent="0.25">
      <c r="A96" s="27"/>
      <c r="B96" s="27"/>
      <c r="C96" s="232"/>
      <c r="D96" s="232"/>
      <c r="E96" s="232"/>
      <c r="F96" s="232"/>
      <c r="G96" s="232"/>
      <c r="H96" s="232"/>
      <c r="I96" s="232"/>
      <c r="J96" s="232"/>
      <c r="K96" s="232"/>
      <c r="L96" s="232"/>
      <c r="M96" s="232"/>
      <c r="N96" s="232"/>
      <c r="O96" s="232"/>
      <c r="P96" s="232" t="str">
        <f t="shared" si="8"/>
        <v/>
      </c>
      <c r="Q96" s="232" t="str">
        <f t="shared" si="9"/>
        <v/>
      </c>
      <c r="R96" s="33"/>
      <c r="S96" s="232" t="str">
        <f t="shared" si="10"/>
        <v/>
      </c>
      <c r="T96" s="232" t="str">
        <f t="shared" si="11"/>
        <v/>
      </c>
      <c r="U96" s="43"/>
      <c r="V96" s="27"/>
      <c r="W96" s="27"/>
      <c r="X96" s="70"/>
      <c r="Y96" s="70"/>
      <c r="Z96" s="70"/>
      <c r="AA96" s="70"/>
      <c r="AB96" s="70"/>
      <c r="AC96" s="70"/>
      <c r="AD96" s="70"/>
      <c r="AE96" s="70"/>
      <c r="AF96" s="70"/>
      <c r="AG96" s="70"/>
      <c r="AH96" s="70"/>
      <c r="AI96" s="70"/>
      <c r="AJ96" s="70"/>
      <c r="AK96" s="70"/>
      <c r="AL96" s="70"/>
      <c r="AM96" s="70"/>
      <c r="AN96" s="70"/>
      <c r="AO96" s="70"/>
      <c r="AP96" s="70"/>
      <c r="AQ96" s="70"/>
      <c r="AR96" s="70"/>
      <c r="AS96" s="70"/>
      <c r="AT96" s="70"/>
      <c r="AU96" s="70"/>
      <c r="AV96" s="70"/>
      <c r="AW96" s="70"/>
      <c r="AX96" s="70"/>
      <c r="AY96" s="70"/>
      <c r="AZ96" s="70"/>
    </row>
    <row r="97" spans="1:52" hidden="1" x14ac:dyDescent="0.25">
      <c r="A97" s="27"/>
      <c r="B97" s="27"/>
      <c r="C97" s="232"/>
      <c r="D97" s="232"/>
      <c r="E97" s="232"/>
      <c r="F97" s="232"/>
      <c r="G97" s="232"/>
      <c r="H97" s="232"/>
      <c r="I97" s="232"/>
      <c r="J97" s="232"/>
      <c r="K97" s="232"/>
      <c r="L97" s="232"/>
      <c r="M97" s="232"/>
      <c r="N97" s="232"/>
      <c r="O97" s="232"/>
      <c r="P97" s="232" t="str">
        <f t="shared" si="8"/>
        <v/>
      </c>
      <c r="Q97" s="232" t="str">
        <f t="shared" si="9"/>
        <v/>
      </c>
      <c r="R97" s="33"/>
      <c r="S97" s="232" t="str">
        <f t="shared" si="10"/>
        <v/>
      </c>
      <c r="T97" s="232" t="str">
        <f t="shared" si="11"/>
        <v/>
      </c>
      <c r="U97" s="43"/>
      <c r="V97" s="27"/>
      <c r="W97" s="27"/>
      <c r="X97" s="70"/>
      <c r="Y97" s="70"/>
      <c r="Z97" s="70"/>
      <c r="AA97" s="70"/>
      <c r="AB97" s="70"/>
      <c r="AC97" s="70"/>
      <c r="AD97" s="70"/>
      <c r="AE97" s="70"/>
      <c r="AF97" s="70"/>
      <c r="AG97" s="70"/>
      <c r="AH97" s="70"/>
      <c r="AI97" s="70"/>
      <c r="AJ97" s="70"/>
      <c r="AK97" s="70"/>
      <c r="AL97" s="70"/>
      <c r="AM97" s="70"/>
      <c r="AN97" s="70"/>
      <c r="AO97" s="70"/>
      <c r="AP97" s="70"/>
      <c r="AQ97" s="70"/>
      <c r="AR97" s="70"/>
      <c r="AS97" s="70"/>
      <c r="AT97" s="70"/>
      <c r="AU97" s="70"/>
      <c r="AV97" s="70"/>
      <c r="AW97" s="70"/>
      <c r="AX97" s="70"/>
      <c r="AY97" s="70"/>
      <c r="AZ97" s="70"/>
    </row>
    <row r="98" spans="1:52" hidden="1" x14ac:dyDescent="0.25">
      <c r="A98" s="27"/>
      <c r="B98" s="27"/>
      <c r="C98" s="232"/>
      <c r="D98" s="232"/>
      <c r="E98" s="232"/>
      <c r="F98" s="232"/>
      <c r="G98" s="232"/>
      <c r="H98" s="232"/>
      <c r="I98" s="232"/>
      <c r="J98" s="232"/>
      <c r="K98" s="232"/>
      <c r="L98" s="232"/>
      <c r="M98" s="232"/>
      <c r="N98" s="232"/>
      <c r="O98" s="232"/>
      <c r="P98" s="232" t="str">
        <f t="shared" si="8"/>
        <v/>
      </c>
      <c r="Q98" s="232" t="str">
        <f t="shared" si="9"/>
        <v/>
      </c>
      <c r="R98" s="33"/>
      <c r="S98" s="232" t="str">
        <f t="shared" si="10"/>
        <v/>
      </c>
      <c r="T98" s="232" t="str">
        <f t="shared" si="11"/>
        <v/>
      </c>
      <c r="U98" s="43"/>
      <c r="V98" s="27"/>
      <c r="W98" s="27"/>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row>
    <row r="99" spans="1:52" hidden="1" x14ac:dyDescent="0.25">
      <c r="A99" s="27"/>
      <c r="B99" s="27"/>
      <c r="C99" s="232"/>
      <c r="D99" s="232"/>
      <c r="E99" s="232"/>
      <c r="F99" s="232"/>
      <c r="G99" s="232"/>
      <c r="H99" s="232"/>
      <c r="I99" s="232"/>
      <c r="J99" s="232"/>
      <c r="K99" s="232"/>
      <c r="L99" s="232"/>
      <c r="M99" s="232"/>
      <c r="N99" s="232"/>
      <c r="O99" s="232"/>
      <c r="P99" s="232" t="str">
        <f t="shared" si="8"/>
        <v/>
      </c>
      <c r="Q99" s="232" t="str">
        <f t="shared" si="9"/>
        <v/>
      </c>
      <c r="R99" s="33"/>
      <c r="S99" s="232" t="str">
        <f t="shared" si="10"/>
        <v/>
      </c>
      <c r="T99" s="232" t="str">
        <f t="shared" si="11"/>
        <v/>
      </c>
      <c r="U99" s="43"/>
      <c r="V99" s="27"/>
      <c r="W99" s="27"/>
      <c r="X99" s="70"/>
      <c r="Y99" s="70"/>
      <c r="Z99" s="70"/>
      <c r="AA99" s="70"/>
      <c r="AB99" s="70"/>
      <c r="AC99" s="70"/>
      <c r="AD99" s="70"/>
      <c r="AE99" s="70"/>
      <c r="AF99" s="70"/>
      <c r="AG99" s="70"/>
      <c r="AH99" s="70"/>
      <c r="AI99" s="70"/>
      <c r="AJ99" s="70"/>
      <c r="AK99" s="70"/>
      <c r="AL99" s="70"/>
      <c r="AM99" s="70"/>
      <c r="AN99" s="70"/>
      <c r="AO99" s="70"/>
      <c r="AP99" s="70"/>
      <c r="AQ99" s="70"/>
      <c r="AR99" s="70"/>
      <c r="AS99" s="70"/>
      <c r="AT99" s="70"/>
      <c r="AU99" s="70"/>
      <c r="AV99" s="70"/>
      <c r="AW99" s="70"/>
      <c r="AX99" s="70"/>
      <c r="AY99" s="70"/>
      <c r="AZ99" s="70"/>
    </row>
    <row r="100" spans="1:52" hidden="1" x14ac:dyDescent="0.25">
      <c r="A100" s="27"/>
      <c r="B100" s="27"/>
      <c r="C100" s="232"/>
      <c r="D100" s="232"/>
      <c r="E100" s="232"/>
      <c r="F100" s="232"/>
      <c r="G100" s="232"/>
      <c r="H100" s="232"/>
      <c r="I100" s="232"/>
      <c r="J100" s="232"/>
      <c r="K100" s="232"/>
      <c r="L100" s="232"/>
      <c r="M100" s="232"/>
      <c r="N100" s="232"/>
      <c r="O100" s="232"/>
      <c r="P100" s="232" t="str">
        <f t="shared" si="8"/>
        <v/>
      </c>
      <c r="Q100" s="232" t="str">
        <f t="shared" si="9"/>
        <v/>
      </c>
      <c r="R100" s="33"/>
      <c r="S100" s="232" t="str">
        <f t="shared" si="10"/>
        <v/>
      </c>
      <c r="T100" s="232" t="str">
        <f t="shared" si="11"/>
        <v/>
      </c>
      <c r="U100" s="43"/>
      <c r="V100" s="27"/>
      <c r="W100" s="27"/>
      <c r="X100" s="70"/>
      <c r="Y100" s="70"/>
      <c r="Z100" s="70"/>
      <c r="AA100" s="70"/>
      <c r="AB100" s="70"/>
      <c r="AC100" s="70"/>
      <c r="AD100" s="70"/>
      <c r="AE100" s="70"/>
      <c r="AF100" s="70"/>
      <c r="AG100" s="70"/>
      <c r="AH100" s="70"/>
      <c r="AI100" s="70"/>
      <c r="AJ100" s="70"/>
      <c r="AK100" s="70"/>
      <c r="AL100" s="70"/>
      <c r="AM100" s="70"/>
      <c r="AN100" s="70"/>
      <c r="AO100" s="70"/>
      <c r="AP100" s="70"/>
      <c r="AQ100" s="70"/>
      <c r="AR100" s="70"/>
      <c r="AS100" s="70"/>
      <c r="AT100" s="70"/>
      <c r="AU100" s="70"/>
      <c r="AV100" s="70"/>
      <c r="AW100" s="70"/>
      <c r="AX100" s="70"/>
      <c r="AY100" s="70"/>
      <c r="AZ100" s="70"/>
    </row>
    <row r="101" spans="1:52" hidden="1" x14ac:dyDescent="0.25">
      <c r="A101" s="27"/>
      <c r="B101" s="27"/>
      <c r="C101" s="232"/>
      <c r="D101" s="232"/>
      <c r="E101" s="232"/>
      <c r="F101" s="232"/>
      <c r="G101" s="232"/>
      <c r="H101" s="232"/>
      <c r="I101" s="232"/>
      <c r="J101" s="232"/>
      <c r="K101" s="232"/>
      <c r="L101" s="232"/>
      <c r="M101" s="232"/>
      <c r="N101" s="232"/>
      <c r="O101" s="232"/>
      <c r="P101" s="232" t="str">
        <f t="shared" ref="P101:P120" si="12">IF(OR(A101&lt;&gt;"",B101&lt;&gt;""),(SUM(C101:N101)+O101)/12,"")</f>
        <v/>
      </c>
      <c r="Q101" s="232" t="str">
        <f t="shared" ref="Q101:Q120" si="13">IF(OR(A101&lt;&gt;"",B101&lt;&gt;""),SUM(C101:N101)+O101,"")</f>
        <v/>
      </c>
      <c r="R101" s="33"/>
      <c r="S101" s="232" t="str">
        <f t="shared" ref="S101:S120" si="14">IF(OR(A101&lt;&gt;"",B101&lt;&gt;""),IF(R101="Sim",Q101/2,Q101),"")</f>
        <v/>
      </c>
      <c r="T101" s="232" t="str">
        <f t="shared" ref="T101:T120" si="15">IF(OR(A101&lt;&gt;"",B101&lt;&gt;""),IF(R101="Sim",P101/2,P101),"")</f>
        <v/>
      </c>
      <c r="U101" s="43"/>
      <c r="V101" s="27"/>
      <c r="W101" s="27"/>
      <c r="X101" s="70"/>
      <c r="Y101" s="70"/>
      <c r="Z101" s="70"/>
      <c r="AA101" s="70"/>
      <c r="AB101" s="70"/>
      <c r="AC101" s="70"/>
      <c r="AD101" s="70"/>
      <c r="AE101" s="70"/>
      <c r="AF101" s="70"/>
      <c r="AG101" s="70"/>
      <c r="AH101" s="70"/>
      <c r="AI101" s="70"/>
      <c r="AJ101" s="70"/>
      <c r="AK101" s="70"/>
      <c r="AL101" s="70"/>
      <c r="AM101" s="70"/>
      <c r="AN101" s="70"/>
      <c r="AO101" s="70"/>
      <c r="AP101" s="70"/>
      <c r="AQ101" s="70"/>
      <c r="AR101" s="70"/>
      <c r="AS101" s="70"/>
      <c r="AT101" s="70"/>
      <c r="AU101" s="70"/>
      <c r="AV101" s="70"/>
      <c r="AW101" s="70"/>
      <c r="AX101" s="70"/>
      <c r="AY101" s="70"/>
      <c r="AZ101" s="70"/>
    </row>
    <row r="102" spans="1:52" hidden="1" x14ac:dyDescent="0.25">
      <c r="A102" s="27"/>
      <c r="B102" s="27"/>
      <c r="C102" s="232"/>
      <c r="D102" s="232"/>
      <c r="E102" s="232"/>
      <c r="F102" s="232"/>
      <c r="G102" s="232"/>
      <c r="H102" s="232"/>
      <c r="I102" s="232"/>
      <c r="J102" s="232"/>
      <c r="K102" s="232"/>
      <c r="L102" s="232"/>
      <c r="M102" s="232"/>
      <c r="N102" s="232"/>
      <c r="O102" s="232"/>
      <c r="P102" s="232" t="str">
        <f t="shared" si="12"/>
        <v/>
      </c>
      <c r="Q102" s="232" t="str">
        <f t="shared" si="13"/>
        <v/>
      </c>
      <c r="R102" s="33"/>
      <c r="S102" s="232" t="str">
        <f t="shared" si="14"/>
        <v/>
      </c>
      <c r="T102" s="232" t="str">
        <f t="shared" si="15"/>
        <v/>
      </c>
      <c r="U102" s="43"/>
      <c r="V102" s="27"/>
      <c r="W102" s="27"/>
      <c r="X102" s="70"/>
      <c r="Y102" s="70"/>
      <c r="Z102" s="70"/>
      <c r="AA102" s="70"/>
      <c r="AB102" s="70"/>
      <c r="AC102" s="70"/>
      <c r="AD102" s="70"/>
      <c r="AE102" s="70"/>
      <c r="AF102" s="70"/>
      <c r="AG102" s="70"/>
      <c r="AH102" s="70"/>
      <c r="AI102" s="70"/>
      <c r="AJ102" s="70"/>
      <c r="AK102" s="70"/>
      <c r="AL102" s="70"/>
      <c r="AM102" s="70"/>
      <c r="AN102" s="70"/>
      <c r="AO102" s="70"/>
      <c r="AP102" s="70"/>
      <c r="AQ102" s="70"/>
      <c r="AR102" s="70"/>
      <c r="AS102" s="70"/>
      <c r="AT102" s="70"/>
      <c r="AU102" s="70"/>
      <c r="AV102" s="70"/>
      <c r="AW102" s="70"/>
      <c r="AX102" s="70"/>
      <c r="AY102" s="70"/>
      <c r="AZ102" s="70"/>
    </row>
    <row r="103" spans="1:52" hidden="1" x14ac:dyDescent="0.25">
      <c r="A103" s="27"/>
      <c r="B103" s="27"/>
      <c r="C103" s="232"/>
      <c r="D103" s="232"/>
      <c r="E103" s="232"/>
      <c r="F103" s="232"/>
      <c r="G103" s="232"/>
      <c r="H103" s="232"/>
      <c r="I103" s="232"/>
      <c r="J103" s="232"/>
      <c r="K103" s="232"/>
      <c r="L103" s="232"/>
      <c r="M103" s="232"/>
      <c r="N103" s="232"/>
      <c r="O103" s="232"/>
      <c r="P103" s="232" t="str">
        <f t="shared" si="12"/>
        <v/>
      </c>
      <c r="Q103" s="232" t="str">
        <f t="shared" si="13"/>
        <v/>
      </c>
      <c r="R103" s="33"/>
      <c r="S103" s="232" t="str">
        <f t="shared" si="14"/>
        <v/>
      </c>
      <c r="T103" s="232" t="str">
        <f t="shared" si="15"/>
        <v/>
      </c>
      <c r="U103" s="43"/>
      <c r="V103" s="27"/>
      <c r="W103" s="27"/>
      <c r="X103" s="70"/>
      <c r="Y103" s="70"/>
      <c r="Z103" s="70"/>
      <c r="AA103" s="70"/>
      <c r="AB103" s="70"/>
      <c r="AC103" s="70"/>
      <c r="AD103" s="70"/>
      <c r="AE103" s="70"/>
      <c r="AF103" s="70"/>
      <c r="AG103" s="70"/>
      <c r="AH103" s="70"/>
      <c r="AI103" s="70"/>
      <c r="AJ103" s="70"/>
      <c r="AK103" s="70"/>
      <c r="AL103" s="70"/>
      <c r="AM103" s="70"/>
      <c r="AN103" s="70"/>
      <c r="AO103" s="70"/>
      <c r="AP103" s="70"/>
      <c r="AQ103" s="70"/>
      <c r="AR103" s="70"/>
      <c r="AS103" s="70"/>
      <c r="AT103" s="70"/>
      <c r="AU103" s="70"/>
      <c r="AV103" s="70"/>
      <c r="AW103" s="70"/>
      <c r="AX103" s="70"/>
      <c r="AY103" s="70"/>
      <c r="AZ103" s="70"/>
    </row>
    <row r="104" spans="1:52" hidden="1" x14ac:dyDescent="0.25">
      <c r="A104" s="27"/>
      <c r="B104" s="27"/>
      <c r="C104" s="232"/>
      <c r="D104" s="232"/>
      <c r="E104" s="232"/>
      <c r="F104" s="232"/>
      <c r="G104" s="232"/>
      <c r="H104" s="232"/>
      <c r="I104" s="232"/>
      <c r="J104" s="232"/>
      <c r="K104" s="232"/>
      <c r="L104" s="232"/>
      <c r="M104" s="232"/>
      <c r="N104" s="232"/>
      <c r="O104" s="232"/>
      <c r="P104" s="232" t="str">
        <f t="shared" si="12"/>
        <v/>
      </c>
      <c r="Q104" s="232" t="str">
        <f t="shared" si="13"/>
        <v/>
      </c>
      <c r="R104" s="33"/>
      <c r="S104" s="232" t="str">
        <f t="shared" si="14"/>
        <v/>
      </c>
      <c r="T104" s="232" t="str">
        <f t="shared" si="15"/>
        <v/>
      </c>
      <c r="U104" s="43"/>
      <c r="V104" s="27"/>
      <c r="W104" s="27"/>
      <c r="X104" s="70"/>
      <c r="Y104" s="70"/>
      <c r="Z104" s="70"/>
      <c r="AA104" s="70"/>
      <c r="AB104" s="70"/>
      <c r="AC104" s="70"/>
      <c r="AD104" s="70"/>
      <c r="AE104" s="70"/>
      <c r="AF104" s="70"/>
      <c r="AG104" s="70"/>
      <c r="AH104" s="70"/>
      <c r="AI104" s="70"/>
      <c r="AJ104" s="70"/>
      <c r="AK104" s="70"/>
      <c r="AL104" s="70"/>
      <c r="AM104" s="70"/>
      <c r="AN104" s="70"/>
      <c r="AO104" s="70"/>
      <c r="AP104" s="70"/>
      <c r="AQ104" s="70"/>
      <c r="AR104" s="70"/>
      <c r="AS104" s="70"/>
      <c r="AT104" s="70"/>
      <c r="AU104" s="70"/>
      <c r="AV104" s="70"/>
      <c r="AW104" s="70"/>
      <c r="AX104" s="70"/>
      <c r="AY104" s="70"/>
      <c r="AZ104" s="70"/>
    </row>
    <row r="105" spans="1:52" hidden="1" x14ac:dyDescent="0.25">
      <c r="A105" s="27"/>
      <c r="B105" s="27"/>
      <c r="C105" s="232"/>
      <c r="D105" s="232"/>
      <c r="E105" s="232"/>
      <c r="F105" s="232"/>
      <c r="G105" s="232"/>
      <c r="H105" s="232"/>
      <c r="I105" s="232"/>
      <c r="J105" s="232"/>
      <c r="K105" s="232"/>
      <c r="L105" s="232"/>
      <c r="M105" s="232"/>
      <c r="N105" s="232"/>
      <c r="O105" s="232"/>
      <c r="P105" s="232" t="str">
        <f t="shared" si="12"/>
        <v/>
      </c>
      <c r="Q105" s="232" t="str">
        <f t="shared" si="13"/>
        <v/>
      </c>
      <c r="R105" s="33"/>
      <c r="S105" s="232" t="str">
        <f t="shared" si="14"/>
        <v/>
      </c>
      <c r="T105" s="232" t="str">
        <f t="shared" si="15"/>
        <v/>
      </c>
      <c r="U105" s="43"/>
      <c r="V105" s="27"/>
      <c r="W105" s="27"/>
      <c r="X105" s="70"/>
      <c r="Y105" s="70"/>
      <c r="Z105" s="70"/>
      <c r="AA105" s="70"/>
      <c r="AB105" s="70"/>
      <c r="AC105" s="70"/>
      <c r="AD105" s="70"/>
      <c r="AE105" s="70"/>
      <c r="AF105" s="70"/>
      <c r="AG105" s="70"/>
      <c r="AH105" s="70"/>
      <c r="AI105" s="70"/>
      <c r="AJ105" s="70"/>
      <c r="AK105" s="70"/>
      <c r="AL105" s="70"/>
      <c r="AM105" s="70"/>
      <c r="AN105" s="70"/>
      <c r="AO105" s="70"/>
      <c r="AP105" s="70"/>
      <c r="AQ105" s="70"/>
      <c r="AR105" s="70"/>
      <c r="AS105" s="70"/>
      <c r="AT105" s="70"/>
      <c r="AU105" s="70"/>
      <c r="AV105" s="70"/>
      <c r="AW105" s="70"/>
      <c r="AX105" s="70"/>
      <c r="AY105" s="70"/>
      <c r="AZ105" s="70"/>
    </row>
    <row r="106" spans="1:52" hidden="1" x14ac:dyDescent="0.25">
      <c r="A106" s="27"/>
      <c r="B106" s="27"/>
      <c r="C106" s="232"/>
      <c r="D106" s="232"/>
      <c r="E106" s="232"/>
      <c r="F106" s="232"/>
      <c r="G106" s="232"/>
      <c r="H106" s="232"/>
      <c r="I106" s="232"/>
      <c r="J106" s="232"/>
      <c r="K106" s="232"/>
      <c r="L106" s="232"/>
      <c r="M106" s="232"/>
      <c r="N106" s="232"/>
      <c r="O106" s="232"/>
      <c r="P106" s="232" t="str">
        <f t="shared" si="12"/>
        <v/>
      </c>
      <c r="Q106" s="232" t="str">
        <f t="shared" si="13"/>
        <v/>
      </c>
      <c r="R106" s="33"/>
      <c r="S106" s="232" t="str">
        <f t="shared" si="14"/>
        <v/>
      </c>
      <c r="T106" s="232" t="str">
        <f t="shared" si="15"/>
        <v/>
      </c>
      <c r="U106" s="43"/>
      <c r="V106" s="27"/>
      <c r="W106" s="27"/>
      <c r="X106" s="70"/>
      <c r="Y106" s="70"/>
      <c r="Z106" s="70"/>
      <c r="AA106" s="70"/>
      <c r="AB106" s="70"/>
      <c r="AC106" s="70"/>
      <c r="AD106" s="70"/>
      <c r="AE106" s="70"/>
      <c r="AF106" s="70"/>
      <c r="AG106" s="70"/>
      <c r="AH106" s="70"/>
      <c r="AI106" s="70"/>
      <c r="AJ106" s="70"/>
      <c r="AK106" s="70"/>
      <c r="AL106" s="70"/>
      <c r="AM106" s="70"/>
      <c r="AN106" s="70"/>
      <c r="AO106" s="70"/>
      <c r="AP106" s="70"/>
      <c r="AQ106" s="70"/>
      <c r="AR106" s="70"/>
      <c r="AS106" s="70"/>
      <c r="AT106" s="70"/>
      <c r="AU106" s="70"/>
      <c r="AV106" s="70"/>
      <c r="AW106" s="70"/>
      <c r="AX106" s="70"/>
      <c r="AY106" s="70"/>
      <c r="AZ106" s="70"/>
    </row>
    <row r="107" spans="1:52" hidden="1" x14ac:dyDescent="0.25">
      <c r="A107" s="27"/>
      <c r="B107" s="27"/>
      <c r="C107" s="232"/>
      <c r="D107" s="232"/>
      <c r="E107" s="232"/>
      <c r="F107" s="232"/>
      <c r="G107" s="232"/>
      <c r="H107" s="232"/>
      <c r="I107" s="232"/>
      <c r="J107" s="232"/>
      <c r="K107" s="232"/>
      <c r="L107" s="232"/>
      <c r="M107" s="232"/>
      <c r="N107" s="232"/>
      <c r="O107" s="232"/>
      <c r="P107" s="232" t="str">
        <f t="shared" si="12"/>
        <v/>
      </c>
      <c r="Q107" s="232" t="str">
        <f t="shared" si="13"/>
        <v/>
      </c>
      <c r="R107" s="33"/>
      <c r="S107" s="232" t="str">
        <f t="shared" si="14"/>
        <v/>
      </c>
      <c r="T107" s="232" t="str">
        <f t="shared" si="15"/>
        <v/>
      </c>
      <c r="U107" s="43"/>
      <c r="V107" s="27"/>
      <c r="W107" s="27"/>
      <c r="X107" s="70"/>
      <c r="Y107" s="70"/>
      <c r="Z107" s="70"/>
      <c r="AA107" s="70"/>
      <c r="AB107" s="70"/>
      <c r="AC107" s="70"/>
      <c r="AD107" s="70"/>
      <c r="AE107" s="70"/>
      <c r="AF107" s="70"/>
      <c r="AG107" s="70"/>
      <c r="AH107" s="70"/>
      <c r="AI107" s="70"/>
      <c r="AJ107" s="70"/>
      <c r="AK107" s="70"/>
      <c r="AL107" s="70"/>
      <c r="AM107" s="70"/>
      <c r="AN107" s="70"/>
      <c r="AO107" s="70"/>
      <c r="AP107" s="70"/>
      <c r="AQ107" s="70"/>
      <c r="AR107" s="70"/>
      <c r="AS107" s="70"/>
      <c r="AT107" s="70"/>
      <c r="AU107" s="70"/>
      <c r="AV107" s="70"/>
      <c r="AW107" s="70"/>
      <c r="AX107" s="70"/>
      <c r="AY107" s="70"/>
      <c r="AZ107" s="70"/>
    </row>
    <row r="108" spans="1:52" hidden="1" x14ac:dyDescent="0.25">
      <c r="A108" s="27"/>
      <c r="B108" s="27"/>
      <c r="C108" s="232"/>
      <c r="D108" s="232"/>
      <c r="E108" s="232"/>
      <c r="F108" s="232"/>
      <c r="G108" s="232"/>
      <c r="H108" s="232"/>
      <c r="I108" s="232"/>
      <c r="J108" s="232"/>
      <c r="K108" s="232"/>
      <c r="L108" s="232"/>
      <c r="M108" s="232"/>
      <c r="N108" s="232"/>
      <c r="O108" s="232"/>
      <c r="P108" s="232" t="str">
        <f t="shared" si="12"/>
        <v/>
      </c>
      <c r="Q108" s="232" t="str">
        <f t="shared" si="13"/>
        <v/>
      </c>
      <c r="R108" s="33"/>
      <c r="S108" s="232" t="str">
        <f t="shared" si="14"/>
        <v/>
      </c>
      <c r="T108" s="232" t="str">
        <f t="shared" si="15"/>
        <v/>
      </c>
      <c r="U108" s="43"/>
      <c r="V108" s="27"/>
      <c r="W108" s="27"/>
      <c r="X108" s="70"/>
      <c r="Y108" s="70"/>
      <c r="Z108" s="70"/>
      <c r="AA108" s="70"/>
      <c r="AB108" s="70"/>
      <c r="AC108" s="70"/>
      <c r="AD108" s="70"/>
      <c r="AE108" s="70"/>
      <c r="AF108" s="70"/>
      <c r="AG108" s="70"/>
      <c r="AH108" s="70"/>
      <c r="AI108" s="70"/>
      <c r="AJ108" s="70"/>
      <c r="AK108" s="70"/>
      <c r="AL108" s="70"/>
      <c r="AM108" s="70"/>
      <c r="AN108" s="70"/>
      <c r="AO108" s="70"/>
      <c r="AP108" s="70"/>
      <c r="AQ108" s="70"/>
      <c r="AR108" s="70"/>
      <c r="AS108" s="70"/>
      <c r="AT108" s="70"/>
      <c r="AU108" s="70"/>
      <c r="AV108" s="70"/>
      <c r="AW108" s="70"/>
      <c r="AX108" s="70"/>
      <c r="AY108" s="70"/>
      <c r="AZ108" s="70"/>
    </row>
    <row r="109" spans="1:52" hidden="1" x14ac:dyDescent="0.25">
      <c r="A109" s="27"/>
      <c r="B109" s="27"/>
      <c r="C109" s="232"/>
      <c r="D109" s="232"/>
      <c r="E109" s="232"/>
      <c r="F109" s="232"/>
      <c r="G109" s="232"/>
      <c r="H109" s="232"/>
      <c r="I109" s="232"/>
      <c r="J109" s="232"/>
      <c r="K109" s="232"/>
      <c r="L109" s="232"/>
      <c r="M109" s="232"/>
      <c r="N109" s="232"/>
      <c r="O109" s="232"/>
      <c r="P109" s="232" t="str">
        <f t="shared" si="12"/>
        <v/>
      </c>
      <c r="Q109" s="232" t="str">
        <f t="shared" si="13"/>
        <v/>
      </c>
      <c r="R109" s="33"/>
      <c r="S109" s="232" t="str">
        <f t="shared" si="14"/>
        <v/>
      </c>
      <c r="T109" s="232" t="str">
        <f t="shared" si="15"/>
        <v/>
      </c>
      <c r="U109" s="43"/>
      <c r="V109" s="27"/>
      <c r="W109" s="27"/>
      <c r="X109" s="70"/>
      <c r="Y109" s="70"/>
      <c r="Z109" s="70"/>
      <c r="AA109" s="70"/>
      <c r="AB109" s="70"/>
      <c r="AC109" s="70"/>
      <c r="AD109" s="70"/>
      <c r="AE109" s="70"/>
      <c r="AF109" s="70"/>
      <c r="AG109" s="70"/>
      <c r="AH109" s="70"/>
      <c r="AI109" s="70"/>
      <c r="AJ109" s="70"/>
      <c r="AK109" s="70"/>
      <c r="AL109" s="70"/>
      <c r="AM109" s="70"/>
      <c r="AN109" s="70"/>
      <c r="AO109" s="70"/>
      <c r="AP109" s="70"/>
      <c r="AQ109" s="70"/>
      <c r="AR109" s="70"/>
      <c r="AS109" s="70"/>
      <c r="AT109" s="70"/>
      <c r="AU109" s="70"/>
      <c r="AV109" s="70"/>
      <c r="AW109" s="70"/>
      <c r="AX109" s="70"/>
      <c r="AY109" s="70"/>
      <c r="AZ109" s="70"/>
    </row>
    <row r="110" spans="1:52" hidden="1" x14ac:dyDescent="0.25">
      <c r="A110" s="27"/>
      <c r="B110" s="27"/>
      <c r="C110" s="232"/>
      <c r="D110" s="232"/>
      <c r="E110" s="232"/>
      <c r="F110" s="232"/>
      <c r="G110" s="232"/>
      <c r="H110" s="232"/>
      <c r="I110" s="232"/>
      <c r="J110" s="232"/>
      <c r="K110" s="232"/>
      <c r="L110" s="232"/>
      <c r="M110" s="232"/>
      <c r="N110" s="232"/>
      <c r="O110" s="232"/>
      <c r="P110" s="232" t="str">
        <f t="shared" si="12"/>
        <v/>
      </c>
      <c r="Q110" s="232" t="str">
        <f t="shared" si="13"/>
        <v/>
      </c>
      <c r="R110" s="33"/>
      <c r="S110" s="232" t="str">
        <f t="shared" si="14"/>
        <v/>
      </c>
      <c r="T110" s="232" t="str">
        <f t="shared" si="15"/>
        <v/>
      </c>
      <c r="U110" s="43"/>
      <c r="V110" s="27"/>
      <c r="W110" s="27"/>
      <c r="X110" s="70"/>
      <c r="Y110" s="70"/>
      <c r="Z110" s="70"/>
      <c r="AA110" s="70"/>
      <c r="AB110" s="70"/>
      <c r="AC110" s="70"/>
      <c r="AD110" s="70"/>
      <c r="AE110" s="70"/>
      <c r="AF110" s="70"/>
      <c r="AG110" s="70"/>
      <c r="AH110" s="70"/>
      <c r="AI110" s="70"/>
      <c r="AJ110" s="70"/>
      <c r="AK110" s="70"/>
      <c r="AL110" s="70"/>
      <c r="AM110" s="70"/>
      <c r="AN110" s="70"/>
      <c r="AO110" s="70"/>
      <c r="AP110" s="70"/>
      <c r="AQ110" s="70"/>
      <c r="AR110" s="70"/>
      <c r="AS110" s="70"/>
      <c r="AT110" s="70"/>
      <c r="AU110" s="70"/>
      <c r="AV110" s="70"/>
      <c r="AW110" s="70"/>
      <c r="AX110" s="70"/>
      <c r="AY110" s="70"/>
      <c r="AZ110" s="70"/>
    </row>
    <row r="111" spans="1:52" hidden="1" x14ac:dyDescent="0.25">
      <c r="A111" s="27"/>
      <c r="B111" s="27"/>
      <c r="C111" s="232"/>
      <c r="D111" s="232"/>
      <c r="E111" s="232"/>
      <c r="F111" s="232"/>
      <c r="G111" s="232"/>
      <c r="H111" s="232"/>
      <c r="I111" s="232"/>
      <c r="J111" s="232"/>
      <c r="K111" s="232"/>
      <c r="L111" s="232"/>
      <c r="M111" s="232"/>
      <c r="N111" s="232"/>
      <c r="O111" s="232"/>
      <c r="P111" s="232" t="str">
        <f t="shared" si="12"/>
        <v/>
      </c>
      <c r="Q111" s="232" t="str">
        <f t="shared" si="13"/>
        <v/>
      </c>
      <c r="R111" s="33"/>
      <c r="S111" s="232" t="str">
        <f t="shared" si="14"/>
        <v/>
      </c>
      <c r="T111" s="232" t="str">
        <f t="shared" si="15"/>
        <v/>
      </c>
      <c r="U111" s="43"/>
      <c r="V111" s="27"/>
      <c r="W111" s="27"/>
      <c r="X111" s="70"/>
      <c r="Y111" s="70"/>
      <c r="Z111" s="70"/>
      <c r="AA111" s="70"/>
      <c r="AB111" s="70"/>
      <c r="AC111" s="70"/>
      <c r="AD111" s="70"/>
      <c r="AE111" s="70"/>
      <c r="AF111" s="70"/>
      <c r="AG111" s="70"/>
      <c r="AH111" s="70"/>
      <c r="AI111" s="70"/>
      <c r="AJ111" s="70"/>
      <c r="AK111" s="70"/>
      <c r="AL111" s="70"/>
      <c r="AM111" s="70"/>
      <c r="AN111" s="70"/>
      <c r="AO111" s="70"/>
      <c r="AP111" s="70"/>
      <c r="AQ111" s="70"/>
      <c r="AR111" s="70"/>
      <c r="AS111" s="70"/>
      <c r="AT111" s="70"/>
      <c r="AU111" s="70"/>
      <c r="AV111" s="70"/>
      <c r="AW111" s="70"/>
      <c r="AX111" s="70"/>
      <c r="AY111" s="70"/>
      <c r="AZ111" s="70"/>
    </row>
    <row r="112" spans="1:52" hidden="1" x14ac:dyDescent="0.25">
      <c r="A112" s="27"/>
      <c r="B112" s="27"/>
      <c r="C112" s="232"/>
      <c r="D112" s="232"/>
      <c r="E112" s="232"/>
      <c r="F112" s="232"/>
      <c r="G112" s="232"/>
      <c r="H112" s="232"/>
      <c r="I112" s="232"/>
      <c r="J112" s="232"/>
      <c r="K112" s="232"/>
      <c r="L112" s="232"/>
      <c r="M112" s="232"/>
      <c r="N112" s="232"/>
      <c r="O112" s="232"/>
      <c r="P112" s="232" t="str">
        <f t="shared" si="12"/>
        <v/>
      </c>
      <c r="Q112" s="232" t="str">
        <f t="shared" si="13"/>
        <v/>
      </c>
      <c r="R112" s="33"/>
      <c r="S112" s="232" t="str">
        <f t="shared" si="14"/>
        <v/>
      </c>
      <c r="T112" s="232" t="str">
        <f t="shared" si="15"/>
        <v/>
      </c>
      <c r="U112" s="43"/>
      <c r="V112" s="27"/>
      <c r="W112" s="27"/>
      <c r="X112" s="70"/>
      <c r="Y112" s="70"/>
      <c r="Z112" s="70"/>
      <c r="AA112" s="70"/>
      <c r="AB112" s="70"/>
      <c r="AC112" s="70"/>
      <c r="AD112" s="70"/>
      <c r="AE112" s="70"/>
      <c r="AF112" s="70"/>
      <c r="AG112" s="70"/>
      <c r="AH112" s="70"/>
      <c r="AI112" s="70"/>
      <c r="AJ112" s="70"/>
      <c r="AK112" s="70"/>
      <c r="AL112" s="70"/>
      <c r="AM112" s="70"/>
      <c r="AN112" s="70"/>
      <c r="AO112" s="70"/>
      <c r="AP112" s="70"/>
      <c r="AQ112" s="70"/>
      <c r="AR112" s="70"/>
      <c r="AS112" s="70"/>
      <c r="AT112" s="70"/>
      <c r="AU112" s="70"/>
      <c r="AV112" s="70"/>
      <c r="AW112" s="70"/>
      <c r="AX112" s="70"/>
      <c r="AY112" s="70"/>
      <c r="AZ112" s="70"/>
    </row>
    <row r="113" spans="1:52" hidden="1" x14ac:dyDescent="0.25">
      <c r="A113" s="27"/>
      <c r="B113" s="27"/>
      <c r="C113" s="232"/>
      <c r="D113" s="232"/>
      <c r="E113" s="232"/>
      <c r="F113" s="232"/>
      <c r="G113" s="232"/>
      <c r="H113" s="232"/>
      <c r="I113" s="232"/>
      <c r="J113" s="232"/>
      <c r="K113" s="232"/>
      <c r="L113" s="232"/>
      <c r="M113" s="232"/>
      <c r="N113" s="232"/>
      <c r="O113" s="232"/>
      <c r="P113" s="232" t="str">
        <f t="shared" si="12"/>
        <v/>
      </c>
      <c r="Q113" s="232" t="str">
        <f t="shared" si="13"/>
        <v/>
      </c>
      <c r="R113" s="33"/>
      <c r="S113" s="232" t="str">
        <f t="shared" si="14"/>
        <v/>
      </c>
      <c r="T113" s="232" t="str">
        <f t="shared" si="15"/>
        <v/>
      </c>
      <c r="U113" s="43"/>
      <c r="V113" s="27"/>
      <c r="W113" s="27"/>
      <c r="X113" s="70"/>
      <c r="Y113" s="70"/>
      <c r="Z113" s="70"/>
      <c r="AA113" s="70"/>
      <c r="AB113" s="70"/>
      <c r="AC113" s="70"/>
      <c r="AD113" s="70"/>
      <c r="AE113" s="70"/>
      <c r="AF113" s="70"/>
      <c r="AG113" s="70"/>
      <c r="AH113" s="70"/>
      <c r="AI113" s="70"/>
      <c r="AJ113" s="70"/>
      <c r="AK113" s="70"/>
      <c r="AL113" s="70"/>
      <c r="AM113" s="70"/>
      <c r="AN113" s="70"/>
      <c r="AO113" s="70"/>
      <c r="AP113" s="70"/>
      <c r="AQ113" s="70"/>
      <c r="AR113" s="70"/>
      <c r="AS113" s="70"/>
      <c r="AT113" s="70"/>
      <c r="AU113" s="70"/>
      <c r="AV113" s="70"/>
      <c r="AW113" s="70"/>
      <c r="AX113" s="70"/>
      <c r="AY113" s="70"/>
      <c r="AZ113" s="70"/>
    </row>
    <row r="114" spans="1:52" hidden="1" x14ac:dyDescent="0.25">
      <c r="A114" s="27"/>
      <c r="B114" s="27"/>
      <c r="C114" s="232"/>
      <c r="D114" s="232"/>
      <c r="E114" s="232"/>
      <c r="F114" s="232"/>
      <c r="G114" s="232"/>
      <c r="H114" s="232"/>
      <c r="I114" s="232"/>
      <c r="J114" s="232"/>
      <c r="K114" s="232"/>
      <c r="L114" s="232"/>
      <c r="M114" s="232"/>
      <c r="N114" s="232"/>
      <c r="O114" s="232"/>
      <c r="P114" s="232" t="str">
        <f t="shared" si="12"/>
        <v/>
      </c>
      <c r="Q114" s="232" t="str">
        <f t="shared" si="13"/>
        <v/>
      </c>
      <c r="R114" s="33"/>
      <c r="S114" s="232" t="str">
        <f t="shared" si="14"/>
        <v/>
      </c>
      <c r="T114" s="232" t="str">
        <f t="shared" si="15"/>
        <v/>
      </c>
      <c r="U114" s="43"/>
      <c r="V114" s="27"/>
      <c r="W114" s="27"/>
      <c r="X114" s="70"/>
      <c r="Y114" s="70"/>
      <c r="Z114" s="70"/>
      <c r="AA114" s="70"/>
      <c r="AB114" s="70"/>
      <c r="AC114" s="70"/>
      <c r="AD114" s="70"/>
      <c r="AE114" s="70"/>
      <c r="AF114" s="70"/>
      <c r="AG114" s="70"/>
      <c r="AH114" s="70"/>
      <c r="AI114" s="70"/>
      <c r="AJ114" s="70"/>
      <c r="AK114" s="70"/>
      <c r="AL114" s="70"/>
      <c r="AM114" s="70"/>
      <c r="AN114" s="70"/>
      <c r="AO114" s="70"/>
      <c r="AP114" s="70"/>
      <c r="AQ114" s="70"/>
      <c r="AR114" s="70"/>
      <c r="AS114" s="70"/>
      <c r="AT114" s="70"/>
      <c r="AU114" s="70"/>
      <c r="AV114" s="70"/>
      <c r="AW114" s="70"/>
      <c r="AX114" s="70"/>
      <c r="AY114" s="70"/>
      <c r="AZ114" s="70"/>
    </row>
    <row r="115" spans="1:52" hidden="1" x14ac:dyDescent="0.25">
      <c r="A115" s="27"/>
      <c r="B115" s="27"/>
      <c r="C115" s="232"/>
      <c r="D115" s="232"/>
      <c r="E115" s="232"/>
      <c r="F115" s="232"/>
      <c r="G115" s="232"/>
      <c r="H115" s="232"/>
      <c r="I115" s="232"/>
      <c r="J115" s="232"/>
      <c r="K115" s="232"/>
      <c r="L115" s="232"/>
      <c r="M115" s="232"/>
      <c r="N115" s="232"/>
      <c r="O115" s="232"/>
      <c r="P115" s="232" t="str">
        <f t="shared" si="12"/>
        <v/>
      </c>
      <c r="Q115" s="232" t="str">
        <f t="shared" si="13"/>
        <v/>
      </c>
      <c r="R115" s="33"/>
      <c r="S115" s="232" t="str">
        <f t="shared" si="14"/>
        <v/>
      </c>
      <c r="T115" s="232" t="str">
        <f t="shared" si="15"/>
        <v/>
      </c>
      <c r="U115" s="43"/>
      <c r="V115" s="27"/>
      <c r="W115" s="27"/>
      <c r="X115" s="70"/>
      <c r="Y115" s="70"/>
      <c r="Z115" s="70"/>
      <c r="AA115" s="70"/>
      <c r="AB115" s="70"/>
      <c r="AC115" s="70"/>
      <c r="AD115" s="70"/>
      <c r="AE115" s="70"/>
      <c r="AF115" s="70"/>
      <c r="AG115" s="70"/>
      <c r="AH115" s="70"/>
      <c r="AI115" s="70"/>
      <c r="AJ115" s="70"/>
      <c r="AK115" s="70"/>
      <c r="AL115" s="70"/>
      <c r="AM115" s="70"/>
      <c r="AN115" s="70"/>
      <c r="AO115" s="70"/>
      <c r="AP115" s="70"/>
      <c r="AQ115" s="70"/>
      <c r="AR115" s="70"/>
      <c r="AS115" s="70"/>
      <c r="AT115" s="70"/>
      <c r="AU115" s="70"/>
      <c r="AV115" s="70"/>
      <c r="AW115" s="70"/>
      <c r="AX115" s="70"/>
      <c r="AY115" s="70"/>
      <c r="AZ115" s="70"/>
    </row>
    <row r="116" spans="1:52" hidden="1" x14ac:dyDescent="0.25">
      <c r="A116" s="27"/>
      <c r="B116" s="27"/>
      <c r="C116" s="232"/>
      <c r="D116" s="232"/>
      <c r="E116" s="232"/>
      <c r="F116" s="232"/>
      <c r="G116" s="232"/>
      <c r="H116" s="232"/>
      <c r="I116" s="232"/>
      <c r="J116" s="232"/>
      <c r="K116" s="232"/>
      <c r="L116" s="232"/>
      <c r="M116" s="232"/>
      <c r="N116" s="232"/>
      <c r="O116" s="232"/>
      <c r="P116" s="232" t="str">
        <f t="shared" si="12"/>
        <v/>
      </c>
      <c r="Q116" s="232" t="str">
        <f t="shared" si="13"/>
        <v/>
      </c>
      <c r="R116" s="33"/>
      <c r="S116" s="232" t="str">
        <f t="shared" si="14"/>
        <v/>
      </c>
      <c r="T116" s="232" t="str">
        <f t="shared" si="15"/>
        <v/>
      </c>
      <c r="U116" s="43"/>
      <c r="V116" s="27"/>
      <c r="W116" s="27"/>
      <c r="X116" s="70"/>
      <c r="Y116" s="70"/>
      <c r="Z116" s="70"/>
      <c r="AA116" s="70"/>
      <c r="AB116" s="70"/>
      <c r="AC116" s="70"/>
      <c r="AD116" s="70"/>
      <c r="AE116" s="70"/>
      <c r="AF116" s="70"/>
      <c r="AG116" s="70"/>
      <c r="AH116" s="70"/>
      <c r="AI116" s="70"/>
      <c r="AJ116" s="70"/>
      <c r="AK116" s="70"/>
      <c r="AL116" s="70"/>
      <c r="AM116" s="70"/>
      <c r="AN116" s="70"/>
      <c r="AO116" s="70"/>
      <c r="AP116" s="70"/>
      <c r="AQ116" s="70"/>
      <c r="AR116" s="70"/>
      <c r="AS116" s="70"/>
      <c r="AT116" s="70"/>
      <c r="AU116" s="70"/>
      <c r="AV116" s="70"/>
      <c r="AW116" s="70"/>
      <c r="AX116" s="70"/>
      <c r="AY116" s="70"/>
      <c r="AZ116" s="70"/>
    </row>
    <row r="117" spans="1:52" hidden="1" x14ac:dyDescent="0.25">
      <c r="A117" s="27"/>
      <c r="B117" s="27"/>
      <c r="C117" s="232"/>
      <c r="D117" s="232"/>
      <c r="E117" s="232"/>
      <c r="F117" s="232"/>
      <c r="G117" s="232"/>
      <c r="H117" s="232"/>
      <c r="I117" s="232"/>
      <c r="J117" s="232"/>
      <c r="K117" s="232"/>
      <c r="L117" s="232"/>
      <c r="M117" s="232"/>
      <c r="N117" s="232"/>
      <c r="O117" s="232"/>
      <c r="P117" s="232" t="str">
        <f t="shared" si="12"/>
        <v/>
      </c>
      <c r="Q117" s="232" t="str">
        <f t="shared" si="13"/>
        <v/>
      </c>
      <c r="R117" s="33"/>
      <c r="S117" s="232" t="str">
        <f t="shared" si="14"/>
        <v/>
      </c>
      <c r="T117" s="232" t="str">
        <f t="shared" si="15"/>
        <v/>
      </c>
      <c r="U117" s="43"/>
      <c r="V117" s="27"/>
      <c r="W117" s="27"/>
      <c r="X117" s="70"/>
      <c r="Y117" s="70"/>
      <c r="Z117" s="70"/>
      <c r="AA117" s="70"/>
      <c r="AB117" s="70"/>
      <c r="AC117" s="70"/>
      <c r="AD117" s="70"/>
      <c r="AE117" s="70"/>
      <c r="AF117" s="70"/>
      <c r="AG117" s="70"/>
      <c r="AH117" s="70"/>
      <c r="AI117" s="70"/>
      <c r="AJ117" s="70"/>
      <c r="AK117" s="70"/>
      <c r="AL117" s="70"/>
      <c r="AM117" s="70"/>
      <c r="AN117" s="70"/>
      <c r="AO117" s="70"/>
      <c r="AP117" s="70"/>
      <c r="AQ117" s="70"/>
      <c r="AR117" s="70"/>
      <c r="AS117" s="70"/>
      <c r="AT117" s="70"/>
      <c r="AU117" s="70"/>
      <c r="AV117" s="70"/>
      <c r="AW117" s="70"/>
      <c r="AX117" s="70"/>
      <c r="AY117" s="70"/>
      <c r="AZ117" s="70"/>
    </row>
    <row r="118" spans="1:52" hidden="1" x14ac:dyDescent="0.25">
      <c r="A118" s="27"/>
      <c r="B118" s="27"/>
      <c r="C118" s="232"/>
      <c r="D118" s="232"/>
      <c r="E118" s="232"/>
      <c r="F118" s="232"/>
      <c r="G118" s="232"/>
      <c r="H118" s="232"/>
      <c r="I118" s="232"/>
      <c r="J118" s="232"/>
      <c r="K118" s="232"/>
      <c r="L118" s="232"/>
      <c r="M118" s="232"/>
      <c r="N118" s="232"/>
      <c r="O118" s="232"/>
      <c r="P118" s="232" t="str">
        <f t="shared" si="12"/>
        <v/>
      </c>
      <c r="Q118" s="232" t="str">
        <f t="shared" si="13"/>
        <v/>
      </c>
      <c r="R118" s="33"/>
      <c r="S118" s="232" t="str">
        <f t="shared" si="14"/>
        <v/>
      </c>
      <c r="T118" s="232" t="str">
        <f t="shared" si="15"/>
        <v/>
      </c>
      <c r="U118" s="43"/>
      <c r="V118" s="27"/>
      <c r="W118" s="27"/>
      <c r="X118" s="70"/>
      <c r="Y118" s="70"/>
      <c r="Z118" s="70"/>
      <c r="AA118" s="70"/>
      <c r="AB118" s="70"/>
      <c r="AC118" s="70"/>
      <c r="AD118" s="70"/>
      <c r="AE118" s="70"/>
      <c r="AF118" s="70"/>
      <c r="AG118" s="70"/>
      <c r="AH118" s="70"/>
      <c r="AI118" s="70"/>
      <c r="AJ118" s="70"/>
      <c r="AK118" s="70"/>
      <c r="AL118" s="70"/>
      <c r="AM118" s="70"/>
      <c r="AN118" s="70"/>
      <c r="AO118" s="70"/>
      <c r="AP118" s="70"/>
      <c r="AQ118" s="70"/>
      <c r="AR118" s="70"/>
      <c r="AS118" s="70"/>
      <c r="AT118" s="70"/>
      <c r="AU118" s="70"/>
      <c r="AV118" s="70"/>
      <c r="AW118" s="70"/>
      <c r="AX118" s="70"/>
      <c r="AY118" s="70"/>
      <c r="AZ118" s="70"/>
    </row>
    <row r="119" spans="1:52" hidden="1" x14ac:dyDescent="0.25">
      <c r="A119" s="27"/>
      <c r="B119" s="27"/>
      <c r="C119" s="232"/>
      <c r="D119" s="232"/>
      <c r="E119" s="232"/>
      <c r="F119" s="232"/>
      <c r="G119" s="232"/>
      <c r="H119" s="232"/>
      <c r="I119" s="232"/>
      <c r="J119" s="232"/>
      <c r="K119" s="232"/>
      <c r="L119" s="232"/>
      <c r="M119" s="232"/>
      <c r="N119" s="232"/>
      <c r="O119" s="232"/>
      <c r="P119" s="232" t="str">
        <f t="shared" si="12"/>
        <v/>
      </c>
      <c r="Q119" s="232" t="str">
        <f t="shared" si="13"/>
        <v/>
      </c>
      <c r="R119" s="33"/>
      <c r="S119" s="232" t="str">
        <f t="shared" si="14"/>
        <v/>
      </c>
      <c r="T119" s="232" t="str">
        <f t="shared" si="15"/>
        <v/>
      </c>
      <c r="U119" s="43"/>
      <c r="V119" s="27"/>
      <c r="W119" s="27"/>
      <c r="X119" s="70"/>
      <c r="Y119" s="70"/>
      <c r="Z119" s="70"/>
      <c r="AA119" s="70"/>
      <c r="AB119" s="70"/>
      <c r="AC119" s="70"/>
      <c r="AD119" s="70"/>
      <c r="AE119" s="70"/>
      <c r="AF119" s="70"/>
      <c r="AG119" s="70"/>
      <c r="AH119" s="70"/>
      <c r="AI119" s="70"/>
      <c r="AJ119" s="70"/>
      <c r="AK119" s="70"/>
      <c r="AL119" s="70"/>
      <c r="AM119" s="70"/>
      <c r="AN119" s="70"/>
      <c r="AO119" s="70"/>
      <c r="AP119" s="70"/>
      <c r="AQ119" s="70"/>
      <c r="AR119" s="70"/>
      <c r="AS119" s="70"/>
      <c r="AT119" s="70"/>
      <c r="AU119" s="70"/>
      <c r="AV119" s="70"/>
      <c r="AW119" s="70"/>
      <c r="AX119" s="70"/>
      <c r="AY119" s="70"/>
      <c r="AZ119" s="70"/>
    </row>
    <row r="120" spans="1:52" hidden="1" x14ac:dyDescent="0.25">
      <c r="A120" s="27"/>
      <c r="B120" s="27"/>
      <c r="C120" s="232"/>
      <c r="D120" s="232"/>
      <c r="E120" s="232"/>
      <c r="F120" s="232"/>
      <c r="G120" s="232"/>
      <c r="H120" s="232"/>
      <c r="I120" s="232"/>
      <c r="J120" s="232"/>
      <c r="K120" s="232"/>
      <c r="L120" s="232"/>
      <c r="M120" s="232"/>
      <c r="N120" s="232"/>
      <c r="O120" s="232"/>
      <c r="P120" s="232" t="str">
        <f t="shared" si="12"/>
        <v/>
      </c>
      <c r="Q120" s="232" t="str">
        <f t="shared" si="13"/>
        <v/>
      </c>
      <c r="R120" s="33"/>
      <c r="S120" s="232" t="str">
        <f t="shared" si="14"/>
        <v/>
      </c>
      <c r="T120" s="232" t="str">
        <f t="shared" si="15"/>
        <v/>
      </c>
      <c r="U120" s="43"/>
      <c r="V120" s="27"/>
      <c r="W120" s="27"/>
      <c r="X120" s="70"/>
      <c r="Y120" s="70"/>
      <c r="Z120" s="70"/>
      <c r="AA120" s="70"/>
      <c r="AB120" s="70"/>
      <c r="AC120" s="70"/>
      <c r="AD120" s="70"/>
      <c r="AE120" s="70"/>
      <c r="AF120" s="70"/>
      <c r="AG120" s="70"/>
      <c r="AH120" s="70"/>
      <c r="AI120" s="70"/>
      <c r="AJ120" s="70"/>
      <c r="AK120" s="70"/>
      <c r="AL120" s="70"/>
      <c r="AM120" s="70"/>
      <c r="AN120" s="70"/>
      <c r="AO120" s="70"/>
      <c r="AP120" s="70"/>
      <c r="AQ120" s="70"/>
      <c r="AR120" s="70"/>
      <c r="AS120" s="70"/>
      <c r="AT120" s="70"/>
      <c r="AU120" s="70"/>
      <c r="AV120" s="70"/>
      <c r="AW120" s="70"/>
      <c r="AX120" s="70"/>
      <c r="AY120" s="70"/>
      <c r="AZ120" s="70"/>
    </row>
    <row r="121" spans="1:52" x14ac:dyDescent="0.25">
      <c r="A121" s="27"/>
      <c r="B121" s="27"/>
      <c r="C121" s="232"/>
      <c r="D121" s="232"/>
      <c r="E121" s="232"/>
      <c r="F121" s="232"/>
      <c r="G121" s="232"/>
      <c r="H121" s="232"/>
      <c r="I121" s="232"/>
      <c r="J121" s="232"/>
      <c r="K121" s="232"/>
      <c r="L121" s="232"/>
      <c r="M121" s="232"/>
      <c r="N121" s="232"/>
      <c r="O121" s="232"/>
      <c r="P121" s="232"/>
      <c r="Q121" s="232"/>
      <c r="R121" s="33"/>
      <c r="S121" s="232"/>
      <c r="T121" s="232"/>
      <c r="U121" s="33"/>
      <c r="V121" s="27"/>
      <c r="W121" s="27"/>
      <c r="X121" s="70"/>
      <c r="Y121" s="70"/>
      <c r="Z121" s="70"/>
      <c r="AA121" s="70"/>
      <c r="AB121" s="70"/>
      <c r="AC121" s="70"/>
      <c r="AD121" s="70"/>
      <c r="AE121" s="70"/>
      <c r="AF121" s="70"/>
      <c r="AG121" s="70"/>
      <c r="AH121" s="70"/>
      <c r="AI121" s="70"/>
      <c r="AJ121" s="70"/>
      <c r="AK121" s="70"/>
      <c r="AL121" s="70"/>
      <c r="AM121" s="70"/>
      <c r="AN121" s="70"/>
      <c r="AO121" s="70"/>
      <c r="AP121" s="70"/>
      <c r="AQ121" s="70"/>
      <c r="AR121" s="70"/>
      <c r="AS121" s="70"/>
      <c r="AT121" s="70"/>
      <c r="AU121" s="70"/>
      <c r="AV121" s="70"/>
      <c r="AW121" s="70"/>
      <c r="AX121" s="70"/>
      <c r="AY121" s="70"/>
      <c r="AZ121" s="70"/>
    </row>
    <row r="122" spans="1:52" x14ac:dyDescent="0.25">
      <c r="A122" s="46"/>
      <c r="B122" s="46"/>
      <c r="C122" s="234"/>
      <c r="D122" s="234"/>
      <c r="E122" s="234"/>
      <c r="F122" s="234"/>
      <c r="G122" s="234"/>
      <c r="H122" s="234"/>
      <c r="I122" s="234"/>
      <c r="J122" s="234"/>
      <c r="K122" s="234"/>
      <c r="L122" s="234"/>
      <c r="M122" s="234"/>
      <c r="N122" s="234"/>
      <c r="O122" s="234"/>
      <c r="P122" s="234">
        <f>SUM(P5:P120)</f>
        <v>2310.6175000000007</v>
      </c>
      <c r="Q122" s="234">
        <f>SUM(Q5:Q120)</f>
        <v>27727.41</v>
      </c>
      <c r="R122" s="47"/>
      <c r="S122" s="234">
        <f>SUM(S5:S120)</f>
        <v>19225.47</v>
      </c>
      <c r="T122" s="234">
        <f>SUM(T5:T120)</f>
        <v>1602.1224999999999</v>
      </c>
      <c r="U122" s="47"/>
      <c r="V122" s="46"/>
      <c r="W122" s="46"/>
      <c r="X122" s="71"/>
      <c r="Y122" s="71"/>
      <c r="Z122" s="71"/>
      <c r="AA122" s="71"/>
      <c r="AB122" s="71"/>
      <c r="AC122" s="71"/>
      <c r="AD122" s="71"/>
      <c r="AE122" s="71"/>
      <c r="AF122" s="71"/>
      <c r="AG122" s="71"/>
      <c r="AH122" s="71"/>
      <c r="AI122" s="71"/>
      <c r="AJ122" s="71"/>
      <c r="AK122" s="71"/>
      <c r="AL122" s="71"/>
      <c r="AM122" s="71"/>
      <c r="AN122" s="71"/>
      <c r="AO122" s="71"/>
      <c r="AP122" s="71"/>
      <c r="AQ122" s="71"/>
      <c r="AR122" s="71"/>
      <c r="AS122" s="71"/>
      <c r="AT122" s="71"/>
      <c r="AU122" s="71"/>
      <c r="AV122" s="71"/>
      <c r="AW122" s="71"/>
      <c r="AX122" s="71"/>
      <c r="AY122" s="71"/>
      <c r="AZ122" s="71"/>
    </row>
    <row r="123" spans="1:52" x14ac:dyDescent="0.25">
      <c r="A123" s="44"/>
      <c r="B123" s="44"/>
      <c r="C123" s="233"/>
      <c r="D123" s="233"/>
      <c r="E123" s="233"/>
      <c r="F123" s="233"/>
      <c r="G123" s="233"/>
      <c r="H123" s="233"/>
      <c r="I123" s="233"/>
      <c r="J123" s="233"/>
      <c r="K123" s="233"/>
      <c r="L123" s="233"/>
      <c r="M123" s="233"/>
      <c r="N123" s="233"/>
      <c r="O123" s="233"/>
      <c r="P123" s="233"/>
      <c r="Q123" s="233"/>
      <c r="R123" s="45"/>
      <c r="S123" s="233"/>
      <c r="T123" s="233"/>
      <c r="U123" s="45"/>
      <c r="V123" s="44"/>
      <c r="W123" s="44"/>
      <c r="X123" s="70"/>
      <c r="Y123" s="70"/>
      <c r="Z123" s="70"/>
      <c r="AA123" s="70"/>
      <c r="AB123" s="70"/>
      <c r="AC123" s="70"/>
      <c r="AD123" s="70"/>
      <c r="AE123" s="70"/>
      <c r="AF123" s="70"/>
      <c r="AG123" s="70"/>
      <c r="AH123" s="70"/>
      <c r="AI123" s="70"/>
      <c r="AJ123" s="70"/>
      <c r="AK123" s="70"/>
      <c r="AL123" s="70"/>
      <c r="AM123" s="70"/>
      <c r="AN123" s="70"/>
      <c r="AO123" s="70"/>
      <c r="AP123" s="70"/>
      <c r="AQ123" s="70"/>
      <c r="AR123" s="70"/>
      <c r="AS123" s="70"/>
      <c r="AT123" s="70"/>
      <c r="AU123" s="70"/>
      <c r="AV123" s="70"/>
      <c r="AW123" s="70"/>
      <c r="AX123" s="70"/>
      <c r="AY123" s="70"/>
      <c r="AZ123" s="70"/>
    </row>
    <row r="124" spans="1:52" x14ac:dyDescent="0.25">
      <c r="A124" s="69"/>
      <c r="B124" s="69"/>
      <c r="C124" s="70"/>
      <c r="D124" s="70"/>
      <c r="E124" s="70"/>
      <c r="F124" s="70"/>
      <c r="G124" s="70"/>
      <c r="H124" s="70"/>
      <c r="I124" s="70"/>
      <c r="J124" s="70"/>
      <c r="K124" s="70"/>
      <c r="L124" s="70"/>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70"/>
      <c r="AS124" s="70"/>
      <c r="AT124" s="70"/>
      <c r="AU124" s="70"/>
      <c r="AV124" s="70"/>
      <c r="AW124" s="70"/>
      <c r="AX124" s="70"/>
      <c r="AY124" s="70"/>
      <c r="AZ124" s="70"/>
    </row>
    <row r="125" spans="1:52" x14ac:dyDescent="0.25">
      <c r="A125" s="69"/>
      <c r="B125" s="69"/>
      <c r="C125" s="70"/>
      <c r="D125" s="70"/>
      <c r="E125" s="70"/>
      <c r="F125" s="70"/>
      <c r="G125" s="70"/>
      <c r="H125" s="70"/>
      <c r="I125" s="70"/>
      <c r="J125" s="70"/>
      <c r="K125" s="70"/>
      <c r="L125" s="70"/>
      <c r="M125" s="7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70"/>
      <c r="AS125" s="70"/>
      <c r="AT125" s="70"/>
      <c r="AU125" s="70"/>
      <c r="AV125" s="70"/>
      <c r="AW125" s="70"/>
      <c r="AX125" s="70"/>
      <c r="AY125" s="70"/>
      <c r="AZ125" s="70"/>
    </row>
    <row r="126" spans="1:52" x14ac:dyDescent="0.25">
      <c r="A126" s="69"/>
      <c r="B126" s="69"/>
      <c r="C126" s="70"/>
      <c r="D126" s="70"/>
      <c r="E126" s="70"/>
      <c r="F126" s="70"/>
      <c r="G126" s="70"/>
      <c r="H126" s="70"/>
      <c r="I126" s="70"/>
      <c r="J126" s="70"/>
      <c r="K126" s="70"/>
      <c r="L126" s="70"/>
      <c r="M126" s="70"/>
      <c r="N126" s="70"/>
      <c r="O126" s="70"/>
      <c r="P126" s="70"/>
      <c r="Q126" s="70"/>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70"/>
      <c r="AS126" s="70"/>
      <c r="AT126" s="70"/>
      <c r="AU126" s="70"/>
      <c r="AV126" s="70"/>
      <c r="AW126" s="70"/>
      <c r="AX126" s="70"/>
      <c r="AY126" s="70"/>
      <c r="AZ126" s="70"/>
    </row>
    <row r="127" spans="1:52" x14ac:dyDescent="0.25">
      <c r="A127" s="69"/>
      <c r="B127" s="69"/>
      <c r="C127" s="70"/>
      <c r="D127" s="70"/>
      <c r="E127" s="70"/>
      <c r="F127" s="70"/>
      <c r="G127" s="70"/>
      <c r="H127" s="70"/>
      <c r="I127" s="70"/>
      <c r="J127" s="70"/>
      <c r="K127" s="70"/>
      <c r="L127" s="70"/>
      <c r="M127" s="70"/>
      <c r="N127" s="70"/>
      <c r="O127" s="70"/>
      <c r="P127" s="70"/>
      <c r="Q127" s="70"/>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70"/>
      <c r="AS127" s="70"/>
      <c r="AT127" s="70"/>
      <c r="AU127" s="70"/>
      <c r="AV127" s="70"/>
      <c r="AW127" s="70"/>
      <c r="AX127" s="70"/>
      <c r="AY127" s="70"/>
      <c r="AZ127" s="70"/>
    </row>
    <row r="128" spans="1:52" x14ac:dyDescent="0.25">
      <c r="A128" s="69"/>
      <c r="B128" s="69"/>
      <c r="C128" s="70"/>
      <c r="D128" s="70"/>
      <c r="E128" s="70"/>
      <c r="F128" s="70"/>
      <c r="G128" s="70"/>
      <c r="H128" s="70"/>
      <c r="I128" s="70"/>
      <c r="J128" s="70"/>
      <c r="K128" s="70"/>
      <c r="L128" s="70"/>
      <c r="M128" s="70"/>
      <c r="N128" s="70"/>
      <c r="O128" s="70"/>
      <c r="P128" s="70"/>
      <c r="Q128" s="70"/>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70"/>
      <c r="AS128" s="70"/>
      <c r="AT128" s="70"/>
      <c r="AU128" s="70"/>
      <c r="AV128" s="70"/>
      <c r="AW128" s="70"/>
      <c r="AX128" s="70"/>
      <c r="AY128" s="70"/>
      <c r="AZ128" s="70"/>
    </row>
    <row r="129" spans="1:52" x14ac:dyDescent="0.25">
      <c r="A129" s="69"/>
      <c r="B129" s="69"/>
      <c r="C129" s="70"/>
      <c r="D129" s="70"/>
      <c r="E129" s="70"/>
      <c r="F129" s="70"/>
      <c r="G129" s="70"/>
      <c r="H129" s="70"/>
      <c r="I129" s="70"/>
      <c r="J129" s="70"/>
      <c r="K129" s="70"/>
      <c r="L129" s="70"/>
      <c r="M129" s="70"/>
      <c r="N129" s="70"/>
      <c r="O129" s="70"/>
      <c r="P129" s="70"/>
      <c r="Q129" s="70"/>
      <c r="R129" s="70"/>
      <c r="S129" s="70"/>
      <c r="T129" s="70"/>
      <c r="U129" s="70"/>
      <c r="V129" s="70"/>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70"/>
      <c r="AS129" s="70"/>
      <c r="AT129" s="70"/>
      <c r="AU129" s="70"/>
      <c r="AV129" s="70"/>
      <c r="AW129" s="70"/>
      <c r="AX129" s="70"/>
      <c r="AY129" s="70"/>
      <c r="AZ129" s="70"/>
    </row>
    <row r="130" spans="1:52" x14ac:dyDescent="0.25">
      <c r="A130" s="69"/>
      <c r="B130" s="69"/>
      <c r="C130" s="70"/>
      <c r="D130" s="70"/>
      <c r="E130" s="70"/>
      <c r="F130" s="70"/>
      <c r="G130" s="70"/>
      <c r="H130" s="70"/>
      <c r="I130" s="70"/>
      <c r="J130" s="70"/>
      <c r="K130" s="70"/>
      <c r="L130" s="70"/>
      <c r="M130" s="70"/>
      <c r="N130" s="70"/>
      <c r="O130" s="70"/>
      <c r="P130" s="70"/>
      <c r="Q130" s="70"/>
      <c r="R130" s="70"/>
      <c r="S130" s="70"/>
      <c r="T130" s="70"/>
      <c r="U130" s="70"/>
      <c r="V130" s="70"/>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70"/>
      <c r="AS130" s="70"/>
      <c r="AT130" s="70"/>
      <c r="AU130" s="70"/>
      <c r="AV130" s="70"/>
      <c r="AW130" s="70"/>
      <c r="AX130" s="70"/>
      <c r="AY130" s="70"/>
      <c r="AZ130" s="70"/>
    </row>
    <row r="131" spans="1:52" x14ac:dyDescent="0.25">
      <c r="A131" s="69"/>
      <c r="B131" s="69"/>
      <c r="C131" s="70"/>
      <c r="D131" s="70"/>
      <c r="E131" s="70"/>
      <c r="F131" s="70"/>
      <c r="G131" s="70"/>
      <c r="H131" s="70"/>
      <c r="I131" s="70"/>
      <c r="J131" s="70"/>
      <c r="K131" s="70"/>
      <c r="L131" s="70"/>
      <c r="M131" s="70"/>
      <c r="N131" s="70"/>
      <c r="O131" s="70"/>
      <c r="P131" s="70"/>
      <c r="Q131" s="70"/>
      <c r="R131" s="70"/>
      <c r="S131" s="70"/>
      <c r="T131" s="70"/>
      <c r="U131" s="70"/>
      <c r="V131" s="70"/>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70"/>
      <c r="AS131" s="70"/>
      <c r="AT131" s="70"/>
      <c r="AU131" s="70"/>
      <c r="AV131" s="70"/>
      <c r="AW131" s="70"/>
      <c r="AX131" s="70"/>
      <c r="AY131" s="70"/>
      <c r="AZ131" s="70"/>
    </row>
    <row r="132" spans="1:52" x14ac:dyDescent="0.25">
      <c r="A132" s="69"/>
      <c r="B132" s="69"/>
      <c r="C132" s="70"/>
      <c r="D132" s="70"/>
      <c r="E132" s="70"/>
      <c r="F132" s="70"/>
      <c r="G132" s="70"/>
      <c r="H132" s="70"/>
      <c r="I132" s="70"/>
      <c r="J132" s="70"/>
      <c r="K132" s="70"/>
      <c r="L132" s="70"/>
      <c r="M132" s="70"/>
      <c r="N132" s="70"/>
      <c r="O132" s="70"/>
      <c r="P132" s="70"/>
      <c r="Q132" s="70"/>
      <c r="R132" s="70"/>
      <c r="S132" s="70"/>
      <c r="T132" s="70"/>
      <c r="U132" s="70"/>
      <c r="V132" s="70"/>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70"/>
      <c r="AS132" s="70"/>
      <c r="AT132" s="70"/>
      <c r="AU132" s="70"/>
      <c r="AV132" s="70"/>
      <c r="AW132" s="70"/>
      <c r="AX132" s="70"/>
      <c r="AY132" s="70"/>
      <c r="AZ132" s="70"/>
    </row>
    <row r="133" spans="1:52" x14ac:dyDescent="0.25">
      <c r="A133" s="69"/>
      <c r="B133" s="69"/>
      <c r="C133" s="70"/>
      <c r="D133" s="70"/>
      <c r="E133" s="70"/>
      <c r="F133" s="70"/>
      <c r="G133" s="70"/>
      <c r="H133" s="70"/>
      <c r="I133" s="70"/>
      <c r="J133" s="70"/>
      <c r="K133" s="70"/>
      <c r="L133" s="70"/>
      <c r="M133" s="70"/>
      <c r="N133" s="70"/>
      <c r="O133" s="70"/>
      <c r="P133" s="70"/>
      <c r="Q133" s="70"/>
      <c r="R133" s="70"/>
      <c r="S133" s="70"/>
      <c r="T133" s="70"/>
      <c r="U133" s="70"/>
      <c r="V133" s="70"/>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70"/>
      <c r="AS133" s="70"/>
      <c r="AT133" s="70"/>
      <c r="AU133" s="70"/>
      <c r="AV133" s="70"/>
      <c r="AW133" s="70"/>
      <c r="AX133" s="70"/>
      <c r="AY133" s="70"/>
      <c r="AZ133" s="70"/>
    </row>
    <row r="134" spans="1:52" x14ac:dyDescent="0.25">
      <c r="A134" s="69"/>
      <c r="B134" s="69"/>
      <c r="C134" s="70"/>
      <c r="D134" s="70"/>
      <c r="E134" s="70"/>
      <c r="F134" s="70"/>
      <c r="G134" s="70"/>
      <c r="H134" s="70"/>
      <c r="I134" s="70"/>
      <c r="J134" s="70"/>
      <c r="K134" s="70"/>
      <c r="L134" s="70"/>
      <c r="M134" s="70"/>
      <c r="N134" s="70"/>
      <c r="O134" s="70"/>
      <c r="P134" s="70"/>
      <c r="Q134" s="70"/>
      <c r="R134" s="70"/>
      <c r="S134" s="70"/>
      <c r="T134" s="70"/>
      <c r="U134" s="70"/>
      <c r="V134" s="70"/>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70"/>
      <c r="AS134" s="70"/>
      <c r="AT134" s="70"/>
      <c r="AU134" s="70"/>
      <c r="AV134" s="70"/>
      <c r="AW134" s="70"/>
      <c r="AX134" s="70"/>
      <c r="AY134" s="70"/>
      <c r="AZ134" s="70"/>
    </row>
    <row r="135" spans="1:52" x14ac:dyDescent="0.25">
      <c r="A135" s="69"/>
      <c r="B135" s="69"/>
      <c r="C135" s="70"/>
      <c r="D135" s="70"/>
      <c r="E135" s="70"/>
      <c r="F135" s="70"/>
      <c r="G135" s="70"/>
      <c r="H135" s="70"/>
      <c r="I135" s="70"/>
      <c r="J135" s="70"/>
      <c r="K135" s="70"/>
      <c r="L135" s="70"/>
      <c r="M135" s="70"/>
      <c r="N135" s="70"/>
      <c r="O135" s="70"/>
      <c r="P135" s="70"/>
      <c r="Q135" s="70"/>
      <c r="R135" s="70"/>
      <c r="S135" s="70"/>
      <c r="T135" s="70"/>
      <c r="U135" s="70"/>
      <c r="V135" s="70"/>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70"/>
      <c r="AS135" s="70"/>
      <c r="AT135" s="70"/>
      <c r="AU135" s="70"/>
      <c r="AV135" s="70"/>
      <c r="AW135" s="70"/>
      <c r="AX135" s="70"/>
      <c r="AY135" s="70"/>
      <c r="AZ135" s="70"/>
    </row>
    <row r="136" spans="1:52" x14ac:dyDescent="0.25">
      <c r="A136" s="69"/>
      <c r="B136" s="69"/>
      <c r="C136" s="70"/>
      <c r="D136" s="70"/>
      <c r="E136" s="70"/>
      <c r="F136" s="70"/>
      <c r="G136" s="70"/>
      <c r="H136" s="70"/>
      <c r="I136" s="70"/>
      <c r="J136" s="70"/>
      <c r="K136" s="70"/>
      <c r="L136" s="70"/>
      <c r="M136" s="70"/>
      <c r="N136" s="70"/>
      <c r="O136" s="70"/>
      <c r="P136" s="70"/>
      <c r="Q136" s="70"/>
      <c r="R136" s="70"/>
      <c r="S136" s="70"/>
      <c r="T136" s="70"/>
      <c r="U136" s="70"/>
      <c r="V136" s="70"/>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70"/>
      <c r="AS136" s="70"/>
      <c r="AT136" s="70"/>
      <c r="AU136" s="70"/>
      <c r="AV136" s="70"/>
      <c r="AW136" s="70"/>
      <c r="AX136" s="70"/>
      <c r="AY136" s="70"/>
      <c r="AZ136" s="70"/>
    </row>
    <row r="137" spans="1:52" x14ac:dyDescent="0.25">
      <c r="A137" s="69"/>
      <c r="B137" s="69"/>
      <c r="C137" s="70"/>
      <c r="D137" s="70"/>
      <c r="E137" s="70"/>
      <c r="F137" s="70"/>
      <c r="G137" s="70"/>
      <c r="H137" s="70"/>
      <c r="I137" s="70"/>
      <c r="J137" s="70"/>
      <c r="K137" s="70"/>
      <c r="L137" s="70"/>
      <c r="M137" s="70"/>
      <c r="N137" s="70"/>
      <c r="O137" s="70"/>
      <c r="P137" s="70"/>
      <c r="Q137" s="70"/>
      <c r="R137" s="70"/>
      <c r="S137" s="70"/>
      <c r="T137" s="70"/>
      <c r="U137" s="70"/>
      <c r="V137" s="70"/>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70"/>
      <c r="AS137" s="70"/>
      <c r="AT137" s="70"/>
      <c r="AU137" s="70"/>
      <c r="AV137" s="70"/>
      <c r="AW137" s="70"/>
      <c r="AX137" s="70"/>
      <c r="AY137" s="70"/>
      <c r="AZ137" s="70"/>
    </row>
    <row r="138" spans="1:52" x14ac:dyDescent="0.25">
      <c r="A138" s="69"/>
      <c r="B138" s="69"/>
      <c r="C138" s="70"/>
      <c r="D138" s="70"/>
      <c r="E138" s="70"/>
      <c r="F138" s="70"/>
      <c r="G138" s="70"/>
      <c r="H138" s="70"/>
      <c r="I138" s="70"/>
      <c r="J138" s="70"/>
      <c r="K138" s="70"/>
      <c r="L138" s="70"/>
      <c r="M138" s="70"/>
      <c r="N138" s="70"/>
      <c r="O138" s="70"/>
      <c r="P138" s="70"/>
      <c r="Q138" s="70"/>
      <c r="R138" s="70"/>
      <c r="S138" s="70"/>
      <c r="T138" s="70"/>
      <c r="U138" s="70"/>
      <c r="V138" s="70"/>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70"/>
      <c r="AS138" s="70"/>
      <c r="AT138" s="70"/>
      <c r="AU138" s="70"/>
      <c r="AV138" s="70"/>
      <c r="AW138" s="70"/>
      <c r="AX138" s="70"/>
      <c r="AY138" s="70"/>
      <c r="AZ138" s="70"/>
    </row>
    <row r="139" spans="1:52" x14ac:dyDescent="0.25">
      <c r="A139" s="69"/>
      <c r="B139" s="69"/>
      <c r="C139" s="70"/>
      <c r="D139" s="70"/>
      <c r="E139" s="70"/>
      <c r="F139" s="70"/>
      <c r="G139" s="70"/>
      <c r="H139" s="70"/>
      <c r="I139" s="70"/>
      <c r="J139" s="70"/>
      <c r="K139" s="70"/>
      <c r="L139" s="70"/>
      <c r="M139" s="70"/>
      <c r="N139" s="70"/>
      <c r="O139" s="70"/>
      <c r="P139" s="70"/>
      <c r="Q139" s="70"/>
      <c r="R139" s="70"/>
      <c r="S139" s="70"/>
      <c r="T139" s="70"/>
      <c r="U139" s="70"/>
      <c r="V139" s="70"/>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70"/>
      <c r="AS139" s="70"/>
      <c r="AT139" s="70"/>
      <c r="AU139" s="70"/>
      <c r="AV139" s="70"/>
      <c r="AW139" s="70"/>
      <c r="AX139" s="70"/>
      <c r="AY139" s="70"/>
      <c r="AZ139" s="70"/>
    </row>
    <row r="140" spans="1:52" x14ac:dyDescent="0.25">
      <c r="A140" s="69"/>
      <c r="B140" s="69"/>
      <c r="C140" s="70"/>
      <c r="D140" s="70"/>
      <c r="E140" s="70"/>
      <c r="F140" s="70"/>
      <c r="G140" s="70"/>
      <c r="H140" s="70"/>
      <c r="I140" s="70"/>
      <c r="J140" s="70"/>
      <c r="K140" s="70"/>
      <c r="L140" s="70"/>
      <c r="M140" s="70"/>
      <c r="N140" s="70"/>
      <c r="O140" s="70"/>
      <c r="P140" s="70"/>
      <c r="Q140" s="70"/>
      <c r="R140" s="70"/>
      <c r="S140" s="70"/>
      <c r="T140" s="70"/>
      <c r="U140" s="70"/>
      <c r="V140" s="70"/>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70"/>
      <c r="AS140" s="70"/>
      <c r="AT140" s="70"/>
      <c r="AU140" s="70"/>
      <c r="AV140" s="70"/>
      <c r="AW140" s="70"/>
      <c r="AX140" s="70"/>
      <c r="AY140" s="70"/>
      <c r="AZ140" s="70"/>
    </row>
    <row r="141" spans="1:52" x14ac:dyDescent="0.25">
      <c r="A141" s="69"/>
      <c r="B141" s="69"/>
      <c r="C141" s="70"/>
      <c r="D141" s="70"/>
      <c r="E141" s="70"/>
      <c r="F141" s="70"/>
      <c r="G141" s="70"/>
      <c r="H141" s="70"/>
      <c r="I141" s="70"/>
      <c r="J141" s="70"/>
      <c r="K141" s="70"/>
      <c r="L141" s="70"/>
      <c r="M141" s="70"/>
      <c r="N141" s="70"/>
      <c r="O141" s="70"/>
      <c r="P141" s="70"/>
      <c r="Q141" s="70"/>
      <c r="R141" s="70"/>
      <c r="S141" s="70"/>
      <c r="T141" s="70"/>
      <c r="U141" s="70"/>
      <c r="V141" s="70"/>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70"/>
      <c r="AS141" s="70"/>
      <c r="AT141" s="70"/>
      <c r="AU141" s="70"/>
      <c r="AV141" s="70"/>
      <c r="AW141" s="70"/>
      <c r="AX141" s="70"/>
      <c r="AY141" s="70"/>
      <c r="AZ141" s="70"/>
    </row>
    <row r="142" spans="1:52" x14ac:dyDescent="0.25">
      <c r="A142" s="69"/>
      <c r="B142" s="69"/>
      <c r="C142" s="70"/>
      <c r="D142" s="70"/>
      <c r="E142" s="70"/>
      <c r="F142" s="70"/>
      <c r="G142" s="70"/>
      <c r="H142" s="70"/>
      <c r="I142" s="70"/>
      <c r="J142" s="70"/>
      <c r="K142" s="70"/>
      <c r="L142" s="70"/>
      <c r="M142" s="70"/>
      <c r="N142" s="70"/>
      <c r="O142" s="70"/>
      <c r="P142" s="70"/>
      <c r="Q142" s="70"/>
      <c r="R142" s="70"/>
      <c r="S142" s="70"/>
      <c r="T142" s="70"/>
      <c r="U142" s="70"/>
      <c r="V142" s="70"/>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70"/>
      <c r="AS142" s="70"/>
      <c r="AT142" s="70"/>
      <c r="AU142" s="70"/>
      <c r="AV142" s="70"/>
      <c r="AW142" s="70"/>
      <c r="AX142" s="70"/>
      <c r="AY142" s="70"/>
      <c r="AZ142" s="70"/>
    </row>
    <row r="143" spans="1:52" x14ac:dyDescent="0.25">
      <c r="A143" s="69"/>
      <c r="B143" s="69"/>
      <c r="C143" s="70"/>
      <c r="D143" s="70"/>
      <c r="E143" s="70"/>
      <c r="F143" s="70"/>
      <c r="G143" s="70"/>
      <c r="H143" s="70"/>
      <c r="I143" s="70"/>
      <c r="J143" s="70"/>
      <c r="K143" s="70"/>
      <c r="L143" s="70"/>
      <c r="M143" s="70"/>
      <c r="N143" s="70"/>
      <c r="O143" s="70"/>
      <c r="P143" s="70"/>
      <c r="Q143" s="70"/>
      <c r="R143" s="70"/>
      <c r="S143" s="70"/>
      <c r="T143" s="70"/>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70"/>
      <c r="AS143" s="70"/>
      <c r="AT143" s="70"/>
      <c r="AU143" s="70"/>
      <c r="AV143" s="70"/>
      <c r="AW143" s="70"/>
      <c r="AX143" s="70"/>
      <c r="AY143" s="70"/>
      <c r="AZ143" s="70"/>
    </row>
    <row r="144" spans="1:52" x14ac:dyDescent="0.25">
      <c r="A144" s="69"/>
      <c r="B144" s="69"/>
      <c r="C144" s="70"/>
      <c r="D144" s="70"/>
      <c r="E144" s="70"/>
      <c r="F144" s="70"/>
      <c r="G144" s="70"/>
      <c r="H144" s="70"/>
      <c r="I144" s="70"/>
      <c r="J144" s="70"/>
      <c r="K144" s="70"/>
      <c r="L144" s="70"/>
      <c r="M144" s="70"/>
      <c r="N144" s="70"/>
      <c r="O144" s="70"/>
      <c r="P144" s="70"/>
      <c r="Q144" s="70"/>
      <c r="R144" s="70"/>
      <c r="S144" s="70"/>
      <c r="T144" s="70"/>
      <c r="U144" s="70"/>
      <c r="V144" s="70"/>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70"/>
      <c r="AS144" s="70"/>
      <c r="AT144" s="70"/>
      <c r="AU144" s="70"/>
      <c r="AV144" s="70"/>
      <c r="AW144" s="70"/>
      <c r="AX144" s="70"/>
      <c r="AY144" s="70"/>
      <c r="AZ144" s="70"/>
    </row>
    <row r="145" spans="1:52" x14ac:dyDescent="0.25">
      <c r="A145" s="69"/>
      <c r="B145" s="69"/>
      <c r="C145" s="70"/>
      <c r="D145" s="70"/>
      <c r="E145" s="70"/>
      <c r="F145" s="70"/>
      <c r="G145" s="70"/>
      <c r="H145" s="70"/>
      <c r="I145" s="70"/>
      <c r="J145" s="70"/>
      <c r="K145" s="70"/>
      <c r="L145" s="70"/>
      <c r="M145" s="70"/>
      <c r="N145" s="70"/>
      <c r="O145" s="70"/>
      <c r="P145" s="70"/>
      <c r="Q145" s="70"/>
      <c r="R145" s="70"/>
      <c r="S145" s="70"/>
      <c r="T145" s="70"/>
      <c r="U145" s="70"/>
      <c r="V145" s="70"/>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70"/>
      <c r="AS145" s="70"/>
      <c r="AT145" s="70"/>
      <c r="AU145" s="70"/>
      <c r="AV145" s="70"/>
      <c r="AW145" s="70"/>
      <c r="AX145" s="70"/>
      <c r="AY145" s="70"/>
      <c r="AZ145" s="70"/>
    </row>
    <row r="146" spans="1:52" x14ac:dyDescent="0.25">
      <c r="A146" s="69"/>
      <c r="B146" s="69"/>
      <c r="C146" s="70"/>
      <c r="D146" s="70"/>
      <c r="E146" s="70"/>
      <c r="F146" s="70"/>
      <c r="G146" s="70"/>
      <c r="H146" s="70"/>
      <c r="I146" s="70"/>
      <c r="J146" s="70"/>
      <c r="K146" s="70"/>
      <c r="L146" s="70"/>
      <c r="M146" s="70"/>
      <c r="N146" s="70"/>
      <c r="O146" s="70"/>
      <c r="P146" s="70"/>
      <c r="Q146" s="70"/>
      <c r="R146" s="70"/>
      <c r="S146" s="70"/>
      <c r="T146" s="70"/>
      <c r="U146" s="70"/>
      <c r="V146" s="70"/>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70"/>
      <c r="AS146" s="70"/>
      <c r="AT146" s="70"/>
      <c r="AU146" s="70"/>
      <c r="AV146" s="70"/>
      <c r="AW146" s="70"/>
      <c r="AX146" s="70"/>
      <c r="AY146" s="70"/>
      <c r="AZ146" s="70"/>
    </row>
    <row r="147" spans="1:52" x14ac:dyDescent="0.25">
      <c r="A147" s="69"/>
      <c r="B147" s="69"/>
      <c r="C147" s="70"/>
      <c r="D147" s="70"/>
      <c r="E147" s="70"/>
      <c r="F147" s="70"/>
      <c r="G147" s="70"/>
      <c r="H147" s="70"/>
      <c r="I147" s="70"/>
      <c r="J147" s="70"/>
      <c r="K147" s="70"/>
      <c r="L147" s="70"/>
      <c r="M147" s="70"/>
      <c r="N147" s="70"/>
      <c r="O147" s="70"/>
      <c r="P147" s="70"/>
      <c r="Q147" s="70"/>
      <c r="R147" s="70"/>
      <c r="S147" s="70"/>
      <c r="T147" s="70"/>
      <c r="U147" s="70"/>
      <c r="V147" s="70"/>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70"/>
      <c r="AS147" s="70"/>
      <c r="AT147" s="70"/>
      <c r="AU147" s="70"/>
      <c r="AV147" s="70"/>
      <c r="AW147" s="70"/>
      <c r="AX147" s="70"/>
      <c r="AY147" s="70"/>
      <c r="AZ147" s="70"/>
    </row>
    <row r="148" spans="1:52" x14ac:dyDescent="0.25">
      <c r="A148" s="69"/>
      <c r="B148" s="69"/>
      <c r="C148" s="70"/>
      <c r="D148" s="70"/>
      <c r="E148" s="70"/>
      <c r="F148" s="70"/>
      <c r="G148" s="70"/>
      <c r="H148" s="70"/>
      <c r="I148" s="70"/>
      <c r="J148" s="70"/>
      <c r="K148" s="70"/>
      <c r="L148" s="70"/>
      <c r="M148" s="70"/>
      <c r="N148" s="70"/>
      <c r="O148" s="70"/>
      <c r="P148" s="70"/>
      <c r="Q148" s="70"/>
      <c r="R148" s="70"/>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70"/>
      <c r="AS148" s="70"/>
      <c r="AT148" s="70"/>
      <c r="AU148" s="70"/>
      <c r="AV148" s="70"/>
      <c r="AW148" s="70"/>
      <c r="AX148" s="70"/>
      <c r="AY148" s="70"/>
      <c r="AZ148" s="70"/>
    </row>
    <row r="149" spans="1:52" x14ac:dyDescent="0.25">
      <c r="A149" s="69"/>
      <c r="B149" s="69"/>
      <c r="C149" s="70"/>
      <c r="D149" s="70"/>
      <c r="E149" s="70"/>
      <c r="F149" s="70"/>
      <c r="G149" s="70"/>
      <c r="H149" s="70"/>
      <c r="I149" s="70"/>
      <c r="J149" s="70"/>
      <c r="K149" s="70"/>
      <c r="L149" s="70"/>
      <c r="M149" s="70"/>
      <c r="N149" s="70"/>
      <c r="O149" s="70"/>
      <c r="P149" s="70"/>
      <c r="Q149" s="70"/>
      <c r="R149" s="70"/>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70"/>
      <c r="AS149" s="70"/>
      <c r="AT149" s="70"/>
      <c r="AU149" s="70"/>
      <c r="AV149" s="70"/>
      <c r="AW149" s="70"/>
      <c r="AX149" s="70"/>
      <c r="AY149" s="70"/>
      <c r="AZ149" s="70"/>
    </row>
    <row r="150" spans="1:52" x14ac:dyDescent="0.25">
      <c r="A150" s="69"/>
      <c r="B150" s="69"/>
      <c r="C150" s="70"/>
      <c r="D150" s="70"/>
      <c r="E150" s="70"/>
      <c r="F150" s="70"/>
      <c r="G150" s="70"/>
      <c r="H150" s="70"/>
      <c r="I150" s="70"/>
      <c r="J150" s="70"/>
      <c r="K150" s="70"/>
      <c r="L150" s="70"/>
      <c r="M150" s="70"/>
      <c r="N150" s="70"/>
      <c r="O150" s="70"/>
      <c r="P150" s="70"/>
      <c r="Q150" s="70"/>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70"/>
      <c r="AS150" s="70"/>
      <c r="AT150" s="70"/>
      <c r="AU150" s="70"/>
      <c r="AV150" s="70"/>
      <c r="AW150" s="70"/>
      <c r="AX150" s="70"/>
      <c r="AY150" s="70"/>
      <c r="AZ150" s="70"/>
    </row>
    <row r="151" spans="1:52" x14ac:dyDescent="0.25">
      <c r="A151" s="69"/>
      <c r="B151" s="69"/>
      <c r="C151" s="70"/>
      <c r="D151" s="70"/>
      <c r="E151" s="70"/>
      <c r="F151" s="70"/>
      <c r="G151" s="70"/>
      <c r="H151" s="70"/>
      <c r="I151" s="70"/>
      <c r="J151" s="70"/>
      <c r="K151" s="70"/>
      <c r="L151" s="70"/>
      <c r="M151" s="70"/>
      <c r="N151" s="70"/>
      <c r="O151" s="70"/>
      <c r="P151" s="70"/>
      <c r="Q151" s="70"/>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70"/>
      <c r="AS151" s="70"/>
      <c r="AT151" s="70"/>
      <c r="AU151" s="70"/>
      <c r="AV151" s="70"/>
      <c r="AW151" s="70"/>
      <c r="AX151" s="70"/>
      <c r="AY151" s="70"/>
      <c r="AZ151" s="70"/>
    </row>
    <row r="152" spans="1:52" x14ac:dyDescent="0.25">
      <c r="A152" s="69"/>
      <c r="B152" s="69"/>
      <c r="C152" s="70"/>
      <c r="D152" s="70"/>
      <c r="E152" s="70"/>
      <c r="F152" s="70"/>
      <c r="G152" s="70"/>
      <c r="H152" s="70"/>
      <c r="I152" s="70"/>
      <c r="J152" s="70"/>
      <c r="K152" s="70"/>
      <c r="L152" s="70"/>
      <c r="M152" s="70"/>
      <c r="N152" s="70"/>
      <c r="O152" s="70"/>
      <c r="P152" s="70"/>
      <c r="Q152" s="70"/>
      <c r="R152" s="70"/>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70"/>
      <c r="AS152" s="70"/>
      <c r="AT152" s="70"/>
      <c r="AU152" s="70"/>
      <c r="AV152" s="70"/>
      <c r="AW152" s="70"/>
      <c r="AX152" s="70"/>
      <c r="AY152" s="70"/>
      <c r="AZ152" s="70"/>
    </row>
    <row r="153" spans="1:52" x14ac:dyDescent="0.25">
      <c r="A153" s="69"/>
      <c r="B153" s="69"/>
      <c r="C153" s="70"/>
      <c r="D153" s="70"/>
      <c r="E153" s="70"/>
      <c r="F153" s="70"/>
      <c r="G153" s="70"/>
      <c r="H153" s="70"/>
      <c r="I153" s="70"/>
      <c r="J153" s="70"/>
      <c r="K153" s="70"/>
      <c r="L153" s="70"/>
      <c r="M153" s="70"/>
      <c r="N153" s="70"/>
      <c r="O153" s="70"/>
      <c r="P153" s="70"/>
      <c r="Q153" s="70"/>
      <c r="R153" s="70"/>
      <c r="S153" s="70"/>
      <c r="T153" s="70"/>
      <c r="U153" s="70"/>
      <c r="V153" s="70"/>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70"/>
      <c r="AS153" s="70"/>
      <c r="AT153" s="70"/>
      <c r="AU153" s="70"/>
      <c r="AV153" s="70"/>
      <c r="AW153" s="70"/>
      <c r="AX153" s="70"/>
      <c r="AY153" s="70"/>
      <c r="AZ153" s="70"/>
    </row>
    <row r="154" spans="1:52" x14ac:dyDescent="0.25">
      <c r="A154" s="69"/>
      <c r="B154" s="69"/>
      <c r="C154" s="70"/>
      <c r="D154" s="70"/>
      <c r="E154" s="70"/>
      <c r="F154" s="70"/>
      <c r="G154" s="70"/>
      <c r="H154" s="70"/>
      <c r="I154" s="70"/>
      <c r="J154" s="70"/>
      <c r="K154" s="70"/>
      <c r="L154" s="70"/>
      <c r="M154" s="70"/>
      <c r="N154" s="70"/>
      <c r="O154" s="70"/>
      <c r="P154" s="70"/>
      <c r="Q154" s="70"/>
      <c r="R154" s="70"/>
      <c r="S154" s="70"/>
      <c r="T154" s="70"/>
      <c r="U154" s="70"/>
      <c r="V154" s="70"/>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70"/>
      <c r="AS154" s="70"/>
      <c r="AT154" s="70"/>
      <c r="AU154" s="70"/>
      <c r="AV154" s="70"/>
      <c r="AW154" s="70"/>
      <c r="AX154" s="70"/>
      <c r="AY154" s="70"/>
      <c r="AZ154" s="70"/>
    </row>
    <row r="155" spans="1:52" x14ac:dyDescent="0.25">
      <c r="A155" s="69"/>
      <c r="B155" s="69"/>
      <c r="C155" s="70"/>
      <c r="D155" s="70"/>
      <c r="E155" s="70"/>
      <c r="F155" s="70"/>
      <c r="G155" s="70"/>
      <c r="H155" s="70"/>
      <c r="I155" s="70"/>
      <c r="J155" s="70"/>
      <c r="K155" s="70"/>
      <c r="L155" s="70"/>
      <c r="M155" s="70"/>
      <c r="N155" s="70"/>
      <c r="O155" s="70"/>
      <c r="P155" s="70"/>
      <c r="Q155" s="70"/>
      <c r="R155" s="70"/>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70"/>
      <c r="AS155" s="70"/>
      <c r="AT155" s="70"/>
      <c r="AU155" s="70"/>
      <c r="AV155" s="70"/>
      <c r="AW155" s="70"/>
      <c r="AX155" s="70"/>
      <c r="AY155" s="70"/>
      <c r="AZ155" s="70"/>
    </row>
    <row r="156" spans="1:52" x14ac:dyDescent="0.25">
      <c r="A156" s="69"/>
      <c r="B156" s="69"/>
      <c r="C156" s="70"/>
      <c r="D156" s="70"/>
      <c r="E156" s="70"/>
      <c r="F156" s="70"/>
      <c r="G156" s="70"/>
      <c r="H156" s="70"/>
      <c r="I156" s="70"/>
      <c r="J156" s="70"/>
      <c r="K156" s="70"/>
      <c r="L156" s="70"/>
      <c r="M156" s="70"/>
      <c r="N156" s="70"/>
      <c r="O156" s="70"/>
      <c r="P156" s="70"/>
      <c r="Q156" s="70"/>
      <c r="R156" s="70"/>
      <c r="S156" s="70"/>
      <c r="T156" s="70"/>
      <c r="U156" s="70"/>
      <c r="V156" s="70"/>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70"/>
      <c r="AS156" s="70"/>
      <c r="AT156" s="70"/>
      <c r="AU156" s="70"/>
      <c r="AV156" s="70"/>
      <c r="AW156" s="70"/>
      <c r="AX156" s="70"/>
      <c r="AY156" s="70"/>
      <c r="AZ156" s="70"/>
    </row>
    <row r="157" spans="1:52" x14ac:dyDescent="0.25">
      <c r="A157" s="69"/>
      <c r="B157" s="69"/>
      <c r="C157" s="70"/>
      <c r="D157" s="70"/>
      <c r="E157" s="70"/>
      <c r="F157" s="70"/>
      <c r="G157" s="70"/>
      <c r="H157" s="70"/>
      <c r="I157" s="70"/>
      <c r="J157" s="70"/>
      <c r="K157" s="70"/>
      <c r="L157" s="70"/>
      <c r="M157" s="70"/>
      <c r="N157" s="70"/>
      <c r="O157" s="70"/>
      <c r="P157" s="70"/>
      <c r="Q157" s="70"/>
      <c r="R157" s="70"/>
      <c r="S157" s="70"/>
      <c r="T157" s="70"/>
      <c r="U157" s="70"/>
      <c r="V157" s="70"/>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70"/>
      <c r="AS157" s="70"/>
      <c r="AT157" s="70"/>
      <c r="AU157" s="70"/>
      <c r="AV157" s="70"/>
      <c r="AW157" s="70"/>
      <c r="AX157" s="70"/>
      <c r="AY157" s="70"/>
      <c r="AZ157" s="70"/>
    </row>
    <row r="158" spans="1:52" x14ac:dyDescent="0.25">
      <c r="A158" s="69"/>
      <c r="B158" s="69"/>
      <c r="C158" s="70"/>
      <c r="D158" s="70"/>
      <c r="E158" s="70"/>
      <c r="F158" s="70"/>
      <c r="G158" s="70"/>
      <c r="H158" s="70"/>
      <c r="I158" s="70"/>
      <c r="J158" s="70"/>
      <c r="K158" s="70"/>
      <c r="L158" s="70"/>
      <c r="M158" s="70"/>
      <c r="N158" s="70"/>
      <c r="O158" s="70"/>
      <c r="P158" s="70"/>
      <c r="Q158" s="70"/>
      <c r="R158" s="70"/>
      <c r="S158" s="70"/>
      <c r="T158" s="70"/>
      <c r="U158" s="70"/>
      <c r="V158" s="70"/>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70"/>
      <c r="AS158" s="70"/>
      <c r="AT158" s="70"/>
      <c r="AU158" s="70"/>
      <c r="AV158" s="70"/>
      <c r="AW158" s="70"/>
      <c r="AX158" s="70"/>
      <c r="AY158" s="70"/>
      <c r="AZ158" s="70"/>
    </row>
    <row r="159" spans="1:52" x14ac:dyDescent="0.25">
      <c r="A159" s="69"/>
      <c r="B159" s="69"/>
      <c r="C159" s="70"/>
      <c r="D159" s="70"/>
      <c r="E159" s="70"/>
      <c r="F159" s="70"/>
      <c r="G159" s="70"/>
      <c r="H159" s="70"/>
      <c r="I159" s="70"/>
      <c r="J159" s="70"/>
      <c r="K159" s="70"/>
      <c r="L159" s="70"/>
      <c r="M159" s="70"/>
      <c r="N159" s="70"/>
      <c r="O159" s="70"/>
      <c r="P159" s="70"/>
      <c r="Q159" s="70"/>
      <c r="R159" s="70"/>
      <c r="S159" s="70"/>
      <c r="T159" s="70"/>
      <c r="U159" s="70"/>
      <c r="V159" s="70"/>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70"/>
      <c r="AS159" s="70"/>
      <c r="AT159" s="70"/>
      <c r="AU159" s="70"/>
      <c r="AV159" s="70"/>
      <c r="AW159" s="70"/>
      <c r="AX159" s="70"/>
      <c r="AY159" s="70"/>
      <c r="AZ159" s="70"/>
    </row>
    <row r="160" spans="1:52" x14ac:dyDescent="0.25">
      <c r="A160" s="69"/>
      <c r="B160" s="69"/>
      <c r="C160" s="70"/>
      <c r="D160" s="70"/>
      <c r="E160" s="70"/>
      <c r="F160" s="70"/>
      <c r="G160" s="70"/>
      <c r="H160" s="70"/>
      <c r="I160" s="70"/>
      <c r="J160" s="70"/>
      <c r="K160" s="70"/>
      <c r="L160" s="70"/>
      <c r="M160" s="70"/>
      <c r="N160" s="70"/>
      <c r="O160" s="70"/>
      <c r="P160" s="70"/>
      <c r="Q160" s="70"/>
      <c r="R160" s="70"/>
      <c r="S160" s="70"/>
      <c r="T160" s="70"/>
      <c r="U160" s="70"/>
      <c r="V160" s="70"/>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70"/>
      <c r="AS160" s="70"/>
      <c r="AT160" s="70"/>
      <c r="AU160" s="70"/>
      <c r="AV160" s="70"/>
      <c r="AW160" s="70"/>
      <c r="AX160" s="70"/>
      <c r="AY160" s="70"/>
      <c r="AZ160" s="70"/>
    </row>
    <row r="161" spans="1:52" x14ac:dyDescent="0.25">
      <c r="A161" s="69"/>
      <c r="B161" s="69"/>
      <c r="C161" s="70"/>
      <c r="D161" s="70"/>
      <c r="E161" s="70"/>
      <c r="F161" s="70"/>
      <c r="G161" s="70"/>
      <c r="H161" s="70"/>
      <c r="I161" s="70"/>
      <c r="J161" s="70"/>
      <c r="K161" s="70"/>
      <c r="L161" s="70"/>
      <c r="M161" s="70"/>
      <c r="N161" s="70"/>
      <c r="O161" s="70"/>
      <c r="P161" s="70"/>
      <c r="Q161" s="70"/>
      <c r="R161" s="70"/>
      <c r="S161" s="70"/>
      <c r="T161" s="70"/>
      <c r="U161" s="70"/>
      <c r="V161" s="70"/>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70"/>
      <c r="AS161" s="70"/>
      <c r="AT161" s="70"/>
      <c r="AU161" s="70"/>
      <c r="AV161" s="70"/>
      <c r="AW161" s="70"/>
      <c r="AX161" s="70"/>
      <c r="AY161" s="70"/>
      <c r="AZ161" s="70"/>
    </row>
    <row r="162" spans="1:52" x14ac:dyDescent="0.25">
      <c r="A162" s="69"/>
      <c r="B162" s="69"/>
      <c r="C162" s="70"/>
      <c r="D162" s="70"/>
      <c r="E162" s="70"/>
      <c r="F162" s="70"/>
      <c r="G162" s="70"/>
      <c r="H162" s="70"/>
      <c r="I162" s="70"/>
      <c r="J162" s="70"/>
      <c r="K162" s="70"/>
      <c r="L162" s="70"/>
      <c r="M162" s="70"/>
      <c r="N162" s="70"/>
      <c r="O162" s="70"/>
      <c r="P162" s="70"/>
      <c r="Q162" s="70"/>
      <c r="R162" s="70"/>
      <c r="S162" s="70"/>
      <c r="T162" s="70"/>
      <c r="U162" s="70"/>
      <c r="V162" s="70"/>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70"/>
      <c r="AS162" s="70"/>
      <c r="AT162" s="70"/>
      <c r="AU162" s="70"/>
      <c r="AV162" s="70"/>
      <c r="AW162" s="70"/>
      <c r="AX162" s="70"/>
      <c r="AY162" s="70"/>
      <c r="AZ162" s="70"/>
    </row>
    <row r="163" spans="1:52" x14ac:dyDescent="0.25">
      <c r="A163" s="69"/>
      <c r="B163" s="69"/>
      <c r="C163" s="70"/>
      <c r="D163" s="70"/>
      <c r="E163" s="70"/>
      <c r="F163" s="70"/>
      <c r="G163" s="70"/>
      <c r="H163" s="70"/>
      <c r="I163" s="70"/>
      <c r="J163" s="70"/>
      <c r="K163" s="70"/>
      <c r="L163" s="70"/>
      <c r="M163" s="70"/>
      <c r="N163" s="70"/>
      <c r="O163" s="70"/>
      <c r="P163" s="70"/>
      <c r="Q163" s="70"/>
      <c r="R163" s="70"/>
      <c r="S163" s="70"/>
      <c r="T163" s="70"/>
      <c r="U163" s="70"/>
      <c r="V163" s="70"/>
      <c r="W163" s="70"/>
      <c r="X163" s="70"/>
      <c r="Y163" s="70"/>
      <c r="Z163" s="70"/>
      <c r="AA163" s="70"/>
      <c r="AB163" s="70"/>
      <c r="AC163" s="70"/>
      <c r="AD163" s="70"/>
      <c r="AE163" s="70"/>
      <c r="AF163" s="70"/>
      <c r="AG163" s="70"/>
      <c r="AH163" s="70"/>
      <c r="AI163" s="70"/>
      <c r="AJ163" s="70"/>
      <c r="AK163" s="70"/>
      <c r="AL163" s="70"/>
      <c r="AM163" s="70"/>
      <c r="AN163" s="70"/>
      <c r="AO163" s="70"/>
      <c r="AP163" s="70"/>
      <c r="AQ163" s="70"/>
      <c r="AR163" s="70"/>
      <c r="AS163" s="70"/>
      <c r="AT163" s="70"/>
      <c r="AU163" s="70"/>
      <c r="AV163" s="70"/>
      <c r="AW163" s="70"/>
      <c r="AX163" s="70"/>
      <c r="AY163" s="70"/>
      <c r="AZ163" s="70"/>
    </row>
    <row r="164" spans="1:52" x14ac:dyDescent="0.25">
      <c r="A164" s="69"/>
      <c r="B164" s="69"/>
      <c r="C164" s="70"/>
      <c r="D164" s="70"/>
      <c r="E164" s="70"/>
      <c r="F164" s="70"/>
      <c r="G164" s="70"/>
      <c r="H164" s="70"/>
      <c r="I164" s="70"/>
      <c r="J164" s="70"/>
      <c r="K164" s="70"/>
      <c r="L164" s="70"/>
      <c r="M164" s="70"/>
      <c r="N164" s="70"/>
      <c r="O164" s="70"/>
      <c r="P164" s="70"/>
      <c r="Q164" s="70"/>
      <c r="R164" s="70"/>
      <c r="S164" s="70"/>
      <c r="T164" s="70"/>
      <c r="U164" s="70"/>
      <c r="V164" s="70"/>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70"/>
      <c r="AS164" s="70"/>
      <c r="AT164" s="70"/>
      <c r="AU164" s="70"/>
      <c r="AV164" s="70"/>
      <c r="AW164" s="70"/>
      <c r="AX164" s="70"/>
      <c r="AY164" s="70"/>
      <c r="AZ164" s="70"/>
    </row>
    <row r="165" spans="1:52" x14ac:dyDescent="0.25">
      <c r="A165" s="69"/>
      <c r="B165" s="69"/>
      <c r="C165" s="70"/>
      <c r="D165" s="70"/>
      <c r="E165" s="70"/>
      <c r="F165" s="70"/>
      <c r="G165" s="70"/>
      <c r="H165" s="70"/>
      <c r="I165" s="70"/>
      <c r="J165" s="70"/>
      <c r="K165" s="70"/>
      <c r="L165" s="70"/>
      <c r="M165" s="70"/>
      <c r="N165" s="70"/>
      <c r="O165" s="70"/>
      <c r="P165" s="70"/>
      <c r="Q165" s="70"/>
      <c r="R165" s="70"/>
      <c r="S165" s="70"/>
      <c r="T165" s="70"/>
      <c r="U165" s="70"/>
      <c r="V165" s="70"/>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70"/>
      <c r="AS165" s="70"/>
      <c r="AT165" s="70"/>
      <c r="AU165" s="70"/>
      <c r="AV165" s="70"/>
      <c r="AW165" s="70"/>
      <c r="AX165" s="70"/>
      <c r="AY165" s="70"/>
      <c r="AZ165" s="70"/>
    </row>
    <row r="166" spans="1:52" x14ac:dyDescent="0.25">
      <c r="A166" s="69"/>
      <c r="B166" s="69"/>
      <c r="C166" s="70"/>
      <c r="D166" s="70"/>
      <c r="E166" s="70"/>
      <c r="F166" s="70"/>
      <c r="G166" s="70"/>
      <c r="H166" s="70"/>
      <c r="I166" s="70"/>
      <c r="J166" s="70"/>
      <c r="K166" s="70"/>
      <c r="L166" s="70"/>
      <c r="M166" s="70"/>
      <c r="N166" s="70"/>
      <c r="O166" s="70"/>
      <c r="P166" s="70"/>
      <c r="Q166" s="70"/>
      <c r="R166" s="70"/>
      <c r="S166" s="70"/>
      <c r="T166" s="70"/>
      <c r="U166" s="70"/>
      <c r="V166" s="70"/>
      <c r="W166" s="70"/>
      <c r="X166" s="70"/>
      <c r="Y166" s="70"/>
      <c r="Z166" s="70"/>
      <c r="AA166" s="70"/>
      <c r="AB166" s="70"/>
      <c r="AC166" s="70"/>
      <c r="AD166" s="70"/>
      <c r="AE166" s="70"/>
      <c r="AF166" s="70"/>
      <c r="AG166" s="70"/>
      <c r="AH166" s="70"/>
      <c r="AI166" s="70"/>
      <c r="AJ166" s="70"/>
      <c r="AK166" s="70"/>
      <c r="AL166" s="70"/>
      <c r="AM166" s="70"/>
      <c r="AN166" s="70"/>
      <c r="AO166" s="70"/>
      <c r="AP166" s="70"/>
      <c r="AQ166" s="70"/>
      <c r="AR166" s="70"/>
      <c r="AS166" s="70"/>
      <c r="AT166" s="70"/>
      <c r="AU166" s="70"/>
      <c r="AV166" s="70"/>
      <c r="AW166" s="70"/>
      <c r="AX166" s="70"/>
      <c r="AY166" s="70"/>
      <c r="AZ166" s="70"/>
    </row>
    <row r="167" spans="1:52" x14ac:dyDescent="0.25">
      <c r="A167" s="69"/>
      <c r="B167" s="69"/>
      <c r="C167" s="70"/>
      <c r="D167" s="70"/>
      <c r="E167" s="70"/>
      <c r="F167" s="70"/>
      <c r="G167" s="70"/>
      <c r="H167" s="70"/>
      <c r="I167" s="70"/>
      <c r="J167" s="70"/>
      <c r="K167" s="70"/>
      <c r="L167" s="70"/>
      <c r="M167" s="70"/>
      <c r="N167" s="70"/>
      <c r="O167" s="70"/>
      <c r="P167" s="70"/>
      <c r="Q167" s="70"/>
      <c r="R167" s="70"/>
      <c r="S167" s="70"/>
      <c r="T167" s="70"/>
      <c r="U167" s="70"/>
      <c r="V167" s="70"/>
      <c r="W167" s="70"/>
      <c r="X167" s="70"/>
      <c r="Y167" s="70"/>
      <c r="Z167" s="70"/>
      <c r="AA167" s="70"/>
      <c r="AB167" s="70"/>
      <c r="AC167" s="70"/>
      <c r="AD167" s="70"/>
      <c r="AE167" s="70"/>
      <c r="AF167" s="70"/>
      <c r="AG167" s="70"/>
      <c r="AH167" s="70"/>
      <c r="AI167" s="70"/>
      <c r="AJ167" s="70"/>
      <c r="AK167" s="70"/>
      <c r="AL167" s="70"/>
      <c r="AM167" s="70"/>
      <c r="AN167" s="70"/>
      <c r="AO167" s="70"/>
      <c r="AP167" s="70"/>
      <c r="AQ167" s="70"/>
      <c r="AR167" s="70"/>
      <c r="AS167" s="70"/>
      <c r="AT167" s="70"/>
      <c r="AU167" s="70"/>
      <c r="AV167" s="70"/>
      <c r="AW167" s="70"/>
      <c r="AX167" s="70"/>
      <c r="AY167" s="70"/>
      <c r="AZ167" s="70"/>
    </row>
    <row r="168" spans="1:52" x14ac:dyDescent="0.25">
      <c r="A168" s="69"/>
      <c r="B168" s="69"/>
      <c r="C168" s="70"/>
      <c r="D168" s="70"/>
      <c r="E168" s="70"/>
      <c r="F168" s="70"/>
      <c r="G168" s="70"/>
      <c r="H168" s="70"/>
      <c r="I168" s="70"/>
      <c r="J168" s="70"/>
      <c r="K168" s="70"/>
      <c r="L168" s="70"/>
      <c r="M168" s="70"/>
      <c r="N168" s="70"/>
      <c r="O168" s="70"/>
      <c r="P168" s="70"/>
      <c r="Q168" s="70"/>
      <c r="R168" s="70"/>
      <c r="S168" s="70"/>
      <c r="T168" s="70"/>
      <c r="U168" s="70"/>
      <c r="V168" s="70"/>
      <c r="W168" s="70"/>
      <c r="X168" s="70"/>
      <c r="Y168" s="70"/>
      <c r="Z168" s="70"/>
      <c r="AA168" s="70"/>
      <c r="AB168" s="70"/>
      <c r="AC168" s="70"/>
      <c r="AD168" s="70"/>
      <c r="AE168" s="70"/>
      <c r="AF168" s="70"/>
      <c r="AG168" s="70"/>
      <c r="AH168" s="70"/>
      <c r="AI168" s="70"/>
      <c r="AJ168" s="70"/>
      <c r="AK168" s="70"/>
      <c r="AL168" s="70"/>
      <c r="AM168" s="70"/>
      <c r="AN168" s="70"/>
      <c r="AO168" s="70"/>
      <c r="AP168" s="70"/>
      <c r="AQ168" s="70"/>
      <c r="AR168" s="70"/>
      <c r="AS168" s="70"/>
      <c r="AT168" s="70"/>
      <c r="AU168" s="70"/>
      <c r="AV168" s="70"/>
      <c r="AW168" s="70"/>
      <c r="AX168" s="70"/>
      <c r="AY168" s="70"/>
      <c r="AZ168" s="70"/>
    </row>
    <row r="169" spans="1:52" x14ac:dyDescent="0.25">
      <c r="A169" s="69"/>
      <c r="B169" s="69"/>
      <c r="C169" s="70"/>
      <c r="D169" s="70"/>
      <c r="E169" s="70"/>
      <c r="F169" s="70"/>
      <c r="G169" s="70"/>
      <c r="H169" s="70"/>
      <c r="I169" s="70"/>
      <c r="J169" s="70"/>
      <c r="K169" s="70"/>
      <c r="L169" s="70"/>
      <c r="M169" s="70"/>
      <c r="N169" s="70"/>
      <c r="O169" s="70"/>
      <c r="P169" s="70"/>
      <c r="Q169" s="70"/>
      <c r="R169" s="70"/>
      <c r="S169" s="70"/>
      <c r="T169" s="70"/>
      <c r="U169" s="70"/>
      <c r="V169" s="70"/>
      <c r="W169" s="70"/>
      <c r="X169" s="70"/>
      <c r="Y169" s="70"/>
      <c r="Z169" s="70"/>
      <c r="AA169" s="70"/>
      <c r="AB169" s="70"/>
      <c r="AC169" s="70"/>
      <c r="AD169" s="70"/>
      <c r="AE169" s="70"/>
      <c r="AF169" s="70"/>
      <c r="AG169" s="70"/>
      <c r="AH169" s="70"/>
      <c r="AI169" s="70"/>
      <c r="AJ169" s="70"/>
      <c r="AK169" s="70"/>
      <c r="AL169" s="70"/>
      <c r="AM169" s="70"/>
      <c r="AN169" s="70"/>
      <c r="AO169" s="70"/>
      <c r="AP169" s="70"/>
      <c r="AQ169" s="70"/>
      <c r="AR169" s="70"/>
      <c r="AS169" s="70"/>
      <c r="AT169" s="70"/>
      <c r="AU169" s="70"/>
      <c r="AV169" s="70"/>
      <c r="AW169" s="70"/>
      <c r="AX169" s="70"/>
      <c r="AY169" s="70"/>
      <c r="AZ169" s="70"/>
    </row>
    <row r="170" spans="1:52" x14ac:dyDescent="0.25">
      <c r="A170" s="69"/>
      <c r="B170" s="69"/>
      <c r="C170" s="70"/>
      <c r="D170" s="70"/>
      <c r="E170" s="70"/>
      <c r="F170" s="70"/>
      <c r="G170" s="70"/>
      <c r="H170" s="70"/>
      <c r="I170" s="70"/>
      <c r="J170" s="70"/>
      <c r="K170" s="70"/>
      <c r="L170" s="70"/>
      <c r="M170" s="70"/>
      <c r="N170" s="70"/>
      <c r="O170" s="70"/>
      <c r="P170" s="70"/>
      <c r="Q170" s="70"/>
      <c r="R170" s="70"/>
      <c r="S170" s="70"/>
      <c r="T170" s="70"/>
      <c r="U170" s="70"/>
      <c r="V170" s="70"/>
      <c r="W170" s="70"/>
      <c r="X170" s="70"/>
      <c r="Y170" s="70"/>
      <c r="Z170" s="70"/>
      <c r="AA170" s="70"/>
      <c r="AB170" s="70"/>
      <c r="AC170" s="70"/>
      <c r="AD170" s="70"/>
      <c r="AE170" s="70"/>
      <c r="AF170" s="70"/>
      <c r="AG170" s="70"/>
      <c r="AH170" s="70"/>
      <c r="AI170" s="70"/>
      <c r="AJ170" s="70"/>
      <c r="AK170" s="70"/>
      <c r="AL170" s="70"/>
      <c r="AM170" s="70"/>
      <c r="AN170" s="70"/>
      <c r="AO170" s="70"/>
      <c r="AP170" s="70"/>
      <c r="AQ170" s="70"/>
      <c r="AR170" s="70"/>
      <c r="AS170" s="70"/>
      <c r="AT170" s="70"/>
      <c r="AU170" s="70"/>
      <c r="AV170" s="70"/>
      <c r="AW170" s="70"/>
      <c r="AX170" s="70"/>
      <c r="AY170" s="70"/>
      <c r="AZ170" s="70"/>
    </row>
    <row r="171" spans="1:52" x14ac:dyDescent="0.25">
      <c r="A171" s="69"/>
      <c r="B171" s="69"/>
      <c r="C171" s="70"/>
      <c r="D171" s="70"/>
      <c r="E171" s="70"/>
      <c r="F171" s="70"/>
      <c r="G171" s="70"/>
      <c r="H171" s="70"/>
      <c r="I171" s="70"/>
      <c r="J171" s="70"/>
      <c r="K171" s="70"/>
      <c r="L171" s="70"/>
      <c r="M171" s="70"/>
      <c r="N171" s="70"/>
      <c r="O171" s="70"/>
      <c r="P171" s="70"/>
      <c r="Q171" s="70"/>
      <c r="R171" s="70"/>
      <c r="S171" s="70"/>
      <c r="T171" s="70"/>
      <c r="U171" s="70"/>
      <c r="V171" s="70"/>
      <c r="W171" s="70"/>
      <c r="X171" s="70"/>
      <c r="Y171" s="70"/>
      <c r="Z171" s="70"/>
      <c r="AA171" s="70"/>
      <c r="AB171" s="70"/>
      <c r="AC171" s="70"/>
      <c r="AD171" s="70"/>
      <c r="AE171" s="70"/>
      <c r="AF171" s="70"/>
      <c r="AG171" s="70"/>
      <c r="AH171" s="70"/>
      <c r="AI171" s="70"/>
      <c r="AJ171" s="70"/>
      <c r="AK171" s="70"/>
      <c r="AL171" s="70"/>
      <c r="AM171" s="70"/>
      <c r="AN171" s="70"/>
      <c r="AO171" s="70"/>
      <c r="AP171" s="70"/>
      <c r="AQ171" s="70"/>
      <c r="AR171" s="70"/>
      <c r="AS171" s="70"/>
      <c r="AT171" s="70"/>
      <c r="AU171" s="70"/>
      <c r="AV171" s="70"/>
      <c r="AW171" s="70"/>
      <c r="AX171" s="70"/>
      <c r="AY171" s="70"/>
      <c r="AZ171" s="70"/>
    </row>
    <row r="172" spans="1:52" x14ac:dyDescent="0.25">
      <c r="A172" s="69"/>
      <c r="B172" s="69"/>
      <c r="C172" s="70"/>
      <c r="D172" s="70"/>
      <c r="E172" s="70"/>
      <c r="F172" s="70"/>
      <c r="G172" s="70"/>
      <c r="H172" s="70"/>
      <c r="I172" s="70"/>
      <c r="J172" s="70"/>
      <c r="K172" s="70"/>
      <c r="L172" s="70"/>
      <c r="M172" s="70"/>
      <c r="N172" s="70"/>
      <c r="O172" s="70"/>
      <c r="P172" s="70"/>
      <c r="Q172" s="70"/>
      <c r="R172" s="70"/>
      <c r="S172" s="70"/>
      <c r="T172" s="70"/>
      <c r="U172" s="70"/>
      <c r="V172" s="70"/>
      <c r="W172" s="70"/>
      <c r="X172" s="70"/>
      <c r="Y172" s="70"/>
      <c r="Z172" s="70"/>
      <c r="AA172" s="70"/>
      <c r="AB172" s="70"/>
      <c r="AC172" s="70"/>
      <c r="AD172" s="70"/>
      <c r="AE172" s="70"/>
      <c r="AF172" s="70"/>
      <c r="AG172" s="70"/>
      <c r="AH172" s="70"/>
      <c r="AI172" s="70"/>
      <c r="AJ172" s="70"/>
      <c r="AK172" s="70"/>
      <c r="AL172" s="70"/>
      <c r="AM172" s="70"/>
      <c r="AN172" s="70"/>
      <c r="AO172" s="70"/>
      <c r="AP172" s="70"/>
      <c r="AQ172" s="70"/>
      <c r="AR172" s="70"/>
      <c r="AS172" s="70"/>
      <c r="AT172" s="70"/>
      <c r="AU172" s="70"/>
      <c r="AV172" s="70"/>
      <c r="AW172" s="70"/>
      <c r="AX172" s="70"/>
      <c r="AY172" s="70"/>
      <c r="AZ172" s="70"/>
    </row>
    <row r="173" spans="1:52" x14ac:dyDescent="0.25">
      <c r="A173" s="69"/>
      <c r="B173" s="69"/>
      <c r="C173" s="70"/>
      <c r="D173" s="70"/>
      <c r="E173" s="70"/>
      <c r="F173" s="70"/>
      <c r="G173" s="70"/>
      <c r="H173" s="70"/>
      <c r="I173" s="70"/>
      <c r="J173" s="70"/>
      <c r="K173" s="70"/>
      <c r="L173" s="70"/>
      <c r="M173" s="70"/>
      <c r="N173" s="70"/>
      <c r="O173" s="70"/>
      <c r="P173" s="70"/>
      <c r="Q173" s="70"/>
      <c r="R173" s="70"/>
      <c r="S173" s="70"/>
      <c r="T173" s="70"/>
      <c r="U173" s="70"/>
      <c r="V173" s="70"/>
      <c r="W173" s="70"/>
      <c r="X173" s="70"/>
      <c r="Y173" s="70"/>
      <c r="Z173" s="70"/>
      <c r="AA173" s="70"/>
      <c r="AB173" s="70"/>
      <c r="AC173" s="70"/>
      <c r="AD173" s="70"/>
      <c r="AE173" s="70"/>
      <c r="AF173" s="70"/>
      <c r="AG173" s="70"/>
      <c r="AH173" s="70"/>
      <c r="AI173" s="70"/>
      <c r="AJ173" s="70"/>
      <c r="AK173" s="70"/>
      <c r="AL173" s="70"/>
      <c r="AM173" s="70"/>
      <c r="AN173" s="70"/>
      <c r="AO173" s="70"/>
      <c r="AP173" s="70"/>
      <c r="AQ173" s="70"/>
      <c r="AR173" s="70"/>
      <c r="AS173" s="70"/>
      <c r="AT173" s="70"/>
      <c r="AU173" s="70"/>
      <c r="AV173" s="70"/>
      <c r="AW173" s="70"/>
      <c r="AX173" s="70"/>
      <c r="AY173" s="70"/>
      <c r="AZ173" s="70"/>
    </row>
    <row r="174" spans="1:52" x14ac:dyDescent="0.25">
      <c r="A174" s="69"/>
      <c r="B174" s="69"/>
      <c r="C174" s="70"/>
      <c r="D174" s="70"/>
      <c r="E174" s="70"/>
      <c r="F174" s="70"/>
      <c r="G174" s="70"/>
      <c r="H174" s="70"/>
      <c r="I174" s="70"/>
      <c r="J174" s="70"/>
      <c r="K174" s="70"/>
      <c r="L174" s="70"/>
      <c r="M174" s="70"/>
      <c r="N174" s="70"/>
      <c r="O174" s="70"/>
      <c r="P174" s="70"/>
      <c r="Q174" s="70"/>
      <c r="R174" s="70"/>
      <c r="S174" s="70"/>
      <c r="T174" s="70"/>
      <c r="U174" s="70"/>
      <c r="V174" s="70"/>
      <c r="W174" s="70"/>
      <c r="X174" s="70"/>
      <c r="Y174" s="70"/>
      <c r="Z174" s="70"/>
      <c r="AA174" s="70"/>
      <c r="AB174" s="70"/>
      <c r="AC174" s="70"/>
      <c r="AD174" s="70"/>
      <c r="AE174" s="70"/>
      <c r="AF174" s="70"/>
      <c r="AG174" s="70"/>
      <c r="AH174" s="70"/>
      <c r="AI174" s="70"/>
      <c r="AJ174" s="70"/>
      <c r="AK174" s="70"/>
      <c r="AL174" s="70"/>
      <c r="AM174" s="70"/>
      <c r="AN174" s="70"/>
      <c r="AO174" s="70"/>
      <c r="AP174" s="70"/>
      <c r="AQ174" s="70"/>
      <c r="AR174" s="70"/>
      <c r="AS174" s="70"/>
      <c r="AT174" s="70"/>
      <c r="AU174" s="70"/>
      <c r="AV174" s="70"/>
      <c r="AW174" s="70"/>
      <c r="AX174" s="70"/>
      <c r="AY174" s="70"/>
      <c r="AZ174" s="70"/>
    </row>
    <row r="175" spans="1:52" x14ac:dyDescent="0.25">
      <c r="A175" s="69"/>
      <c r="B175" s="69"/>
      <c r="C175" s="70"/>
      <c r="D175" s="70"/>
      <c r="E175" s="70"/>
      <c r="F175" s="70"/>
      <c r="G175" s="70"/>
      <c r="H175" s="70"/>
      <c r="I175" s="70"/>
      <c r="J175" s="70"/>
      <c r="K175" s="70"/>
      <c r="L175" s="70"/>
      <c r="M175" s="70"/>
      <c r="N175" s="70"/>
      <c r="O175" s="70"/>
      <c r="P175" s="70"/>
      <c r="Q175" s="70"/>
      <c r="R175" s="70"/>
      <c r="S175" s="70"/>
      <c r="T175" s="70"/>
      <c r="U175" s="70"/>
      <c r="V175" s="70"/>
      <c r="W175" s="70"/>
      <c r="X175" s="70"/>
      <c r="Y175" s="70"/>
      <c r="Z175" s="70"/>
      <c r="AA175" s="70"/>
      <c r="AB175" s="70"/>
      <c r="AC175" s="70"/>
      <c r="AD175" s="70"/>
      <c r="AE175" s="70"/>
      <c r="AF175" s="70"/>
      <c r="AG175" s="70"/>
      <c r="AH175" s="70"/>
      <c r="AI175" s="70"/>
      <c r="AJ175" s="70"/>
      <c r="AK175" s="70"/>
      <c r="AL175" s="70"/>
      <c r="AM175" s="70"/>
      <c r="AN175" s="70"/>
      <c r="AO175" s="70"/>
      <c r="AP175" s="70"/>
      <c r="AQ175" s="70"/>
      <c r="AR175" s="70"/>
      <c r="AS175" s="70"/>
      <c r="AT175" s="70"/>
      <c r="AU175" s="70"/>
      <c r="AV175" s="70"/>
      <c r="AW175" s="70"/>
      <c r="AX175" s="70"/>
      <c r="AY175" s="70"/>
      <c r="AZ175" s="70"/>
    </row>
    <row r="176" spans="1:52" x14ac:dyDescent="0.25">
      <c r="A176" s="69"/>
      <c r="B176" s="69"/>
      <c r="C176" s="70"/>
      <c r="D176" s="70"/>
      <c r="E176" s="70"/>
      <c r="F176" s="70"/>
      <c r="G176" s="70"/>
      <c r="H176" s="70"/>
      <c r="I176" s="70"/>
      <c r="J176" s="70"/>
      <c r="K176" s="70"/>
      <c r="L176" s="70"/>
      <c r="M176" s="70"/>
      <c r="N176" s="70"/>
      <c r="O176" s="70"/>
      <c r="P176" s="70"/>
      <c r="Q176" s="70"/>
      <c r="R176" s="70"/>
      <c r="S176" s="70"/>
      <c r="T176" s="70"/>
      <c r="U176" s="70"/>
      <c r="V176" s="70"/>
      <c r="W176" s="70"/>
      <c r="X176" s="70"/>
      <c r="Y176" s="70"/>
      <c r="Z176" s="70"/>
      <c r="AA176" s="70"/>
      <c r="AB176" s="70"/>
      <c r="AC176" s="70"/>
      <c r="AD176" s="70"/>
      <c r="AE176" s="70"/>
      <c r="AF176" s="70"/>
      <c r="AG176" s="70"/>
      <c r="AH176" s="70"/>
      <c r="AI176" s="70"/>
      <c r="AJ176" s="70"/>
      <c r="AK176" s="70"/>
      <c r="AL176" s="70"/>
      <c r="AM176" s="70"/>
      <c r="AN176" s="70"/>
      <c r="AO176" s="70"/>
      <c r="AP176" s="70"/>
      <c r="AQ176" s="70"/>
      <c r="AR176" s="70"/>
      <c r="AS176" s="70"/>
      <c r="AT176" s="70"/>
      <c r="AU176" s="70"/>
      <c r="AV176" s="70"/>
      <c r="AW176" s="70"/>
      <c r="AX176" s="70"/>
      <c r="AY176" s="70"/>
      <c r="AZ176" s="70"/>
    </row>
    <row r="177" spans="1:52" x14ac:dyDescent="0.25">
      <c r="A177" s="69"/>
      <c r="B177" s="69"/>
      <c r="C177" s="70"/>
      <c r="D177" s="70"/>
      <c r="E177" s="70"/>
      <c r="F177" s="70"/>
      <c r="G177" s="70"/>
      <c r="H177" s="70"/>
      <c r="I177" s="70"/>
      <c r="J177" s="70"/>
      <c r="K177" s="70"/>
      <c r="L177" s="70"/>
      <c r="M177" s="70"/>
      <c r="N177" s="70"/>
      <c r="O177" s="70"/>
      <c r="P177" s="70"/>
      <c r="Q177" s="70"/>
      <c r="R177" s="70"/>
      <c r="S177" s="70"/>
      <c r="T177" s="70"/>
      <c r="U177" s="70"/>
      <c r="V177" s="70"/>
      <c r="W177" s="70"/>
      <c r="X177" s="70"/>
      <c r="Y177" s="70"/>
      <c r="Z177" s="70"/>
      <c r="AA177" s="70"/>
      <c r="AB177" s="70"/>
      <c r="AC177" s="70"/>
      <c r="AD177" s="70"/>
      <c r="AE177" s="70"/>
      <c r="AF177" s="70"/>
      <c r="AG177" s="70"/>
      <c r="AH177" s="70"/>
      <c r="AI177" s="70"/>
      <c r="AJ177" s="70"/>
      <c r="AK177" s="70"/>
      <c r="AL177" s="70"/>
      <c r="AM177" s="70"/>
      <c r="AN177" s="70"/>
      <c r="AO177" s="70"/>
      <c r="AP177" s="70"/>
      <c r="AQ177" s="70"/>
      <c r="AR177" s="70"/>
      <c r="AS177" s="70"/>
      <c r="AT177" s="70"/>
      <c r="AU177" s="70"/>
      <c r="AV177" s="70"/>
      <c r="AW177" s="70"/>
      <c r="AX177" s="70"/>
      <c r="AY177" s="70"/>
      <c r="AZ177" s="70"/>
    </row>
    <row r="178" spans="1:52" x14ac:dyDescent="0.25">
      <c r="A178" s="69"/>
      <c r="B178" s="69"/>
      <c r="C178" s="70"/>
      <c r="D178" s="70"/>
      <c r="E178" s="70"/>
      <c r="F178" s="70"/>
      <c r="G178" s="70"/>
      <c r="H178" s="70"/>
      <c r="I178" s="70"/>
      <c r="J178" s="70"/>
      <c r="K178" s="70"/>
      <c r="L178" s="70"/>
      <c r="M178" s="70"/>
      <c r="N178" s="70"/>
      <c r="O178" s="70"/>
      <c r="P178" s="70"/>
      <c r="Q178" s="70"/>
      <c r="R178" s="70"/>
      <c r="S178" s="70"/>
      <c r="T178" s="70"/>
      <c r="U178" s="70"/>
      <c r="V178" s="70"/>
      <c r="W178" s="70"/>
      <c r="X178" s="70"/>
      <c r="Y178" s="70"/>
      <c r="Z178" s="70"/>
      <c r="AA178" s="70"/>
      <c r="AB178" s="70"/>
      <c r="AC178" s="70"/>
      <c r="AD178" s="70"/>
      <c r="AE178" s="70"/>
      <c r="AF178" s="70"/>
      <c r="AG178" s="70"/>
      <c r="AH178" s="70"/>
      <c r="AI178" s="70"/>
      <c r="AJ178" s="70"/>
      <c r="AK178" s="70"/>
      <c r="AL178" s="70"/>
      <c r="AM178" s="70"/>
      <c r="AN178" s="70"/>
      <c r="AO178" s="70"/>
      <c r="AP178" s="70"/>
      <c r="AQ178" s="70"/>
      <c r="AR178" s="70"/>
      <c r="AS178" s="70"/>
      <c r="AT178" s="70"/>
      <c r="AU178" s="70"/>
      <c r="AV178" s="70"/>
      <c r="AW178" s="70"/>
      <c r="AX178" s="70"/>
      <c r="AY178" s="70"/>
      <c r="AZ178" s="70"/>
    </row>
    <row r="179" spans="1:52" x14ac:dyDescent="0.25">
      <c r="A179" s="69"/>
      <c r="B179" s="69"/>
      <c r="C179" s="70"/>
      <c r="D179" s="70"/>
      <c r="E179" s="70"/>
      <c r="F179" s="70"/>
      <c r="G179" s="70"/>
      <c r="H179" s="70"/>
      <c r="I179" s="70"/>
      <c r="J179" s="70"/>
      <c r="K179" s="70"/>
      <c r="L179" s="70"/>
      <c r="M179" s="70"/>
      <c r="N179" s="70"/>
      <c r="O179" s="70"/>
      <c r="P179" s="70"/>
      <c r="Q179" s="70"/>
      <c r="R179" s="70"/>
      <c r="S179" s="70"/>
      <c r="T179" s="70"/>
      <c r="U179" s="70"/>
      <c r="V179" s="70"/>
      <c r="W179" s="70"/>
      <c r="X179" s="70"/>
      <c r="Y179" s="70"/>
      <c r="Z179" s="70"/>
      <c r="AA179" s="70"/>
      <c r="AB179" s="70"/>
      <c r="AC179" s="70"/>
      <c r="AD179" s="70"/>
      <c r="AE179" s="70"/>
      <c r="AF179" s="70"/>
      <c r="AG179" s="70"/>
      <c r="AH179" s="70"/>
      <c r="AI179" s="70"/>
      <c r="AJ179" s="70"/>
      <c r="AK179" s="70"/>
      <c r="AL179" s="70"/>
      <c r="AM179" s="70"/>
      <c r="AN179" s="70"/>
      <c r="AO179" s="70"/>
      <c r="AP179" s="70"/>
      <c r="AQ179" s="70"/>
      <c r="AR179" s="70"/>
      <c r="AS179" s="70"/>
      <c r="AT179" s="70"/>
      <c r="AU179" s="70"/>
      <c r="AV179" s="70"/>
      <c r="AW179" s="70"/>
      <c r="AX179" s="70"/>
      <c r="AY179" s="70"/>
      <c r="AZ179" s="70"/>
    </row>
    <row r="180" spans="1:52" x14ac:dyDescent="0.25">
      <c r="A180" s="69"/>
      <c r="B180" s="69"/>
      <c r="C180" s="70"/>
      <c r="D180" s="70"/>
      <c r="E180" s="70"/>
      <c r="F180" s="70"/>
      <c r="G180" s="70"/>
      <c r="H180" s="70"/>
      <c r="I180" s="70"/>
      <c r="J180" s="70"/>
      <c r="K180" s="70"/>
      <c r="L180" s="70"/>
      <c r="M180" s="70"/>
      <c r="N180" s="70"/>
      <c r="O180" s="70"/>
      <c r="P180" s="70"/>
      <c r="Q180" s="70"/>
      <c r="R180" s="70"/>
      <c r="S180" s="70"/>
      <c r="T180" s="70"/>
      <c r="U180" s="70"/>
      <c r="V180" s="70"/>
      <c r="W180" s="70"/>
      <c r="X180" s="70"/>
      <c r="Y180" s="70"/>
      <c r="Z180" s="70"/>
      <c r="AA180" s="70"/>
      <c r="AB180" s="70"/>
      <c r="AC180" s="70"/>
      <c r="AD180" s="70"/>
      <c r="AE180" s="70"/>
      <c r="AF180" s="70"/>
      <c r="AG180" s="70"/>
      <c r="AH180" s="70"/>
      <c r="AI180" s="70"/>
      <c r="AJ180" s="70"/>
      <c r="AK180" s="70"/>
      <c r="AL180" s="70"/>
      <c r="AM180" s="70"/>
      <c r="AN180" s="70"/>
      <c r="AO180" s="70"/>
      <c r="AP180" s="70"/>
      <c r="AQ180" s="70"/>
      <c r="AR180" s="70"/>
      <c r="AS180" s="70"/>
      <c r="AT180" s="70"/>
      <c r="AU180" s="70"/>
      <c r="AV180" s="70"/>
      <c r="AW180" s="70"/>
      <c r="AX180" s="70"/>
      <c r="AY180" s="70"/>
      <c r="AZ180" s="70"/>
    </row>
    <row r="181" spans="1:52" x14ac:dyDescent="0.25">
      <c r="A181" s="69"/>
      <c r="B181" s="69"/>
      <c r="C181" s="70"/>
      <c r="D181" s="70"/>
      <c r="E181" s="70"/>
      <c r="F181" s="70"/>
      <c r="G181" s="70"/>
      <c r="H181" s="70"/>
      <c r="I181" s="70"/>
      <c r="J181" s="70"/>
      <c r="K181" s="70"/>
      <c r="L181" s="70"/>
      <c r="M181" s="70"/>
      <c r="N181" s="70"/>
      <c r="O181" s="70"/>
      <c r="P181" s="70"/>
      <c r="Q181" s="70"/>
      <c r="R181" s="70"/>
      <c r="S181" s="70"/>
      <c r="T181" s="70"/>
      <c r="U181" s="70"/>
      <c r="V181" s="70"/>
      <c r="W181" s="70"/>
      <c r="X181" s="70"/>
      <c r="Y181" s="70"/>
      <c r="Z181" s="70"/>
      <c r="AA181" s="70"/>
      <c r="AB181" s="70"/>
      <c r="AC181" s="70"/>
      <c r="AD181" s="70"/>
      <c r="AE181" s="70"/>
      <c r="AF181" s="70"/>
      <c r="AG181" s="70"/>
      <c r="AH181" s="70"/>
      <c r="AI181" s="70"/>
      <c r="AJ181" s="70"/>
      <c r="AK181" s="70"/>
      <c r="AL181" s="70"/>
      <c r="AM181" s="70"/>
      <c r="AN181" s="70"/>
      <c r="AO181" s="70"/>
      <c r="AP181" s="70"/>
      <c r="AQ181" s="70"/>
      <c r="AR181" s="70"/>
      <c r="AS181" s="70"/>
      <c r="AT181" s="70"/>
      <c r="AU181" s="70"/>
      <c r="AV181" s="70"/>
      <c r="AW181" s="70"/>
      <c r="AX181" s="70"/>
      <c r="AY181" s="70"/>
      <c r="AZ181" s="70"/>
    </row>
    <row r="182" spans="1:52" x14ac:dyDescent="0.25">
      <c r="A182" s="69"/>
      <c r="B182" s="69"/>
      <c r="C182" s="70"/>
      <c r="D182" s="70"/>
      <c r="E182" s="70"/>
      <c r="F182" s="70"/>
      <c r="G182" s="70"/>
      <c r="H182" s="70"/>
      <c r="I182" s="70"/>
      <c r="J182" s="70"/>
      <c r="K182" s="70"/>
      <c r="L182" s="70"/>
      <c r="M182" s="70"/>
      <c r="N182" s="70"/>
      <c r="O182" s="70"/>
      <c r="P182" s="70"/>
      <c r="Q182" s="70"/>
      <c r="R182" s="70"/>
      <c r="S182" s="70"/>
      <c r="T182" s="70"/>
      <c r="U182" s="70"/>
      <c r="V182" s="70"/>
      <c r="W182" s="70"/>
      <c r="X182" s="70"/>
      <c r="Y182" s="70"/>
      <c r="Z182" s="70"/>
      <c r="AA182" s="70"/>
      <c r="AB182" s="70"/>
      <c r="AC182" s="70"/>
      <c r="AD182" s="70"/>
      <c r="AE182" s="70"/>
      <c r="AF182" s="70"/>
      <c r="AG182" s="70"/>
      <c r="AH182" s="70"/>
      <c r="AI182" s="70"/>
      <c r="AJ182" s="70"/>
      <c r="AK182" s="70"/>
      <c r="AL182" s="70"/>
      <c r="AM182" s="70"/>
      <c r="AN182" s="70"/>
      <c r="AO182" s="70"/>
      <c r="AP182" s="70"/>
      <c r="AQ182" s="70"/>
      <c r="AR182" s="70"/>
      <c r="AS182" s="70"/>
      <c r="AT182" s="70"/>
      <c r="AU182" s="70"/>
      <c r="AV182" s="70"/>
      <c r="AW182" s="70"/>
      <c r="AX182" s="70"/>
      <c r="AY182" s="70"/>
      <c r="AZ182" s="70"/>
    </row>
    <row r="183" spans="1:52" x14ac:dyDescent="0.25">
      <c r="A183" s="69"/>
      <c r="B183" s="69"/>
      <c r="C183" s="70"/>
      <c r="D183" s="70"/>
      <c r="E183" s="70"/>
      <c r="F183" s="70"/>
      <c r="G183" s="70"/>
      <c r="H183" s="70"/>
      <c r="I183" s="70"/>
      <c r="J183" s="70"/>
      <c r="K183" s="70"/>
      <c r="L183" s="70"/>
      <c r="M183" s="70"/>
      <c r="N183" s="70"/>
      <c r="O183" s="70"/>
      <c r="P183" s="70"/>
      <c r="Q183" s="70"/>
      <c r="R183" s="70"/>
      <c r="S183" s="70"/>
      <c r="T183" s="70"/>
      <c r="U183" s="70"/>
      <c r="V183" s="70"/>
      <c r="W183" s="70"/>
      <c r="X183" s="70"/>
      <c r="Y183" s="70"/>
      <c r="Z183" s="70"/>
      <c r="AA183" s="70"/>
      <c r="AB183" s="70"/>
      <c r="AC183" s="70"/>
      <c r="AD183" s="70"/>
      <c r="AE183" s="70"/>
      <c r="AF183" s="70"/>
      <c r="AG183" s="70"/>
      <c r="AH183" s="70"/>
      <c r="AI183" s="70"/>
      <c r="AJ183" s="70"/>
      <c r="AK183" s="70"/>
      <c r="AL183" s="70"/>
      <c r="AM183" s="70"/>
      <c r="AN183" s="70"/>
      <c r="AO183" s="70"/>
      <c r="AP183" s="70"/>
      <c r="AQ183" s="70"/>
      <c r="AR183" s="70"/>
      <c r="AS183" s="70"/>
      <c r="AT183" s="70"/>
      <c r="AU183" s="70"/>
      <c r="AV183" s="70"/>
      <c r="AW183" s="70"/>
      <c r="AX183" s="70"/>
      <c r="AY183" s="70"/>
      <c r="AZ183" s="70"/>
    </row>
    <row r="184" spans="1:52" x14ac:dyDescent="0.25">
      <c r="A184" s="69"/>
      <c r="B184" s="69"/>
      <c r="C184" s="70"/>
      <c r="D184" s="70"/>
      <c r="E184" s="70"/>
      <c r="F184" s="70"/>
      <c r="G184" s="70"/>
      <c r="H184" s="70"/>
      <c r="I184" s="70"/>
      <c r="J184" s="70"/>
      <c r="K184" s="70"/>
      <c r="L184" s="70"/>
      <c r="M184" s="70"/>
      <c r="N184" s="70"/>
      <c r="O184" s="70"/>
      <c r="P184" s="70"/>
      <c r="Q184" s="70"/>
      <c r="R184" s="70"/>
      <c r="S184" s="70"/>
      <c r="T184" s="70"/>
      <c r="U184" s="70"/>
      <c r="V184" s="70"/>
      <c r="W184" s="70"/>
      <c r="X184" s="70"/>
      <c r="Y184" s="70"/>
      <c r="Z184" s="70"/>
      <c r="AA184" s="70"/>
      <c r="AB184" s="70"/>
      <c r="AC184" s="70"/>
      <c r="AD184" s="70"/>
      <c r="AE184" s="70"/>
      <c r="AF184" s="70"/>
      <c r="AG184" s="70"/>
      <c r="AH184" s="70"/>
      <c r="AI184" s="70"/>
      <c r="AJ184" s="70"/>
      <c r="AK184" s="70"/>
      <c r="AL184" s="70"/>
      <c r="AM184" s="70"/>
      <c r="AN184" s="70"/>
      <c r="AO184" s="70"/>
      <c r="AP184" s="70"/>
      <c r="AQ184" s="70"/>
      <c r="AR184" s="70"/>
      <c r="AS184" s="70"/>
      <c r="AT184" s="70"/>
      <c r="AU184" s="70"/>
      <c r="AV184" s="70"/>
      <c r="AW184" s="70"/>
      <c r="AX184" s="70"/>
      <c r="AY184" s="70"/>
      <c r="AZ184" s="70"/>
    </row>
    <row r="185" spans="1:52" x14ac:dyDescent="0.25">
      <c r="A185" s="69"/>
      <c r="B185" s="69"/>
      <c r="C185" s="70"/>
      <c r="D185" s="70"/>
      <c r="E185" s="70"/>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row>
    <row r="186" spans="1:52" x14ac:dyDescent="0.25">
      <c r="A186" s="69"/>
      <c r="B186" s="69"/>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row>
    <row r="187" spans="1:52" x14ac:dyDescent="0.25">
      <c r="A187" s="69"/>
      <c r="B187" s="69"/>
      <c r="C187" s="70"/>
      <c r="D187" s="70"/>
      <c r="E187" s="70"/>
      <c r="F187" s="70"/>
      <c r="G187" s="70"/>
      <c r="H187" s="70"/>
      <c r="I187" s="70"/>
      <c r="J187" s="70"/>
      <c r="K187" s="70"/>
      <c r="L187" s="70"/>
      <c r="M187" s="70"/>
      <c r="N187" s="70"/>
      <c r="O187" s="70"/>
      <c r="P187" s="70"/>
      <c r="Q187" s="70"/>
      <c r="R187" s="70"/>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row>
    <row r="188" spans="1:52" x14ac:dyDescent="0.25">
      <c r="A188" s="69"/>
      <c r="B188" s="69"/>
      <c r="C188" s="70"/>
      <c r="D188" s="70"/>
      <c r="E188" s="70"/>
      <c r="F188" s="70"/>
      <c r="G188" s="70"/>
      <c r="H188" s="70"/>
      <c r="I188" s="70"/>
      <c r="J188" s="70"/>
      <c r="K188" s="70"/>
      <c r="L188" s="70"/>
      <c r="M188" s="70"/>
      <c r="N188" s="70"/>
      <c r="O188" s="70"/>
      <c r="P188" s="70"/>
      <c r="Q188" s="70"/>
      <c r="R188" s="70"/>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row>
    <row r="189" spans="1:52" x14ac:dyDescent="0.25">
      <c r="A189" s="69"/>
      <c r="B189" s="69"/>
      <c r="C189" s="70"/>
      <c r="D189" s="70"/>
      <c r="E189" s="70"/>
      <c r="F189" s="70"/>
      <c r="G189" s="70"/>
      <c r="H189" s="70"/>
      <c r="I189" s="70"/>
      <c r="J189" s="70"/>
      <c r="K189" s="70"/>
      <c r="L189" s="70"/>
      <c r="M189" s="70"/>
      <c r="N189" s="70"/>
      <c r="O189" s="70"/>
      <c r="P189" s="70"/>
      <c r="Q189" s="70"/>
      <c r="R189" s="70"/>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row>
    <row r="190" spans="1:52" x14ac:dyDescent="0.25">
      <c r="A190" s="69"/>
      <c r="B190" s="69"/>
      <c r="C190" s="70"/>
      <c r="D190" s="70"/>
      <c r="E190" s="70"/>
      <c r="F190" s="70"/>
      <c r="G190" s="70"/>
      <c r="H190" s="70"/>
      <c r="I190" s="70"/>
      <c r="J190" s="70"/>
      <c r="K190" s="70"/>
      <c r="L190" s="70"/>
      <c r="M190" s="70"/>
      <c r="N190" s="70"/>
      <c r="O190" s="70"/>
      <c r="P190" s="70"/>
      <c r="Q190" s="70"/>
      <c r="R190" s="70"/>
      <c r="S190" s="70"/>
      <c r="T190" s="70"/>
      <c r="U190" s="70"/>
      <c r="V190" s="70"/>
      <c r="W190" s="70"/>
      <c r="X190" s="70"/>
      <c r="Y190" s="70"/>
      <c r="Z190" s="70"/>
      <c r="AA190" s="70"/>
      <c r="AB190" s="70"/>
      <c r="AC190" s="70"/>
      <c r="AD190" s="70"/>
      <c r="AE190" s="70"/>
      <c r="AF190" s="70"/>
      <c r="AG190" s="70"/>
      <c r="AH190" s="70"/>
      <c r="AI190" s="70"/>
      <c r="AJ190" s="70"/>
      <c r="AK190" s="70"/>
      <c r="AL190" s="70"/>
      <c r="AM190" s="70"/>
      <c r="AN190" s="70"/>
      <c r="AO190" s="70"/>
      <c r="AP190" s="70"/>
      <c r="AQ190" s="70"/>
      <c r="AR190" s="70"/>
      <c r="AS190" s="70"/>
      <c r="AT190" s="70"/>
      <c r="AU190" s="70"/>
      <c r="AV190" s="70"/>
      <c r="AW190" s="70"/>
      <c r="AX190" s="70"/>
      <c r="AY190" s="70"/>
      <c r="AZ190" s="70"/>
    </row>
    <row r="191" spans="1:52" x14ac:dyDescent="0.25">
      <c r="A191" s="69"/>
      <c r="B191" s="69"/>
      <c r="C191" s="70"/>
      <c r="D191" s="70"/>
      <c r="E191" s="70"/>
      <c r="F191" s="70"/>
      <c r="G191" s="70"/>
      <c r="H191" s="70"/>
      <c r="I191" s="70"/>
      <c r="J191" s="70"/>
      <c r="K191" s="70"/>
      <c r="L191" s="70"/>
      <c r="M191" s="70"/>
      <c r="N191" s="70"/>
      <c r="O191" s="70"/>
      <c r="P191" s="70"/>
      <c r="Q191" s="70"/>
      <c r="R191" s="70"/>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row>
    <row r="192" spans="1:52" x14ac:dyDescent="0.25">
      <c r="A192" s="69"/>
      <c r="B192" s="69"/>
      <c r="C192" s="70"/>
      <c r="D192" s="70"/>
      <c r="E192" s="70"/>
      <c r="F192" s="70"/>
      <c r="G192" s="70"/>
      <c r="H192" s="70"/>
      <c r="I192" s="70"/>
      <c r="J192" s="70"/>
      <c r="K192" s="70"/>
      <c r="L192" s="70"/>
      <c r="M192" s="70"/>
      <c r="N192" s="70"/>
      <c r="O192" s="70"/>
      <c r="P192" s="70"/>
      <c r="Q192" s="70"/>
      <c r="R192" s="70"/>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row>
    <row r="193" spans="1:52" x14ac:dyDescent="0.25">
      <c r="A193" s="69"/>
      <c r="B193" s="69"/>
      <c r="C193" s="70"/>
      <c r="D193" s="70"/>
      <c r="E193" s="70"/>
      <c r="F193" s="70"/>
      <c r="G193" s="70"/>
      <c r="H193" s="70"/>
      <c r="I193" s="70"/>
      <c r="J193" s="70"/>
      <c r="K193" s="70"/>
      <c r="L193" s="70"/>
      <c r="M193" s="70"/>
      <c r="N193" s="70"/>
      <c r="O193" s="70"/>
      <c r="P193" s="70"/>
      <c r="Q193" s="70"/>
      <c r="R193" s="70"/>
      <c r="S193" s="70"/>
      <c r="T193" s="70"/>
      <c r="U193" s="70"/>
      <c r="V193" s="70"/>
      <c r="W193" s="70"/>
      <c r="X193" s="70"/>
      <c r="Y193" s="70"/>
      <c r="Z193" s="70"/>
      <c r="AA193" s="70"/>
      <c r="AB193" s="70"/>
      <c r="AC193" s="70"/>
      <c r="AD193" s="70"/>
      <c r="AE193" s="70"/>
      <c r="AF193" s="70"/>
      <c r="AG193" s="70"/>
      <c r="AH193" s="70"/>
      <c r="AI193" s="70"/>
      <c r="AJ193" s="70"/>
      <c r="AK193" s="70"/>
      <c r="AL193" s="70"/>
      <c r="AM193" s="70"/>
      <c r="AN193" s="70"/>
      <c r="AO193" s="70"/>
      <c r="AP193" s="70"/>
      <c r="AQ193" s="70"/>
      <c r="AR193" s="70"/>
      <c r="AS193" s="70"/>
      <c r="AT193" s="70"/>
      <c r="AU193" s="70"/>
      <c r="AV193" s="70"/>
      <c r="AW193" s="70"/>
      <c r="AX193" s="70"/>
      <c r="AY193" s="70"/>
      <c r="AZ193" s="70"/>
    </row>
    <row r="194" spans="1:52" x14ac:dyDescent="0.25">
      <c r="A194" s="69"/>
      <c r="B194" s="69"/>
      <c r="C194" s="70"/>
      <c r="D194" s="70"/>
      <c r="E194" s="70"/>
      <c r="F194" s="70"/>
      <c r="G194" s="70"/>
      <c r="H194" s="70"/>
      <c r="I194" s="70"/>
      <c r="J194" s="70"/>
      <c r="K194" s="70"/>
      <c r="L194" s="70"/>
      <c r="M194" s="70"/>
      <c r="N194" s="70"/>
      <c r="O194" s="70"/>
      <c r="P194" s="70"/>
      <c r="Q194" s="70"/>
      <c r="R194" s="70"/>
      <c r="S194" s="70"/>
      <c r="T194" s="70"/>
      <c r="U194" s="70"/>
      <c r="V194" s="70"/>
      <c r="W194" s="70"/>
      <c r="X194" s="70"/>
      <c r="Y194" s="70"/>
      <c r="Z194" s="70"/>
      <c r="AA194" s="70"/>
      <c r="AB194" s="70"/>
      <c r="AC194" s="70"/>
      <c r="AD194" s="70"/>
      <c r="AE194" s="70"/>
      <c r="AF194" s="70"/>
      <c r="AG194" s="70"/>
      <c r="AH194" s="70"/>
      <c r="AI194" s="70"/>
      <c r="AJ194" s="70"/>
      <c r="AK194" s="70"/>
      <c r="AL194" s="70"/>
      <c r="AM194" s="70"/>
      <c r="AN194" s="70"/>
      <c r="AO194" s="70"/>
      <c r="AP194" s="70"/>
      <c r="AQ194" s="70"/>
      <c r="AR194" s="70"/>
      <c r="AS194" s="70"/>
      <c r="AT194" s="70"/>
      <c r="AU194" s="70"/>
      <c r="AV194" s="70"/>
      <c r="AW194" s="70"/>
      <c r="AX194" s="70"/>
      <c r="AY194" s="70"/>
      <c r="AZ194" s="70"/>
    </row>
    <row r="195" spans="1:52" x14ac:dyDescent="0.25">
      <c r="A195" s="69"/>
      <c r="B195" s="69"/>
      <c r="C195" s="70"/>
      <c r="D195" s="70"/>
      <c r="E195" s="70"/>
      <c r="F195" s="70"/>
      <c r="G195" s="70"/>
      <c r="H195" s="70"/>
      <c r="I195" s="70"/>
      <c r="J195" s="70"/>
      <c r="K195" s="70"/>
      <c r="L195" s="70"/>
      <c r="M195" s="70"/>
      <c r="N195" s="70"/>
      <c r="O195" s="70"/>
      <c r="P195" s="70"/>
      <c r="Q195" s="70"/>
      <c r="R195" s="70"/>
      <c r="S195" s="70"/>
      <c r="T195" s="70"/>
      <c r="U195" s="70"/>
      <c r="V195" s="70"/>
      <c r="W195" s="70"/>
      <c r="X195" s="70"/>
      <c r="Y195" s="70"/>
      <c r="Z195" s="70"/>
      <c r="AA195" s="70"/>
      <c r="AB195" s="70"/>
      <c r="AC195" s="70"/>
      <c r="AD195" s="70"/>
      <c r="AE195" s="70"/>
      <c r="AF195" s="70"/>
      <c r="AG195" s="70"/>
      <c r="AH195" s="70"/>
      <c r="AI195" s="70"/>
      <c r="AJ195" s="70"/>
      <c r="AK195" s="70"/>
      <c r="AL195" s="70"/>
      <c r="AM195" s="70"/>
      <c r="AN195" s="70"/>
      <c r="AO195" s="70"/>
      <c r="AP195" s="70"/>
      <c r="AQ195" s="70"/>
      <c r="AR195" s="70"/>
      <c r="AS195" s="70"/>
      <c r="AT195" s="70"/>
      <c r="AU195" s="70"/>
      <c r="AV195" s="70"/>
      <c r="AW195" s="70"/>
      <c r="AX195" s="70"/>
      <c r="AY195" s="70"/>
      <c r="AZ195" s="70"/>
    </row>
    <row r="196" spans="1:52" x14ac:dyDescent="0.25">
      <c r="A196" s="69"/>
      <c r="B196" s="69"/>
      <c r="C196" s="70"/>
      <c r="D196" s="70"/>
      <c r="E196" s="70"/>
      <c r="F196" s="70"/>
      <c r="G196" s="70"/>
      <c r="H196" s="70"/>
      <c r="I196" s="70"/>
      <c r="J196" s="70"/>
      <c r="K196" s="70"/>
      <c r="L196" s="70"/>
      <c r="M196" s="70"/>
      <c r="N196" s="70"/>
      <c r="O196" s="70"/>
      <c r="P196" s="70"/>
      <c r="Q196" s="70"/>
      <c r="R196" s="70"/>
      <c r="S196" s="70"/>
      <c r="T196" s="70"/>
      <c r="U196" s="70"/>
      <c r="V196" s="70"/>
      <c r="W196" s="70"/>
      <c r="X196" s="70"/>
      <c r="Y196" s="70"/>
      <c r="Z196" s="70"/>
      <c r="AA196" s="70"/>
      <c r="AB196" s="70"/>
      <c r="AC196" s="70"/>
      <c r="AD196" s="70"/>
      <c r="AE196" s="70"/>
      <c r="AF196" s="70"/>
      <c r="AG196" s="70"/>
      <c r="AH196" s="70"/>
      <c r="AI196" s="70"/>
      <c r="AJ196" s="70"/>
      <c r="AK196" s="70"/>
      <c r="AL196" s="70"/>
      <c r="AM196" s="70"/>
      <c r="AN196" s="70"/>
      <c r="AO196" s="70"/>
      <c r="AP196" s="70"/>
      <c r="AQ196" s="70"/>
      <c r="AR196" s="70"/>
      <c r="AS196" s="70"/>
      <c r="AT196" s="70"/>
      <c r="AU196" s="70"/>
      <c r="AV196" s="70"/>
      <c r="AW196" s="70"/>
      <c r="AX196" s="70"/>
      <c r="AY196" s="70"/>
      <c r="AZ196" s="70"/>
    </row>
    <row r="197" spans="1:52" x14ac:dyDescent="0.25">
      <c r="A197" s="69"/>
      <c r="B197" s="69"/>
      <c r="C197" s="70"/>
      <c r="D197" s="70"/>
      <c r="E197" s="70"/>
      <c r="F197" s="70"/>
      <c r="G197" s="70"/>
      <c r="H197" s="70"/>
      <c r="I197" s="70"/>
      <c r="J197" s="70"/>
      <c r="K197" s="70"/>
      <c r="L197" s="70"/>
      <c r="M197" s="70"/>
      <c r="N197" s="70"/>
      <c r="O197" s="70"/>
      <c r="P197" s="70"/>
      <c r="Q197" s="70"/>
      <c r="R197" s="70"/>
      <c r="S197" s="70"/>
      <c r="T197" s="70"/>
      <c r="U197" s="70"/>
      <c r="V197" s="70"/>
      <c r="W197" s="70"/>
      <c r="X197" s="70"/>
      <c r="Y197" s="70"/>
      <c r="Z197" s="70"/>
      <c r="AA197" s="70"/>
      <c r="AB197" s="70"/>
      <c r="AC197" s="70"/>
      <c r="AD197" s="70"/>
      <c r="AE197" s="70"/>
      <c r="AF197" s="70"/>
      <c r="AG197" s="70"/>
      <c r="AH197" s="70"/>
      <c r="AI197" s="70"/>
      <c r="AJ197" s="70"/>
      <c r="AK197" s="70"/>
      <c r="AL197" s="70"/>
      <c r="AM197" s="70"/>
      <c r="AN197" s="70"/>
      <c r="AO197" s="70"/>
      <c r="AP197" s="70"/>
      <c r="AQ197" s="70"/>
      <c r="AR197" s="70"/>
      <c r="AS197" s="70"/>
      <c r="AT197" s="70"/>
      <c r="AU197" s="70"/>
      <c r="AV197" s="70"/>
      <c r="AW197" s="70"/>
      <c r="AX197" s="70"/>
      <c r="AY197" s="70"/>
      <c r="AZ197" s="70"/>
    </row>
    <row r="198" spans="1:52" x14ac:dyDescent="0.25">
      <c r="A198" s="69"/>
      <c r="B198" s="69"/>
      <c r="C198" s="70"/>
      <c r="D198" s="70"/>
      <c r="E198" s="70"/>
      <c r="F198" s="70"/>
      <c r="G198" s="70"/>
      <c r="H198" s="70"/>
      <c r="I198" s="70"/>
      <c r="J198" s="70"/>
      <c r="K198" s="70"/>
      <c r="L198" s="70"/>
      <c r="M198" s="70"/>
      <c r="N198" s="70"/>
      <c r="O198" s="70"/>
      <c r="P198" s="70"/>
      <c r="Q198" s="70"/>
      <c r="R198" s="70"/>
      <c r="S198" s="70"/>
      <c r="T198" s="70"/>
      <c r="U198" s="70"/>
      <c r="V198" s="70"/>
      <c r="W198" s="70"/>
      <c r="X198" s="70"/>
      <c r="Y198" s="70"/>
      <c r="Z198" s="70"/>
      <c r="AA198" s="70"/>
      <c r="AB198" s="70"/>
      <c r="AC198" s="70"/>
      <c r="AD198" s="70"/>
      <c r="AE198" s="70"/>
      <c r="AF198" s="70"/>
      <c r="AG198" s="70"/>
      <c r="AH198" s="70"/>
      <c r="AI198" s="70"/>
      <c r="AJ198" s="70"/>
      <c r="AK198" s="70"/>
      <c r="AL198" s="70"/>
      <c r="AM198" s="70"/>
      <c r="AN198" s="70"/>
      <c r="AO198" s="70"/>
      <c r="AP198" s="70"/>
      <c r="AQ198" s="70"/>
      <c r="AR198" s="70"/>
      <c r="AS198" s="70"/>
      <c r="AT198" s="70"/>
      <c r="AU198" s="70"/>
      <c r="AV198" s="70"/>
      <c r="AW198" s="70"/>
      <c r="AX198" s="70"/>
      <c r="AY198" s="70"/>
      <c r="AZ198" s="70"/>
    </row>
    <row r="199" spans="1:52" x14ac:dyDescent="0.25">
      <c r="A199" s="69"/>
      <c r="B199" s="69"/>
      <c r="C199" s="70"/>
      <c r="D199" s="70"/>
      <c r="E199" s="70"/>
      <c r="F199" s="70"/>
      <c r="G199" s="70"/>
      <c r="H199" s="70"/>
      <c r="I199" s="70"/>
      <c r="J199" s="70"/>
      <c r="K199" s="70"/>
      <c r="L199" s="70"/>
      <c r="M199" s="70"/>
      <c r="N199" s="70"/>
      <c r="O199" s="70"/>
      <c r="P199" s="70"/>
      <c r="Q199" s="70"/>
      <c r="R199" s="70"/>
      <c r="S199" s="70"/>
      <c r="T199" s="70"/>
      <c r="U199" s="70"/>
      <c r="V199" s="70"/>
      <c r="W199" s="70"/>
      <c r="X199" s="70"/>
      <c r="Y199" s="70"/>
      <c r="Z199" s="70"/>
      <c r="AA199" s="70"/>
      <c r="AB199" s="70"/>
      <c r="AC199" s="70"/>
      <c r="AD199" s="70"/>
      <c r="AE199" s="70"/>
      <c r="AF199" s="70"/>
      <c r="AG199" s="70"/>
      <c r="AH199" s="70"/>
      <c r="AI199" s="70"/>
      <c r="AJ199" s="70"/>
      <c r="AK199" s="70"/>
      <c r="AL199" s="70"/>
      <c r="AM199" s="70"/>
      <c r="AN199" s="70"/>
      <c r="AO199" s="70"/>
      <c r="AP199" s="70"/>
      <c r="AQ199" s="70"/>
      <c r="AR199" s="70"/>
      <c r="AS199" s="70"/>
      <c r="AT199" s="70"/>
      <c r="AU199" s="70"/>
      <c r="AV199" s="70"/>
      <c r="AW199" s="70"/>
      <c r="AX199" s="70"/>
      <c r="AY199" s="70"/>
      <c r="AZ199" s="70"/>
    </row>
    <row r="200" spans="1:52" x14ac:dyDescent="0.25">
      <c r="A200" s="69"/>
      <c r="B200" s="69"/>
      <c r="C200" s="70"/>
      <c r="D200" s="70"/>
      <c r="E200" s="70"/>
      <c r="F200" s="70"/>
      <c r="G200" s="70"/>
      <c r="H200" s="70"/>
      <c r="I200" s="70"/>
      <c r="J200" s="70"/>
      <c r="K200" s="70"/>
      <c r="L200" s="70"/>
      <c r="M200" s="70"/>
      <c r="N200" s="70"/>
      <c r="O200" s="70"/>
      <c r="P200" s="70"/>
      <c r="Q200" s="70"/>
      <c r="R200" s="70"/>
      <c r="S200" s="70"/>
      <c r="T200" s="70"/>
      <c r="U200" s="70"/>
      <c r="V200" s="70"/>
      <c r="W200" s="70"/>
      <c r="X200" s="70"/>
      <c r="Y200" s="70"/>
      <c r="Z200" s="70"/>
      <c r="AA200" s="70"/>
      <c r="AB200" s="70"/>
      <c r="AC200" s="70"/>
      <c r="AD200" s="70"/>
      <c r="AE200" s="70"/>
      <c r="AF200" s="70"/>
      <c r="AG200" s="70"/>
      <c r="AH200" s="70"/>
      <c r="AI200" s="70"/>
      <c r="AJ200" s="70"/>
      <c r="AK200" s="70"/>
      <c r="AL200" s="70"/>
      <c r="AM200" s="70"/>
      <c r="AN200" s="70"/>
      <c r="AO200" s="70"/>
      <c r="AP200" s="70"/>
      <c r="AQ200" s="70"/>
      <c r="AR200" s="70"/>
      <c r="AS200" s="70"/>
      <c r="AT200" s="70"/>
      <c r="AU200" s="70"/>
      <c r="AV200" s="70"/>
      <c r="AW200" s="70"/>
      <c r="AX200" s="70"/>
      <c r="AY200" s="70"/>
      <c r="AZ200" s="70"/>
    </row>
    <row r="201" spans="1:52" x14ac:dyDescent="0.25">
      <c r="A201" s="69"/>
      <c r="B201" s="69"/>
      <c r="C201" s="70"/>
      <c r="D201" s="70"/>
      <c r="E201" s="70"/>
      <c r="F201" s="70"/>
      <c r="G201" s="70"/>
      <c r="H201" s="70"/>
      <c r="I201" s="70"/>
      <c r="J201" s="70"/>
      <c r="K201" s="70"/>
      <c r="L201" s="70"/>
      <c r="M201" s="70"/>
      <c r="N201" s="70"/>
      <c r="O201" s="70"/>
      <c r="P201" s="70"/>
      <c r="Q201" s="70"/>
      <c r="R201" s="70"/>
      <c r="S201" s="70"/>
      <c r="T201" s="70"/>
      <c r="U201" s="70"/>
      <c r="V201" s="70"/>
      <c r="W201" s="70"/>
      <c r="X201" s="70"/>
      <c r="Y201" s="70"/>
      <c r="Z201" s="70"/>
      <c r="AA201" s="70"/>
      <c r="AB201" s="70"/>
      <c r="AC201" s="70"/>
      <c r="AD201" s="70"/>
      <c r="AE201" s="70"/>
      <c r="AF201" s="70"/>
      <c r="AG201" s="70"/>
      <c r="AH201" s="70"/>
      <c r="AI201" s="70"/>
      <c r="AJ201" s="70"/>
      <c r="AK201" s="70"/>
      <c r="AL201" s="70"/>
      <c r="AM201" s="70"/>
      <c r="AN201" s="70"/>
      <c r="AO201" s="70"/>
      <c r="AP201" s="70"/>
      <c r="AQ201" s="70"/>
      <c r="AR201" s="70"/>
      <c r="AS201" s="70"/>
      <c r="AT201" s="70"/>
      <c r="AU201" s="70"/>
      <c r="AV201" s="70"/>
      <c r="AW201" s="70"/>
      <c r="AX201" s="70"/>
      <c r="AY201" s="70"/>
      <c r="AZ201" s="70"/>
    </row>
    <row r="202" spans="1:52" x14ac:dyDescent="0.25">
      <c r="A202" s="69"/>
      <c r="B202" s="69"/>
      <c r="C202" s="70"/>
      <c r="D202" s="70"/>
      <c r="E202" s="70"/>
      <c r="F202" s="70"/>
      <c r="G202" s="70"/>
      <c r="H202" s="70"/>
      <c r="I202" s="70"/>
      <c r="J202" s="70"/>
      <c r="K202" s="70"/>
      <c r="L202" s="70"/>
      <c r="M202" s="70"/>
      <c r="N202" s="70"/>
      <c r="O202" s="70"/>
      <c r="P202" s="70"/>
      <c r="Q202" s="70"/>
      <c r="R202" s="70"/>
      <c r="S202" s="70"/>
      <c r="T202" s="70"/>
      <c r="U202" s="70"/>
      <c r="V202" s="70"/>
      <c r="W202" s="70"/>
      <c r="X202" s="70"/>
      <c r="Y202" s="70"/>
      <c r="Z202" s="70"/>
      <c r="AA202" s="70"/>
      <c r="AB202" s="70"/>
      <c r="AC202" s="70"/>
      <c r="AD202" s="70"/>
      <c r="AE202" s="70"/>
      <c r="AF202" s="70"/>
      <c r="AG202" s="70"/>
      <c r="AH202" s="70"/>
      <c r="AI202" s="70"/>
      <c r="AJ202" s="70"/>
      <c r="AK202" s="70"/>
      <c r="AL202" s="70"/>
      <c r="AM202" s="70"/>
      <c r="AN202" s="70"/>
      <c r="AO202" s="70"/>
      <c r="AP202" s="70"/>
      <c r="AQ202" s="70"/>
      <c r="AR202" s="70"/>
      <c r="AS202" s="70"/>
      <c r="AT202" s="70"/>
      <c r="AU202" s="70"/>
      <c r="AV202" s="70"/>
      <c r="AW202" s="70"/>
      <c r="AX202" s="70"/>
      <c r="AY202" s="70"/>
      <c r="AZ202" s="70"/>
    </row>
    <row r="203" spans="1:52" x14ac:dyDescent="0.25">
      <c r="A203" s="69"/>
      <c r="B203" s="69"/>
      <c r="C203" s="70"/>
      <c r="D203" s="70"/>
      <c r="E203" s="70"/>
      <c r="F203" s="70"/>
      <c r="G203" s="70"/>
      <c r="H203" s="70"/>
      <c r="I203" s="70"/>
      <c r="J203" s="70"/>
      <c r="K203" s="70"/>
      <c r="L203" s="70"/>
      <c r="M203" s="70"/>
      <c r="N203" s="70"/>
      <c r="O203" s="70"/>
      <c r="P203" s="70"/>
      <c r="Q203" s="70"/>
      <c r="R203" s="70"/>
      <c r="S203" s="70"/>
      <c r="T203" s="70"/>
      <c r="U203" s="70"/>
      <c r="V203" s="70"/>
      <c r="W203" s="70"/>
      <c r="X203" s="70"/>
      <c r="Y203" s="70"/>
      <c r="Z203" s="70"/>
      <c r="AA203" s="70"/>
      <c r="AB203" s="70"/>
      <c r="AC203" s="70"/>
      <c r="AD203" s="70"/>
      <c r="AE203" s="70"/>
      <c r="AF203" s="70"/>
      <c r="AG203" s="70"/>
      <c r="AH203" s="70"/>
      <c r="AI203" s="70"/>
      <c r="AJ203" s="70"/>
      <c r="AK203" s="70"/>
      <c r="AL203" s="70"/>
      <c r="AM203" s="70"/>
      <c r="AN203" s="70"/>
      <c r="AO203" s="70"/>
      <c r="AP203" s="70"/>
      <c r="AQ203" s="70"/>
      <c r="AR203" s="70"/>
      <c r="AS203" s="70"/>
      <c r="AT203" s="70"/>
      <c r="AU203" s="70"/>
      <c r="AV203" s="70"/>
      <c r="AW203" s="70"/>
      <c r="AX203" s="70"/>
      <c r="AY203" s="70"/>
      <c r="AZ203" s="70"/>
    </row>
    <row r="204" spans="1:52" x14ac:dyDescent="0.25">
      <c r="A204" s="69"/>
      <c r="B204" s="69"/>
      <c r="C204" s="70"/>
      <c r="D204" s="70"/>
      <c r="E204" s="70"/>
      <c r="F204" s="70"/>
      <c r="G204" s="70"/>
      <c r="H204" s="70"/>
      <c r="I204" s="70"/>
      <c r="J204" s="70"/>
      <c r="K204" s="70"/>
      <c r="L204" s="70"/>
      <c r="M204" s="70"/>
      <c r="N204" s="70"/>
      <c r="O204" s="70"/>
      <c r="P204" s="70"/>
      <c r="Q204" s="70"/>
      <c r="R204" s="70"/>
      <c r="S204" s="70"/>
      <c r="T204" s="70"/>
      <c r="U204" s="70"/>
      <c r="V204" s="70"/>
      <c r="W204" s="70"/>
      <c r="X204" s="70"/>
      <c r="Y204" s="70"/>
      <c r="Z204" s="70"/>
      <c r="AA204" s="70"/>
      <c r="AB204" s="70"/>
      <c r="AC204" s="70"/>
      <c r="AD204" s="70"/>
      <c r="AE204" s="70"/>
      <c r="AF204" s="70"/>
      <c r="AG204" s="70"/>
      <c r="AH204" s="70"/>
      <c r="AI204" s="70"/>
      <c r="AJ204" s="70"/>
      <c r="AK204" s="70"/>
      <c r="AL204" s="70"/>
      <c r="AM204" s="70"/>
      <c r="AN204" s="70"/>
      <c r="AO204" s="70"/>
      <c r="AP204" s="70"/>
      <c r="AQ204" s="70"/>
      <c r="AR204" s="70"/>
      <c r="AS204" s="70"/>
      <c r="AT204" s="70"/>
      <c r="AU204" s="70"/>
      <c r="AV204" s="70"/>
      <c r="AW204" s="70"/>
      <c r="AX204" s="70"/>
      <c r="AY204" s="70"/>
      <c r="AZ204" s="70"/>
    </row>
    <row r="205" spans="1:52" x14ac:dyDescent="0.25">
      <c r="A205" s="69"/>
      <c r="B205" s="69"/>
      <c r="C205" s="70"/>
      <c r="D205" s="70"/>
      <c r="E205" s="70"/>
      <c r="F205" s="70"/>
      <c r="G205" s="70"/>
      <c r="H205" s="70"/>
      <c r="I205" s="70"/>
      <c r="J205" s="70"/>
      <c r="K205" s="70"/>
      <c r="L205" s="70"/>
      <c r="M205" s="70"/>
      <c r="N205" s="70"/>
      <c r="O205" s="70"/>
      <c r="P205" s="70"/>
      <c r="Q205" s="70"/>
      <c r="R205" s="70"/>
      <c r="S205" s="70"/>
      <c r="T205" s="70"/>
      <c r="U205" s="70"/>
      <c r="V205" s="70"/>
      <c r="W205" s="70"/>
      <c r="X205" s="70"/>
      <c r="Y205" s="70"/>
      <c r="Z205" s="70"/>
      <c r="AA205" s="70"/>
      <c r="AB205" s="70"/>
      <c r="AC205" s="70"/>
      <c r="AD205" s="70"/>
      <c r="AE205" s="70"/>
      <c r="AF205" s="70"/>
      <c r="AG205" s="70"/>
      <c r="AH205" s="70"/>
      <c r="AI205" s="70"/>
      <c r="AJ205" s="70"/>
      <c r="AK205" s="70"/>
      <c r="AL205" s="70"/>
      <c r="AM205" s="70"/>
      <c r="AN205" s="70"/>
      <c r="AO205" s="70"/>
      <c r="AP205" s="70"/>
      <c r="AQ205" s="70"/>
      <c r="AR205" s="70"/>
      <c r="AS205" s="70"/>
      <c r="AT205" s="70"/>
      <c r="AU205" s="70"/>
      <c r="AV205" s="70"/>
      <c r="AW205" s="70"/>
      <c r="AX205" s="70"/>
      <c r="AY205" s="70"/>
      <c r="AZ205" s="70"/>
    </row>
    <row r="206" spans="1:52" x14ac:dyDescent="0.25">
      <c r="A206" s="69"/>
      <c r="B206" s="69"/>
      <c r="C206" s="70"/>
      <c r="D206" s="70"/>
      <c r="E206" s="70"/>
      <c r="F206" s="70"/>
      <c r="G206" s="70"/>
      <c r="H206" s="70"/>
      <c r="I206" s="70"/>
      <c r="J206" s="70"/>
      <c r="K206" s="70"/>
      <c r="L206" s="70"/>
      <c r="M206" s="70"/>
      <c r="N206" s="70"/>
      <c r="O206" s="70"/>
      <c r="P206" s="70"/>
      <c r="Q206" s="70"/>
      <c r="R206" s="70"/>
      <c r="S206" s="70"/>
      <c r="T206" s="70"/>
      <c r="U206" s="70"/>
      <c r="V206" s="70"/>
      <c r="W206" s="70"/>
      <c r="X206" s="70"/>
      <c r="Y206" s="70"/>
      <c r="Z206" s="70"/>
      <c r="AA206" s="70"/>
      <c r="AB206" s="70"/>
      <c r="AC206" s="70"/>
      <c r="AD206" s="70"/>
      <c r="AE206" s="70"/>
      <c r="AF206" s="70"/>
      <c r="AG206" s="70"/>
      <c r="AH206" s="70"/>
      <c r="AI206" s="70"/>
      <c r="AJ206" s="70"/>
      <c r="AK206" s="70"/>
      <c r="AL206" s="70"/>
      <c r="AM206" s="70"/>
      <c r="AN206" s="70"/>
      <c r="AO206" s="70"/>
      <c r="AP206" s="70"/>
      <c r="AQ206" s="70"/>
      <c r="AR206" s="70"/>
      <c r="AS206" s="70"/>
      <c r="AT206" s="70"/>
      <c r="AU206" s="70"/>
      <c r="AV206" s="70"/>
      <c r="AW206" s="70"/>
      <c r="AX206" s="70"/>
      <c r="AY206" s="70"/>
      <c r="AZ206" s="70"/>
    </row>
    <row r="207" spans="1:52" x14ac:dyDescent="0.25">
      <c r="A207" s="69"/>
      <c r="B207" s="69"/>
      <c r="C207" s="70"/>
      <c r="D207" s="70"/>
      <c r="E207" s="70"/>
      <c r="F207" s="70"/>
      <c r="G207" s="70"/>
      <c r="H207" s="70"/>
      <c r="I207" s="70"/>
      <c r="J207" s="70"/>
      <c r="K207" s="70"/>
      <c r="L207" s="70"/>
      <c r="M207" s="70"/>
      <c r="N207" s="70"/>
      <c r="O207" s="70"/>
      <c r="P207" s="70"/>
      <c r="Q207" s="70"/>
      <c r="R207" s="70"/>
      <c r="S207" s="70"/>
      <c r="T207" s="70"/>
      <c r="U207" s="70"/>
      <c r="V207" s="70"/>
      <c r="W207" s="70"/>
      <c r="X207" s="70"/>
      <c r="Y207" s="70"/>
      <c r="Z207" s="70"/>
      <c r="AA207" s="70"/>
      <c r="AB207" s="70"/>
      <c r="AC207" s="70"/>
      <c r="AD207" s="70"/>
      <c r="AE207" s="70"/>
      <c r="AF207" s="70"/>
      <c r="AG207" s="70"/>
      <c r="AH207" s="70"/>
      <c r="AI207" s="70"/>
      <c r="AJ207" s="70"/>
      <c r="AK207" s="70"/>
      <c r="AL207" s="70"/>
      <c r="AM207" s="70"/>
      <c r="AN207" s="70"/>
      <c r="AO207" s="70"/>
      <c r="AP207" s="70"/>
      <c r="AQ207" s="70"/>
      <c r="AR207" s="70"/>
      <c r="AS207" s="70"/>
      <c r="AT207" s="70"/>
      <c r="AU207" s="70"/>
      <c r="AV207" s="70"/>
      <c r="AW207" s="70"/>
      <c r="AX207" s="70"/>
      <c r="AY207" s="70"/>
      <c r="AZ207" s="70"/>
    </row>
    <row r="208" spans="1:52" x14ac:dyDescent="0.25">
      <c r="A208" s="69"/>
      <c r="B208" s="69"/>
      <c r="C208" s="70"/>
      <c r="D208" s="70"/>
      <c r="E208" s="70"/>
      <c r="F208" s="70"/>
      <c r="G208" s="70"/>
      <c r="H208" s="70"/>
      <c r="I208" s="70"/>
      <c r="J208" s="70"/>
      <c r="K208" s="70"/>
      <c r="L208" s="70"/>
      <c r="M208" s="70"/>
      <c r="N208" s="70"/>
      <c r="O208" s="70"/>
      <c r="P208" s="70"/>
      <c r="Q208" s="70"/>
      <c r="R208" s="70"/>
      <c r="S208" s="70"/>
      <c r="T208" s="70"/>
      <c r="U208" s="70"/>
      <c r="V208" s="70"/>
      <c r="W208" s="70"/>
      <c r="X208" s="70"/>
      <c r="Y208" s="70"/>
      <c r="Z208" s="70"/>
      <c r="AA208" s="70"/>
      <c r="AB208" s="70"/>
      <c r="AC208" s="70"/>
      <c r="AD208" s="70"/>
      <c r="AE208" s="70"/>
      <c r="AF208" s="70"/>
      <c r="AG208" s="70"/>
      <c r="AH208" s="70"/>
      <c r="AI208" s="70"/>
      <c r="AJ208" s="70"/>
      <c r="AK208" s="70"/>
      <c r="AL208" s="70"/>
      <c r="AM208" s="70"/>
      <c r="AN208" s="70"/>
      <c r="AO208" s="70"/>
      <c r="AP208" s="70"/>
      <c r="AQ208" s="70"/>
      <c r="AR208" s="70"/>
      <c r="AS208" s="70"/>
      <c r="AT208" s="70"/>
      <c r="AU208" s="70"/>
      <c r="AV208" s="70"/>
      <c r="AW208" s="70"/>
      <c r="AX208" s="70"/>
      <c r="AY208" s="70"/>
      <c r="AZ208" s="70"/>
    </row>
    <row r="209" spans="1:52" x14ac:dyDescent="0.25">
      <c r="A209" s="69"/>
      <c r="B209" s="69"/>
      <c r="C209" s="70"/>
      <c r="D209" s="70"/>
      <c r="E209" s="70"/>
      <c r="F209" s="70"/>
      <c r="G209" s="70"/>
      <c r="H209" s="70"/>
      <c r="I209" s="70"/>
      <c r="J209" s="70"/>
      <c r="K209" s="70"/>
      <c r="L209" s="70"/>
      <c r="M209" s="70"/>
      <c r="N209" s="70"/>
      <c r="O209" s="70"/>
      <c r="P209" s="70"/>
      <c r="Q209" s="70"/>
      <c r="R209" s="70"/>
      <c r="S209" s="70"/>
      <c r="T209" s="70"/>
      <c r="U209" s="70"/>
      <c r="V209" s="70"/>
      <c r="W209" s="70"/>
      <c r="X209" s="70"/>
      <c r="Y209" s="70"/>
      <c r="Z209" s="70"/>
      <c r="AA209" s="70"/>
      <c r="AB209" s="70"/>
      <c r="AC209" s="70"/>
      <c r="AD209" s="70"/>
      <c r="AE209" s="70"/>
      <c r="AF209" s="70"/>
      <c r="AG209" s="70"/>
      <c r="AH209" s="70"/>
      <c r="AI209" s="70"/>
      <c r="AJ209" s="70"/>
      <c r="AK209" s="70"/>
      <c r="AL209" s="70"/>
      <c r="AM209" s="70"/>
      <c r="AN209" s="70"/>
      <c r="AO209" s="70"/>
      <c r="AP209" s="70"/>
      <c r="AQ209" s="70"/>
      <c r="AR209" s="70"/>
      <c r="AS209" s="70"/>
      <c r="AT209" s="70"/>
      <c r="AU209" s="70"/>
      <c r="AV209" s="70"/>
      <c r="AW209" s="70"/>
      <c r="AX209" s="70"/>
      <c r="AY209" s="70"/>
      <c r="AZ209" s="70"/>
    </row>
    <row r="210" spans="1:52" x14ac:dyDescent="0.25">
      <c r="A210" s="69"/>
      <c r="B210" s="69"/>
      <c r="C210" s="70"/>
      <c r="D210" s="70"/>
      <c r="E210" s="70"/>
      <c r="F210" s="70"/>
      <c r="G210" s="70"/>
      <c r="H210" s="70"/>
      <c r="I210" s="70"/>
      <c r="J210" s="70"/>
      <c r="K210" s="70"/>
      <c r="L210" s="70"/>
      <c r="M210" s="70"/>
      <c r="N210" s="70"/>
      <c r="O210" s="70"/>
      <c r="P210" s="70"/>
      <c r="Q210" s="70"/>
      <c r="R210" s="70"/>
      <c r="S210" s="70"/>
      <c r="T210" s="70"/>
      <c r="U210" s="70"/>
      <c r="V210" s="70"/>
      <c r="W210" s="70"/>
      <c r="X210" s="70"/>
      <c r="Y210" s="70"/>
      <c r="Z210" s="70"/>
      <c r="AA210" s="70"/>
      <c r="AB210" s="70"/>
      <c r="AC210" s="70"/>
      <c r="AD210" s="70"/>
      <c r="AE210" s="70"/>
      <c r="AF210" s="70"/>
      <c r="AG210" s="70"/>
      <c r="AH210" s="70"/>
      <c r="AI210" s="70"/>
      <c r="AJ210" s="70"/>
      <c r="AK210" s="70"/>
      <c r="AL210" s="70"/>
      <c r="AM210" s="70"/>
      <c r="AN210" s="70"/>
      <c r="AO210" s="70"/>
      <c r="AP210" s="70"/>
      <c r="AQ210" s="70"/>
      <c r="AR210" s="70"/>
      <c r="AS210" s="70"/>
      <c r="AT210" s="70"/>
      <c r="AU210" s="70"/>
      <c r="AV210" s="70"/>
      <c r="AW210" s="70"/>
      <c r="AX210" s="70"/>
      <c r="AY210" s="70"/>
      <c r="AZ210" s="70"/>
    </row>
    <row r="211" spans="1:52" x14ac:dyDescent="0.25">
      <c r="A211" s="69"/>
      <c r="B211" s="69"/>
      <c r="C211" s="70"/>
      <c r="D211" s="70"/>
      <c r="E211" s="70"/>
      <c r="F211" s="70"/>
      <c r="G211" s="70"/>
      <c r="H211" s="70"/>
      <c r="I211" s="70"/>
      <c r="J211" s="70"/>
      <c r="K211" s="70"/>
      <c r="L211" s="70"/>
      <c r="M211" s="70"/>
      <c r="N211" s="70"/>
      <c r="O211" s="70"/>
      <c r="P211" s="70"/>
      <c r="Q211" s="70"/>
      <c r="R211" s="70"/>
      <c r="S211" s="70"/>
      <c r="T211" s="70"/>
      <c r="U211" s="70"/>
      <c r="V211" s="70"/>
      <c r="W211" s="70"/>
      <c r="X211" s="70"/>
      <c r="Y211" s="70"/>
      <c r="Z211" s="70"/>
      <c r="AA211" s="70"/>
      <c r="AB211" s="70"/>
      <c r="AC211" s="70"/>
      <c r="AD211" s="70"/>
      <c r="AE211" s="70"/>
      <c r="AF211" s="70"/>
      <c r="AG211" s="70"/>
      <c r="AH211" s="70"/>
      <c r="AI211" s="70"/>
      <c r="AJ211" s="70"/>
      <c r="AK211" s="70"/>
      <c r="AL211" s="70"/>
      <c r="AM211" s="70"/>
      <c r="AN211" s="70"/>
      <c r="AO211" s="70"/>
      <c r="AP211" s="70"/>
      <c r="AQ211" s="70"/>
      <c r="AR211" s="70"/>
      <c r="AS211" s="70"/>
      <c r="AT211" s="70"/>
      <c r="AU211" s="70"/>
      <c r="AV211" s="70"/>
      <c r="AW211" s="70"/>
      <c r="AX211" s="70"/>
      <c r="AY211" s="70"/>
      <c r="AZ211" s="70"/>
    </row>
    <row r="212" spans="1:52" x14ac:dyDescent="0.25">
      <c r="A212" s="69"/>
      <c r="B212" s="69"/>
      <c r="C212" s="70"/>
      <c r="D212" s="70"/>
      <c r="E212" s="70"/>
      <c r="F212" s="70"/>
      <c r="G212" s="70"/>
      <c r="H212" s="70"/>
      <c r="I212" s="70"/>
      <c r="J212" s="70"/>
      <c r="K212" s="70"/>
      <c r="L212" s="70"/>
      <c r="M212" s="70"/>
      <c r="N212" s="70"/>
      <c r="O212" s="70"/>
      <c r="P212" s="70"/>
      <c r="Q212" s="70"/>
      <c r="R212" s="70"/>
      <c r="S212" s="70"/>
      <c r="T212" s="70"/>
      <c r="U212" s="70"/>
      <c r="V212" s="70"/>
      <c r="W212" s="70"/>
      <c r="X212" s="70"/>
      <c r="Y212" s="70"/>
      <c r="Z212" s="70"/>
      <c r="AA212" s="70"/>
      <c r="AB212" s="70"/>
      <c r="AC212" s="70"/>
      <c r="AD212" s="70"/>
      <c r="AE212" s="70"/>
      <c r="AF212" s="70"/>
      <c r="AG212" s="70"/>
      <c r="AH212" s="70"/>
      <c r="AI212" s="70"/>
      <c r="AJ212" s="70"/>
      <c r="AK212" s="70"/>
      <c r="AL212" s="70"/>
      <c r="AM212" s="70"/>
      <c r="AN212" s="70"/>
      <c r="AO212" s="70"/>
      <c r="AP212" s="70"/>
      <c r="AQ212" s="70"/>
      <c r="AR212" s="70"/>
      <c r="AS212" s="70"/>
      <c r="AT212" s="70"/>
      <c r="AU212" s="70"/>
      <c r="AV212" s="70"/>
      <c r="AW212" s="70"/>
      <c r="AX212" s="70"/>
      <c r="AY212" s="70"/>
      <c r="AZ212" s="70"/>
    </row>
    <row r="213" spans="1:52" x14ac:dyDescent="0.25">
      <c r="A213" s="69"/>
      <c r="B213" s="69"/>
      <c r="C213" s="70"/>
      <c r="D213" s="70"/>
      <c r="E213" s="70"/>
      <c r="F213" s="70"/>
      <c r="G213" s="70"/>
      <c r="H213" s="70"/>
      <c r="I213" s="70"/>
      <c r="J213" s="70"/>
      <c r="K213" s="70"/>
      <c r="L213" s="70"/>
      <c r="M213" s="70"/>
      <c r="N213" s="70"/>
      <c r="O213" s="70"/>
      <c r="P213" s="70"/>
      <c r="Q213" s="70"/>
      <c r="R213" s="70"/>
      <c r="S213" s="70"/>
      <c r="T213" s="70"/>
      <c r="U213" s="70"/>
      <c r="V213" s="70"/>
      <c r="W213" s="70"/>
      <c r="X213" s="70"/>
      <c r="Y213" s="70"/>
      <c r="Z213" s="70"/>
      <c r="AA213" s="70"/>
      <c r="AB213" s="70"/>
      <c r="AC213" s="70"/>
      <c r="AD213" s="70"/>
      <c r="AE213" s="70"/>
      <c r="AF213" s="70"/>
      <c r="AG213" s="70"/>
      <c r="AH213" s="70"/>
      <c r="AI213" s="70"/>
      <c r="AJ213" s="70"/>
      <c r="AK213" s="70"/>
      <c r="AL213" s="70"/>
      <c r="AM213" s="70"/>
      <c r="AN213" s="70"/>
      <c r="AO213" s="70"/>
      <c r="AP213" s="70"/>
      <c r="AQ213" s="70"/>
      <c r="AR213" s="70"/>
      <c r="AS213" s="70"/>
      <c r="AT213" s="70"/>
      <c r="AU213" s="70"/>
      <c r="AV213" s="70"/>
      <c r="AW213" s="70"/>
      <c r="AX213" s="70"/>
      <c r="AY213" s="70"/>
      <c r="AZ213" s="70"/>
    </row>
    <row r="214" spans="1:52" x14ac:dyDescent="0.25">
      <c r="A214" s="69"/>
      <c r="B214" s="69"/>
      <c r="C214" s="70"/>
      <c r="D214" s="70"/>
      <c r="E214" s="70"/>
      <c r="F214" s="70"/>
      <c r="G214" s="70"/>
      <c r="H214" s="70"/>
      <c r="I214" s="70"/>
      <c r="J214" s="70"/>
      <c r="K214" s="70"/>
      <c r="L214" s="70"/>
      <c r="M214" s="70"/>
      <c r="N214" s="70"/>
      <c r="O214" s="70"/>
      <c r="P214" s="70"/>
      <c r="Q214" s="70"/>
      <c r="R214" s="70"/>
      <c r="S214" s="70"/>
      <c r="T214" s="70"/>
      <c r="U214" s="70"/>
      <c r="V214" s="70"/>
      <c r="W214" s="70"/>
      <c r="X214" s="70"/>
      <c r="Y214" s="70"/>
      <c r="Z214" s="70"/>
      <c r="AA214" s="70"/>
      <c r="AB214" s="70"/>
      <c r="AC214" s="70"/>
      <c r="AD214" s="70"/>
      <c r="AE214" s="70"/>
      <c r="AF214" s="70"/>
      <c r="AG214" s="70"/>
      <c r="AH214" s="70"/>
      <c r="AI214" s="70"/>
      <c r="AJ214" s="70"/>
      <c r="AK214" s="70"/>
      <c r="AL214" s="70"/>
      <c r="AM214" s="70"/>
      <c r="AN214" s="70"/>
      <c r="AO214" s="70"/>
      <c r="AP214" s="70"/>
      <c r="AQ214" s="70"/>
      <c r="AR214" s="70"/>
      <c r="AS214" s="70"/>
      <c r="AT214" s="70"/>
      <c r="AU214" s="70"/>
      <c r="AV214" s="70"/>
      <c r="AW214" s="70"/>
      <c r="AX214" s="70"/>
      <c r="AY214" s="70"/>
      <c r="AZ214" s="70"/>
    </row>
    <row r="215" spans="1:52" x14ac:dyDescent="0.25">
      <c r="A215" s="69"/>
      <c r="B215" s="69"/>
      <c r="C215" s="70"/>
      <c r="D215" s="70"/>
      <c r="E215" s="70"/>
      <c r="F215" s="70"/>
      <c r="G215" s="70"/>
      <c r="H215" s="70"/>
      <c r="I215" s="70"/>
      <c r="J215" s="70"/>
      <c r="K215" s="70"/>
      <c r="L215" s="70"/>
      <c r="M215" s="70"/>
      <c r="N215" s="70"/>
      <c r="O215" s="70"/>
      <c r="P215" s="70"/>
      <c r="Q215" s="70"/>
      <c r="R215" s="70"/>
      <c r="S215" s="70"/>
      <c r="T215" s="70"/>
      <c r="U215" s="70"/>
      <c r="V215" s="70"/>
      <c r="W215" s="70"/>
      <c r="X215" s="70"/>
      <c r="Y215" s="70"/>
      <c r="Z215" s="70"/>
      <c r="AA215" s="70"/>
      <c r="AB215" s="70"/>
      <c r="AC215" s="70"/>
      <c r="AD215" s="70"/>
      <c r="AE215" s="70"/>
      <c r="AF215" s="70"/>
      <c r="AG215" s="70"/>
      <c r="AH215" s="70"/>
      <c r="AI215" s="70"/>
      <c r="AJ215" s="70"/>
      <c r="AK215" s="70"/>
      <c r="AL215" s="70"/>
      <c r="AM215" s="70"/>
      <c r="AN215" s="70"/>
      <c r="AO215" s="70"/>
      <c r="AP215" s="70"/>
      <c r="AQ215" s="70"/>
      <c r="AR215" s="70"/>
      <c r="AS215" s="70"/>
      <c r="AT215" s="70"/>
      <c r="AU215" s="70"/>
      <c r="AV215" s="70"/>
      <c r="AW215" s="70"/>
      <c r="AX215" s="70"/>
      <c r="AY215" s="70"/>
      <c r="AZ215" s="70"/>
    </row>
    <row r="216" spans="1:52" x14ac:dyDescent="0.25">
      <c r="A216" s="69"/>
      <c r="B216" s="69"/>
      <c r="C216" s="70"/>
      <c r="D216" s="70"/>
      <c r="E216" s="70"/>
      <c r="F216" s="70"/>
      <c r="G216" s="70"/>
      <c r="H216" s="70"/>
      <c r="I216" s="70"/>
      <c r="J216" s="70"/>
      <c r="K216" s="70"/>
      <c r="L216" s="70"/>
      <c r="M216" s="70"/>
      <c r="N216" s="70"/>
      <c r="O216" s="70"/>
      <c r="P216" s="70"/>
      <c r="Q216" s="70"/>
      <c r="R216" s="70"/>
      <c r="S216" s="70"/>
      <c r="T216" s="70"/>
      <c r="U216" s="70"/>
      <c r="V216" s="70"/>
      <c r="W216" s="70"/>
      <c r="X216" s="70"/>
      <c r="Y216" s="70"/>
      <c r="Z216" s="70"/>
      <c r="AA216" s="70"/>
      <c r="AB216" s="70"/>
      <c r="AC216" s="70"/>
      <c r="AD216" s="70"/>
      <c r="AE216" s="70"/>
      <c r="AF216" s="70"/>
      <c r="AG216" s="70"/>
      <c r="AH216" s="70"/>
      <c r="AI216" s="70"/>
      <c r="AJ216" s="70"/>
      <c r="AK216" s="70"/>
      <c r="AL216" s="70"/>
      <c r="AM216" s="70"/>
      <c r="AN216" s="70"/>
      <c r="AO216" s="70"/>
      <c r="AP216" s="70"/>
      <c r="AQ216" s="70"/>
      <c r="AR216" s="70"/>
      <c r="AS216" s="70"/>
      <c r="AT216" s="70"/>
      <c r="AU216" s="70"/>
      <c r="AV216" s="70"/>
      <c r="AW216" s="70"/>
      <c r="AX216" s="70"/>
      <c r="AY216" s="70"/>
      <c r="AZ216" s="70"/>
    </row>
    <row r="217" spans="1:52" x14ac:dyDescent="0.25">
      <c r="A217" s="69"/>
      <c r="B217" s="69"/>
      <c r="C217" s="70"/>
      <c r="D217" s="70"/>
      <c r="E217" s="70"/>
      <c r="F217" s="70"/>
      <c r="G217" s="70"/>
      <c r="H217" s="70"/>
      <c r="I217" s="70"/>
      <c r="J217" s="70"/>
      <c r="K217" s="70"/>
      <c r="L217" s="70"/>
      <c r="M217" s="70"/>
      <c r="N217" s="70"/>
      <c r="O217" s="70"/>
      <c r="P217" s="70"/>
      <c r="Q217" s="70"/>
      <c r="R217" s="70"/>
      <c r="S217" s="70"/>
      <c r="T217" s="70"/>
      <c r="U217" s="70"/>
      <c r="V217" s="70"/>
      <c r="W217" s="70"/>
      <c r="X217" s="70"/>
      <c r="Y217" s="70"/>
      <c r="Z217" s="70"/>
      <c r="AA217" s="70"/>
      <c r="AB217" s="70"/>
      <c r="AC217" s="70"/>
      <c r="AD217" s="70"/>
      <c r="AE217" s="70"/>
      <c r="AF217" s="70"/>
      <c r="AG217" s="70"/>
      <c r="AH217" s="70"/>
      <c r="AI217" s="70"/>
      <c r="AJ217" s="70"/>
      <c r="AK217" s="70"/>
      <c r="AL217" s="70"/>
      <c r="AM217" s="70"/>
      <c r="AN217" s="70"/>
      <c r="AO217" s="70"/>
      <c r="AP217" s="70"/>
      <c r="AQ217" s="70"/>
      <c r="AR217" s="70"/>
      <c r="AS217" s="70"/>
      <c r="AT217" s="70"/>
      <c r="AU217" s="70"/>
      <c r="AV217" s="70"/>
      <c r="AW217" s="70"/>
      <c r="AX217" s="70"/>
      <c r="AY217" s="70"/>
      <c r="AZ217" s="70"/>
    </row>
    <row r="218" spans="1:52" x14ac:dyDescent="0.25">
      <c r="A218" s="69"/>
      <c r="B218" s="69"/>
      <c r="C218" s="70"/>
      <c r="D218" s="70"/>
      <c r="E218" s="70"/>
      <c r="F218" s="70"/>
      <c r="G218" s="70"/>
      <c r="H218" s="70"/>
      <c r="I218" s="70"/>
      <c r="J218" s="70"/>
      <c r="K218" s="70"/>
      <c r="L218" s="70"/>
      <c r="M218" s="70"/>
      <c r="N218" s="70"/>
      <c r="O218" s="70"/>
      <c r="P218" s="70"/>
      <c r="Q218" s="70"/>
      <c r="R218" s="70"/>
      <c r="S218" s="70"/>
      <c r="T218" s="70"/>
      <c r="U218" s="70"/>
      <c r="V218" s="70"/>
      <c r="W218" s="70"/>
      <c r="X218" s="70"/>
      <c r="Y218" s="70"/>
      <c r="Z218" s="70"/>
      <c r="AA218" s="70"/>
      <c r="AB218" s="70"/>
      <c r="AC218" s="70"/>
      <c r="AD218" s="70"/>
      <c r="AE218" s="70"/>
      <c r="AF218" s="70"/>
      <c r="AG218" s="70"/>
      <c r="AH218" s="70"/>
      <c r="AI218" s="70"/>
      <c r="AJ218" s="70"/>
      <c r="AK218" s="70"/>
      <c r="AL218" s="70"/>
      <c r="AM218" s="70"/>
      <c r="AN218" s="70"/>
      <c r="AO218" s="70"/>
      <c r="AP218" s="70"/>
      <c r="AQ218" s="70"/>
      <c r="AR218" s="70"/>
      <c r="AS218" s="70"/>
      <c r="AT218" s="70"/>
      <c r="AU218" s="70"/>
      <c r="AV218" s="70"/>
      <c r="AW218" s="70"/>
      <c r="AX218" s="70"/>
      <c r="AY218" s="70"/>
      <c r="AZ218" s="70"/>
    </row>
    <row r="219" spans="1:52" x14ac:dyDescent="0.25">
      <c r="A219" s="69"/>
      <c r="B219" s="69"/>
      <c r="C219" s="70"/>
      <c r="D219" s="70"/>
      <c r="E219" s="70"/>
      <c r="F219" s="70"/>
      <c r="G219" s="70"/>
      <c r="H219" s="70"/>
      <c r="I219" s="70"/>
      <c r="J219" s="70"/>
      <c r="K219" s="70"/>
      <c r="L219" s="70"/>
      <c r="M219" s="70"/>
      <c r="N219" s="70"/>
      <c r="O219" s="70"/>
      <c r="P219" s="70"/>
      <c r="Q219" s="70"/>
      <c r="R219" s="70"/>
      <c r="S219" s="70"/>
      <c r="T219" s="70"/>
      <c r="U219" s="70"/>
      <c r="V219" s="70"/>
      <c r="W219" s="70"/>
      <c r="X219" s="70"/>
      <c r="Y219" s="70"/>
      <c r="Z219" s="70"/>
      <c r="AA219" s="70"/>
      <c r="AB219" s="70"/>
      <c r="AC219" s="70"/>
      <c r="AD219" s="70"/>
      <c r="AE219" s="70"/>
      <c r="AF219" s="70"/>
      <c r="AG219" s="70"/>
      <c r="AH219" s="70"/>
      <c r="AI219" s="70"/>
      <c r="AJ219" s="70"/>
      <c r="AK219" s="70"/>
      <c r="AL219" s="70"/>
      <c r="AM219" s="70"/>
      <c r="AN219" s="70"/>
      <c r="AO219" s="70"/>
      <c r="AP219" s="70"/>
      <c r="AQ219" s="70"/>
      <c r="AR219" s="70"/>
      <c r="AS219" s="70"/>
      <c r="AT219" s="70"/>
      <c r="AU219" s="70"/>
      <c r="AV219" s="70"/>
      <c r="AW219" s="70"/>
      <c r="AX219" s="70"/>
      <c r="AY219" s="70"/>
      <c r="AZ219" s="70"/>
    </row>
    <row r="220" spans="1:52" x14ac:dyDescent="0.25">
      <c r="A220" s="69"/>
      <c r="B220" s="69"/>
      <c r="C220" s="70"/>
      <c r="D220" s="70"/>
      <c r="E220" s="70"/>
      <c r="F220" s="70"/>
      <c r="G220" s="70"/>
      <c r="H220" s="70"/>
      <c r="I220" s="70"/>
      <c r="J220" s="70"/>
      <c r="K220" s="70"/>
      <c r="L220" s="70"/>
      <c r="M220" s="70"/>
      <c r="N220" s="70"/>
      <c r="O220" s="70"/>
      <c r="P220" s="70"/>
      <c r="Q220" s="70"/>
      <c r="R220" s="70"/>
      <c r="S220" s="70"/>
      <c r="T220" s="70"/>
      <c r="U220" s="70"/>
      <c r="V220" s="70"/>
      <c r="W220" s="70"/>
      <c r="X220" s="70"/>
      <c r="Y220" s="70"/>
      <c r="Z220" s="70"/>
      <c r="AA220" s="70"/>
      <c r="AB220" s="70"/>
      <c r="AC220" s="70"/>
      <c r="AD220" s="70"/>
      <c r="AE220" s="70"/>
      <c r="AF220" s="70"/>
      <c r="AG220" s="70"/>
      <c r="AH220" s="70"/>
      <c r="AI220" s="70"/>
      <c r="AJ220" s="70"/>
      <c r="AK220" s="70"/>
      <c r="AL220" s="70"/>
      <c r="AM220" s="70"/>
      <c r="AN220" s="70"/>
      <c r="AO220" s="70"/>
      <c r="AP220" s="70"/>
      <c r="AQ220" s="70"/>
      <c r="AR220" s="70"/>
      <c r="AS220" s="70"/>
      <c r="AT220" s="70"/>
      <c r="AU220" s="70"/>
      <c r="AV220" s="70"/>
      <c r="AW220" s="70"/>
      <c r="AX220" s="70"/>
      <c r="AY220" s="70"/>
      <c r="AZ220" s="70"/>
    </row>
    <row r="221" spans="1:52" x14ac:dyDescent="0.25">
      <c r="A221" s="69"/>
      <c r="B221" s="69"/>
      <c r="C221" s="70"/>
      <c r="D221" s="70"/>
      <c r="E221" s="70"/>
      <c r="F221" s="70"/>
      <c r="G221" s="70"/>
      <c r="H221" s="70"/>
      <c r="I221" s="70"/>
      <c r="J221" s="70"/>
      <c r="K221" s="70"/>
      <c r="L221" s="70"/>
      <c r="M221" s="70"/>
      <c r="N221" s="70"/>
      <c r="O221" s="70"/>
      <c r="P221" s="70"/>
      <c r="Q221" s="70"/>
      <c r="R221" s="70"/>
      <c r="S221" s="70"/>
      <c r="T221" s="70"/>
      <c r="U221" s="70"/>
      <c r="V221" s="70"/>
      <c r="W221" s="70"/>
    </row>
  </sheetData>
  <conditionalFormatting sqref="U5:U120">
    <cfRule type="cellIs" dxfId="2" priority="1" stopIfTrue="1" operator="equal">
      <formula>"Anexado"</formula>
    </cfRule>
    <cfRule type="cellIs" dxfId="1" priority="2" stopIfTrue="1" operator="equal">
      <formula>"Pendente"</formula>
    </cfRule>
    <cfRule type="cellIs" dxfId="0" priority="3" stopIfTrue="1" operator="equal">
      <formula>"Ausente"</formula>
    </cfRule>
  </conditionalFormatting>
  <hyperlinks>
    <hyperlink ref="V5" location="'Controle'!A3" display="Controle nº 265, 269"/>
    <hyperlink ref="V6" location="'Controle'!A3" display="Controle nº 249, 253, 258, 260, 263, 268"/>
    <hyperlink ref="V7" location="'Controle'!A3" display="Controle nº 270"/>
    <hyperlink ref="V8" location="'Controle'!A3" display="Controle nº 251, 257, 262"/>
    <hyperlink ref="V9" location="'Controle'!A3" display="Controle nº 250, 254, 266, 271"/>
    <hyperlink ref="V10" location="'Controle'!A3" display="Controle nº 255, 264"/>
    <hyperlink ref="V11" location="'Controle'!A3" display="Controle nº 248, 252, 256, 259, 261, 267"/>
    <hyperlink ref="V12" location="'Controle'!A3" display="Controle nº 1, 2, 3, 4, 5, 6, 7, 8, 9, 10, 12, 13, 14, 15, 16, 17, 18, 19, 20, 21, 22, 23, 24, 25, 26, 27, 28, 29, 30, 31, 32, 34, 35, 36, 37, 38, 39, 40, 41, 42, 43, 44, 45, 46, 47, 48, 49, 50, 51, 52, 53, 54, 55, 56, 57, 58, 59, 60, 61, 62, 63, 64, 65, 66, 67, 68, 69, 70, 71, 72, 73, 74, 75, 76, 77, 78, 79, 80, 81, 82"/>
    <hyperlink ref="V14" location="'Controle'!A3" display="Controle nº 11, 33"/>
    <hyperlink ref="V15" location="'Controle'!A3" display="Controle nº 91, 93, 94, 95, 96"/>
    <hyperlink ref="V19" location="'Controle'!A3" display="Controle nº 90"/>
    <hyperlink ref="V22" location="'Controle'!A3" display="Controle nº 92"/>
    <hyperlink ref="V26" location="'Controle'!A3" display="Controle nº 211, 225, 244, 246"/>
    <hyperlink ref="V27" location="'Controle'!A3" display="Controle nº 213, 214, 215, 216, 217, 219, 221, 222, 224, 226, 227, 228, 229, 230, 231, 232, 233, 234, 236, 237, 238, 239, 240, 241, 242, 243, 245"/>
    <hyperlink ref="V29" location="'Controle'!A3" display="Controle nº 212, 218, 220, 223, 235"/>
    <hyperlink ref="V32" location="'Controle'!A3" display="Controle nº 247"/>
    <hyperlink ref="V36" location="'Controle'!A3" display="Controle nº 97, 98, 99, 100, 101, 102, 103, 104, 105, 106, 107, 108, 109, 110, 111, 112, 113, 114, 115, 116, 117, 118, 119, 120, 121, 122, 123, 124, 125, 126, 127, 128, 129, 130, 131, 132, 133, 134, 135, 136, 137, 138, 139, 140, 141, 142, 143, 144, 145, 146, 147, 148, 149, 150, 151, 152, 153, 154, 155, 156, 157, 158, 159, 160, 161, 162, 163, 164, 165, 166, 167, 168, 169, 170, 171, 172, 173, 174, 175, 176, 177, 178, 179, 180, 181, 182, 183, 184, 185, 186, 187, 188, 189, 190, 191, 192, 193, 194, 195, 196, 197, 198, 199, 200, 201, 202, 203, 204, 205, 206, 207, 208, 209, 210"/>
    <hyperlink ref="V37" location="'Controle'!A3" display="Controle nº 83, 84, 85, 86, 87"/>
    <hyperlink ref="V41" location="'Controle'!A3" display="Controle nº 88, 89"/>
    <hyperlink ref="V42" location="'Controle'!A3" display="Controle nº 303, 304, 305, 306, 307"/>
    <hyperlink ref="V50" location="'Controle'!A3" display="Controle nº 276, 281, 285, 286, 288, 290, 291, 292, 295, 297, 298, 299, 302"/>
    <hyperlink ref="V53" location="'Controle'!A3" display="Controle nº 272, 273, 274, 275, 277, 278, 279, 280, 282, 283, 284, 287, 289, 293, 294, 296, 300, 301"/>
    <hyperlink ref="U5" location="'Controle'!A3" display="Anexado"/>
    <hyperlink ref="U6" location="'Controle'!A3" display="Anexado"/>
    <hyperlink ref="U7" location="'Controle'!A3" display="Anexado"/>
    <hyperlink ref="U8" location="'Controle'!A3" display="Anexado"/>
    <hyperlink ref="U9" location="'Controle'!A3" display="Anexado"/>
    <hyperlink ref="U10" location="'Controle'!A3" display="Anexado"/>
    <hyperlink ref="U11" location="'Controle'!A3" display="Anexado"/>
    <hyperlink ref="U12" location="'Controle'!A3" display="Anexado"/>
    <hyperlink ref="U14" location="'Controle'!A3" display="Anexado"/>
    <hyperlink ref="U15" location="'Controle'!A3" display="Anexado"/>
    <hyperlink ref="U19" location="'Controle'!A3" display="Anexado"/>
    <hyperlink ref="U22" location="'Controle'!A3" display="Anexado"/>
    <hyperlink ref="U26" location="'Controle'!A3" display="Anexado"/>
    <hyperlink ref="U27" location="'Controle'!A3" display="Anexado"/>
    <hyperlink ref="U29" location="'Controle'!A3" display="Anexado"/>
    <hyperlink ref="U32" location="'Controle'!A3" display="Anexado"/>
    <hyperlink ref="U36" location="'Controle'!A3" display="Anexado"/>
    <hyperlink ref="U37" location="'Controle'!A3" display="Anexado"/>
    <hyperlink ref="U41" location="'Controle'!A3" display="Anexado"/>
    <hyperlink ref="U42" location="'Controle'!A3" display="Anexado"/>
    <hyperlink ref="U50" location="'Controle'!A3" display="Anexado"/>
    <hyperlink ref="U53" location="'Controle'!A3" display="Anexado"/>
  </hyperlinks>
  <pageMargins left="0.75" right="0.75" top="1" bottom="1" header="0.5" footer="0.5"/>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filterMode="1">
    <tabColor rgb="FF7DD3FC"/>
  </sheetPr>
  <dimension ref="A1:BA311"/>
  <sheetViews>
    <sheetView showGridLines="0" zoomScaleNormal="100" workbookViewId="0">
      <pane ySplit="3" topLeftCell="A64" activePane="bottomLeft" state="frozen"/>
      <selection pane="bottomLeft" activeCell="A3" sqref="A3"/>
    </sheetView>
  </sheetViews>
  <sheetFormatPr defaultColWidth="9.140625" defaultRowHeight="14.25" x14ac:dyDescent="0.25"/>
  <cols>
    <col min="1" max="1" width="44.42578125" style="72" bestFit="1" customWidth="1"/>
    <col min="2" max="2" width="23.140625" style="68" bestFit="1" customWidth="1"/>
    <col min="3" max="3" width="47.85546875" style="68" bestFit="1" customWidth="1"/>
    <col min="4" max="4" width="17" style="73" bestFit="1" customWidth="1"/>
    <col min="5" max="5" width="14.42578125" style="237" bestFit="1" customWidth="1"/>
    <col min="6" max="6" width="13" style="68" bestFit="1" customWidth="1"/>
    <col min="7" max="7" width="126.140625" style="68" bestFit="1" customWidth="1"/>
    <col min="8" max="8" width="71.28515625" style="68" bestFit="1" customWidth="1"/>
    <col min="9" max="9" width="35" style="68" customWidth="1"/>
    <col min="10" max="53" width="9.140625" style="74" customWidth="1"/>
    <col min="54" max="16384" width="9.140625" style="74"/>
  </cols>
  <sheetData>
    <row r="1" spans="1:53" ht="24" customHeight="1" x14ac:dyDescent="0.25">
      <c r="A1" s="75" t="s">
        <v>113</v>
      </c>
      <c r="B1" s="70"/>
      <c r="C1" s="70"/>
      <c r="D1" s="76"/>
      <c r="E1" s="235"/>
      <c r="F1" s="70"/>
      <c r="G1" s="70"/>
      <c r="H1" s="70"/>
      <c r="I1" s="70"/>
      <c r="J1" s="77"/>
      <c r="K1" s="77"/>
      <c r="L1" s="77"/>
      <c r="M1" s="77"/>
      <c r="N1" s="77"/>
      <c r="O1" s="77"/>
      <c r="P1" s="77"/>
      <c r="Q1" s="77"/>
      <c r="R1" s="77"/>
      <c r="S1" s="77"/>
      <c r="T1" s="77"/>
      <c r="U1" s="77"/>
      <c r="V1" s="77"/>
      <c r="W1" s="77"/>
      <c r="X1" s="77"/>
      <c r="Y1" s="77"/>
      <c r="Z1" s="77"/>
      <c r="AA1" s="77"/>
      <c r="AB1" s="77"/>
      <c r="AC1" s="77"/>
      <c r="AD1" s="77"/>
      <c r="AE1" s="77"/>
      <c r="AF1" s="77"/>
      <c r="AG1" s="77"/>
      <c r="AH1" s="77"/>
      <c r="AI1" s="77"/>
      <c r="AJ1" s="77"/>
      <c r="AK1" s="77"/>
      <c r="AL1" s="77"/>
      <c r="AM1" s="77"/>
      <c r="AN1" s="77"/>
      <c r="AO1" s="77"/>
      <c r="AP1" s="77"/>
      <c r="AQ1" s="77"/>
      <c r="AR1" s="77"/>
      <c r="AS1" s="77"/>
      <c r="AT1" s="77"/>
      <c r="AU1" s="77"/>
      <c r="AV1" s="77"/>
      <c r="AW1" s="77"/>
      <c r="AX1" s="77"/>
      <c r="AY1" s="77"/>
      <c r="AZ1" s="77"/>
      <c r="BA1" s="77"/>
    </row>
    <row r="2" spans="1:53" x14ac:dyDescent="0.25">
      <c r="A2" s="75"/>
      <c r="B2" s="70"/>
      <c r="C2" s="70"/>
      <c r="D2" s="76"/>
      <c r="E2" s="235"/>
      <c r="F2" s="70"/>
      <c r="G2" s="70"/>
      <c r="H2" s="70"/>
      <c r="I2" s="70"/>
      <c r="J2" s="77"/>
      <c r="K2" s="77"/>
      <c r="L2" s="77"/>
      <c r="M2" s="77"/>
      <c r="N2" s="77"/>
      <c r="O2" s="77"/>
      <c r="P2" s="77"/>
      <c r="Q2" s="77"/>
      <c r="R2" s="77"/>
      <c r="S2" s="77"/>
      <c r="T2" s="77"/>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c r="AX2" s="77"/>
      <c r="AY2" s="77"/>
      <c r="AZ2" s="77"/>
      <c r="BA2" s="77"/>
    </row>
    <row r="3" spans="1:53" x14ac:dyDescent="0.25">
      <c r="A3" s="103" t="s">
        <v>114</v>
      </c>
      <c r="B3" s="90" t="s">
        <v>1</v>
      </c>
      <c r="C3" s="90" t="s">
        <v>115</v>
      </c>
      <c r="D3" s="104" t="s">
        <v>116</v>
      </c>
      <c r="E3" s="236" t="s">
        <v>117</v>
      </c>
      <c r="F3" s="90" t="s">
        <v>118</v>
      </c>
      <c r="G3" s="90" t="s">
        <v>119</v>
      </c>
      <c r="H3" s="90" t="s">
        <v>120</v>
      </c>
      <c r="I3" s="91" t="s">
        <v>121</v>
      </c>
      <c r="J3" s="77"/>
      <c r="K3" s="77"/>
      <c r="L3" s="77"/>
      <c r="M3" s="77"/>
      <c r="N3" s="77"/>
      <c r="O3" s="77"/>
      <c r="P3" s="77"/>
      <c r="Q3" s="77"/>
      <c r="R3" s="77"/>
      <c r="S3" s="77"/>
      <c r="T3" s="77"/>
      <c r="U3" s="77"/>
      <c r="V3" s="77"/>
      <c r="W3" s="77"/>
      <c r="X3" s="77"/>
      <c r="Y3" s="77"/>
      <c r="Z3" s="77"/>
      <c r="AA3" s="77"/>
      <c r="AB3" s="77"/>
      <c r="AC3" s="77"/>
      <c r="AD3" s="77"/>
      <c r="AE3" s="77"/>
      <c r="AF3" s="77"/>
      <c r="AG3" s="77"/>
      <c r="AH3" s="77"/>
      <c r="AI3" s="77"/>
      <c r="AJ3" s="77"/>
      <c r="AK3" s="77"/>
      <c r="AL3" s="77"/>
      <c r="AM3" s="77"/>
      <c r="AN3" s="77"/>
      <c r="AO3" s="77"/>
      <c r="AP3" s="77"/>
      <c r="AQ3" s="77"/>
      <c r="AR3" s="77"/>
      <c r="AS3" s="77"/>
      <c r="AT3" s="77"/>
      <c r="AU3" s="77"/>
      <c r="AV3" s="77"/>
      <c r="AW3" s="77"/>
      <c r="AX3" s="77"/>
      <c r="AY3" s="77"/>
      <c r="AZ3" s="77"/>
      <c r="BA3" s="77"/>
    </row>
    <row r="4" spans="1:53" s="32" customFormat="1" hidden="1" x14ac:dyDescent="0.25">
      <c r="A4" s="52">
        <v>1</v>
      </c>
      <c r="B4" s="53" t="s">
        <v>122</v>
      </c>
      <c r="C4" s="54" t="s">
        <v>123</v>
      </c>
      <c r="D4" s="55" t="s">
        <v>124</v>
      </c>
      <c r="E4" s="65">
        <v>31.61</v>
      </c>
      <c r="F4" s="53" t="s">
        <v>26</v>
      </c>
      <c r="G4" s="62" t="s">
        <v>125</v>
      </c>
      <c r="H4" s="53" t="s">
        <v>126</v>
      </c>
      <c r="I4" s="53" t="s">
        <v>127</v>
      </c>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row>
    <row r="5" spans="1:53" s="32" customFormat="1" hidden="1" x14ac:dyDescent="0.25">
      <c r="A5" s="52">
        <v>2</v>
      </c>
      <c r="B5" s="53" t="s">
        <v>122</v>
      </c>
      <c r="C5" s="54" t="s">
        <v>128</v>
      </c>
      <c r="D5" s="55" t="s">
        <v>124</v>
      </c>
      <c r="E5" s="65">
        <v>27.76</v>
      </c>
      <c r="F5" s="53" t="s">
        <v>26</v>
      </c>
      <c r="G5" s="62" t="s">
        <v>129</v>
      </c>
      <c r="H5" s="53" t="s">
        <v>126</v>
      </c>
      <c r="I5" s="53" t="s">
        <v>130</v>
      </c>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row>
    <row r="6" spans="1:53" s="32" customFormat="1" hidden="1" x14ac:dyDescent="0.25">
      <c r="A6" s="52">
        <v>3</v>
      </c>
      <c r="B6" s="53" t="s">
        <v>122</v>
      </c>
      <c r="C6" s="54" t="s">
        <v>131</v>
      </c>
      <c r="D6" s="55" t="s">
        <v>124</v>
      </c>
      <c r="E6" s="65">
        <v>63.49</v>
      </c>
      <c r="F6" s="53" t="s">
        <v>26</v>
      </c>
      <c r="G6" s="62" t="s">
        <v>132</v>
      </c>
      <c r="H6" s="53" t="s">
        <v>133</v>
      </c>
      <c r="I6" s="56" t="s">
        <v>134</v>
      </c>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row>
    <row r="7" spans="1:53" s="32" customFormat="1" hidden="1" x14ac:dyDescent="0.25">
      <c r="A7" s="52">
        <v>4</v>
      </c>
      <c r="B7" s="53" t="s">
        <v>122</v>
      </c>
      <c r="C7" s="54" t="s">
        <v>128</v>
      </c>
      <c r="D7" s="55" t="s">
        <v>124</v>
      </c>
      <c r="E7" s="65">
        <v>37.15</v>
      </c>
      <c r="F7" s="53" t="s">
        <v>26</v>
      </c>
      <c r="G7" s="62" t="s">
        <v>135</v>
      </c>
      <c r="H7" s="53" t="s">
        <v>136</v>
      </c>
      <c r="I7" s="53" t="s">
        <v>137</v>
      </c>
      <c r="J7" s="31"/>
      <c r="K7" s="31"/>
      <c r="L7" s="31"/>
      <c r="M7" s="31"/>
      <c r="N7" s="31"/>
      <c r="O7" s="31"/>
      <c r="P7" s="31"/>
      <c r="Q7" s="31"/>
      <c r="R7" s="31"/>
      <c r="S7" s="31"/>
      <c r="T7" s="31"/>
      <c r="U7" s="31"/>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row>
    <row r="8" spans="1:53" s="32" customFormat="1" hidden="1" x14ac:dyDescent="0.25">
      <c r="A8" s="52">
        <v>5</v>
      </c>
      <c r="B8" s="53" t="s">
        <v>122</v>
      </c>
      <c r="C8" s="54" t="s">
        <v>138</v>
      </c>
      <c r="D8" s="55" t="s">
        <v>124</v>
      </c>
      <c r="E8" s="65">
        <v>59.99</v>
      </c>
      <c r="F8" s="53" t="s">
        <v>26</v>
      </c>
      <c r="G8" s="62" t="s">
        <v>139</v>
      </c>
      <c r="H8" s="53" t="s">
        <v>140</v>
      </c>
      <c r="I8" s="56" t="s">
        <v>141</v>
      </c>
      <c r="J8" s="31"/>
      <c r="K8" s="31"/>
      <c r="L8" s="31"/>
      <c r="M8" s="31"/>
      <c r="N8" s="31"/>
      <c r="O8" s="31"/>
      <c r="P8" s="31"/>
      <c r="Q8" s="31"/>
      <c r="R8" s="31"/>
      <c r="S8" s="31"/>
      <c r="T8" s="31"/>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row>
    <row r="9" spans="1:53" s="32" customFormat="1" hidden="1" x14ac:dyDescent="0.25">
      <c r="A9" s="52">
        <v>6</v>
      </c>
      <c r="B9" s="53" t="s">
        <v>122</v>
      </c>
      <c r="C9" s="54" t="s">
        <v>138</v>
      </c>
      <c r="D9" s="55" t="s">
        <v>124</v>
      </c>
      <c r="E9" s="65">
        <v>84.24</v>
      </c>
      <c r="F9" s="53" t="s">
        <v>26</v>
      </c>
      <c r="G9" s="62" t="s">
        <v>142</v>
      </c>
      <c r="H9" s="53" t="s">
        <v>140</v>
      </c>
      <c r="I9" s="53" t="s">
        <v>143</v>
      </c>
      <c r="J9" s="31"/>
      <c r="K9" s="31"/>
      <c r="L9" s="31"/>
      <c r="M9" s="31"/>
      <c r="N9" s="31"/>
      <c r="O9" s="31"/>
      <c r="P9" s="31"/>
      <c r="Q9" s="31"/>
      <c r="R9" s="31"/>
      <c r="S9" s="31"/>
      <c r="T9" s="31"/>
      <c r="U9" s="31"/>
      <c r="V9" s="31"/>
      <c r="W9" s="31"/>
      <c r="X9" s="31"/>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1"/>
      <c r="AY9" s="31"/>
      <c r="AZ9" s="31"/>
      <c r="BA9" s="31"/>
    </row>
    <row r="10" spans="1:53" s="32" customFormat="1" hidden="1" x14ac:dyDescent="0.25">
      <c r="A10" s="52">
        <v>7</v>
      </c>
      <c r="B10" s="53" t="s">
        <v>122</v>
      </c>
      <c r="C10" s="54" t="s">
        <v>144</v>
      </c>
      <c r="D10" s="55" t="s">
        <v>124</v>
      </c>
      <c r="E10" s="65">
        <v>54.95</v>
      </c>
      <c r="F10" s="53" t="s">
        <v>26</v>
      </c>
      <c r="G10" s="62" t="s">
        <v>145</v>
      </c>
      <c r="H10" s="53" t="s">
        <v>140</v>
      </c>
      <c r="I10" s="53" t="s">
        <v>146</v>
      </c>
      <c r="J10" s="31"/>
      <c r="K10" s="31"/>
      <c r="L10" s="31"/>
      <c r="M10" s="31"/>
      <c r="N10" s="31"/>
      <c r="O10" s="31"/>
      <c r="P10" s="31"/>
      <c r="Q10" s="31"/>
      <c r="R10" s="31"/>
      <c r="S10" s="31"/>
      <c r="T10" s="31"/>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row>
    <row r="11" spans="1:53" s="32" customFormat="1" hidden="1" x14ac:dyDescent="0.25">
      <c r="A11" s="52">
        <v>8</v>
      </c>
      <c r="B11" s="53" t="s">
        <v>122</v>
      </c>
      <c r="C11" s="54" t="s">
        <v>147</v>
      </c>
      <c r="D11" s="55" t="s">
        <v>124</v>
      </c>
      <c r="E11" s="65">
        <v>56.48</v>
      </c>
      <c r="F11" s="53" t="s">
        <v>26</v>
      </c>
      <c r="G11" s="62" t="s">
        <v>148</v>
      </c>
      <c r="H11" s="53" t="s">
        <v>149</v>
      </c>
      <c r="I11" s="53" t="s">
        <v>150</v>
      </c>
      <c r="J11" s="31"/>
      <c r="K11" s="31"/>
      <c r="L11" s="31"/>
      <c r="M11" s="31"/>
      <c r="N11" s="31"/>
      <c r="O11" s="31"/>
      <c r="P11" s="31"/>
      <c r="Q11" s="31"/>
      <c r="R11" s="31"/>
      <c r="S11" s="31"/>
      <c r="T11" s="31"/>
      <c r="U11" s="31"/>
      <c r="V11" s="31"/>
      <c r="W11" s="31"/>
      <c r="X11" s="31"/>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row>
    <row r="12" spans="1:53" s="32" customFormat="1" hidden="1" x14ac:dyDescent="0.25">
      <c r="A12" s="52">
        <v>9</v>
      </c>
      <c r="B12" s="53" t="s">
        <v>122</v>
      </c>
      <c r="C12" s="54" t="s">
        <v>151</v>
      </c>
      <c r="D12" s="55" t="s">
        <v>124</v>
      </c>
      <c r="E12" s="65">
        <v>424.8</v>
      </c>
      <c r="F12" s="53" t="s">
        <v>26</v>
      </c>
      <c r="G12" s="62" t="s">
        <v>152</v>
      </c>
      <c r="H12" s="53" t="s">
        <v>153</v>
      </c>
      <c r="I12" s="53" t="s">
        <v>154</v>
      </c>
      <c r="J12" s="31"/>
      <c r="K12" s="31"/>
      <c r="L12" s="31"/>
      <c r="M12" s="31"/>
      <c r="N12" s="31"/>
      <c r="O12" s="31"/>
      <c r="P12" s="31"/>
      <c r="Q12" s="31"/>
      <c r="R12" s="31"/>
      <c r="S12" s="31"/>
      <c r="T12" s="31"/>
      <c r="U12" s="31"/>
      <c r="V12" s="31"/>
      <c r="W12" s="31"/>
      <c r="X12" s="31"/>
      <c r="Y12" s="31"/>
      <c r="Z12" s="31"/>
      <c r="AA12" s="31"/>
      <c r="AB12" s="31"/>
      <c r="AC12" s="31"/>
      <c r="AD12" s="31"/>
      <c r="AE12" s="31"/>
      <c r="AF12" s="31"/>
      <c r="AG12" s="31"/>
      <c r="AH12" s="31"/>
      <c r="AI12" s="31"/>
      <c r="AJ12" s="31"/>
      <c r="AK12" s="31"/>
      <c r="AL12" s="31"/>
      <c r="AM12" s="31"/>
      <c r="AN12" s="31"/>
      <c r="AO12" s="31"/>
      <c r="AP12" s="31"/>
      <c r="AQ12" s="31"/>
      <c r="AR12" s="31"/>
      <c r="AS12" s="31"/>
      <c r="AT12" s="31"/>
      <c r="AU12" s="31"/>
      <c r="AV12" s="31"/>
      <c r="AW12" s="31"/>
      <c r="AX12" s="31"/>
      <c r="AY12" s="31"/>
      <c r="AZ12" s="31"/>
      <c r="BA12" s="31"/>
    </row>
    <row r="13" spans="1:53" s="32" customFormat="1" hidden="1" x14ac:dyDescent="0.25">
      <c r="A13" s="52">
        <v>10</v>
      </c>
      <c r="B13" s="53" t="s">
        <v>122</v>
      </c>
      <c r="C13" s="54" t="s">
        <v>155</v>
      </c>
      <c r="D13" s="55" t="s">
        <v>124</v>
      </c>
      <c r="E13" s="65">
        <v>40.24</v>
      </c>
      <c r="F13" s="53" t="s">
        <v>26</v>
      </c>
      <c r="G13" s="62" t="s">
        <v>156</v>
      </c>
      <c r="H13" s="53" t="s">
        <v>157</v>
      </c>
      <c r="I13" s="53" t="s">
        <v>158</v>
      </c>
      <c r="J13" s="31"/>
      <c r="K13" s="31"/>
      <c r="L13" s="31"/>
      <c r="M13" s="31"/>
      <c r="N13" s="31"/>
      <c r="O13" s="31"/>
      <c r="P13" s="31"/>
      <c r="Q13" s="31"/>
      <c r="R13" s="31"/>
      <c r="S13" s="31"/>
      <c r="T13" s="31"/>
      <c r="U13" s="31"/>
      <c r="V13" s="31"/>
      <c r="W13" s="31"/>
      <c r="X13" s="31"/>
      <c r="Y13" s="31"/>
      <c r="Z13" s="31"/>
      <c r="AA13" s="31"/>
      <c r="AB13" s="31"/>
      <c r="AC13" s="31"/>
      <c r="AD13" s="31"/>
      <c r="AE13" s="31"/>
      <c r="AF13" s="31"/>
      <c r="AG13" s="31"/>
      <c r="AH13" s="31"/>
      <c r="AI13" s="31"/>
      <c r="AJ13" s="31"/>
      <c r="AK13" s="31"/>
      <c r="AL13" s="31"/>
      <c r="AM13" s="31"/>
      <c r="AN13" s="31"/>
      <c r="AO13" s="31"/>
      <c r="AP13" s="31"/>
      <c r="AQ13" s="31"/>
      <c r="AR13" s="31"/>
      <c r="AS13" s="31"/>
      <c r="AT13" s="31"/>
      <c r="AU13" s="31"/>
      <c r="AV13" s="31"/>
      <c r="AW13" s="31"/>
      <c r="AX13" s="31"/>
      <c r="AY13" s="31"/>
      <c r="AZ13" s="31"/>
      <c r="BA13" s="31"/>
    </row>
    <row r="14" spans="1:53" s="32" customFormat="1" ht="15.75" hidden="1" customHeight="1" x14ac:dyDescent="0.25">
      <c r="A14" s="52">
        <v>11</v>
      </c>
      <c r="B14" s="53" t="s">
        <v>122</v>
      </c>
      <c r="C14" s="54" t="s">
        <v>159</v>
      </c>
      <c r="D14" s="55" t="s">
        <v>124</v>
      </c>
      <c r="E14" s="65">
        <v>182.15</v>
      </c>
      <c r="F14" s="53" t="s">
        <v>26</v>
      </c>
      <c r="G14" s="50" t="s">
        <v>160</v>
      </c>
      <c r="H14" s="53" t="s">
        <v>161</v>
      </c>
      <c r="I14" s="53" t="s">
        <v>162</v>
      </c>
      <c r="J14" s="31"/>
      <c r="K14" s="31"/>
      <c r="L14" s="31"/>
      <c r="M14" s="31"/>
      <c r="N14" s="31"/>
      <c r="O14" s="31"/>
      <c r="P14" s="31"/>
      <c r="Q14" s="31"/>
      <c r="R14" s="31"/>
      <c r="S14" s="31"/>
      <c r="T14" s="31"/>
      <c r="U14" s="31"/>
      <c r="V14" s="31"/>
      <c r="W14" s="31"/>
      <c r="X14" s="31"/>
      <c r="Y14" s="31"/>
      <c r="Z14" s="31"/>
      <c r="AA14" s="31"/>
      <c r="AB14" s="31"/>
      <c r="AC14" s="31"/>
      <c r="AD14" s="31"/>
      <c r="AE14" s="31"/>
      <c r="AF14" s="31"/>
      <c r="AG14" s="31"/>
      <c r="AH14" s="31"/>
      <c r="AI14" s="31"/>
      <c r="AJ14" s="31"/>
      <c r="AK14" s="31"/>
      <c r="AL14" s="31"/>
      <c r="AM14" s="31"/>
      <c r="AN14" s="31"/>
      <c r="AO14" s="31"/>
      <c r="AP14" s="31"/>
      <c r="AQ14" s="31"/>
      <c r="AR14" s="31"/>
      <c r="AS14" s="31"/>
      <c r="AT14" s="31"/>
      <c r="AU14" s="31"/>
      <c r="AV14" s="31"/>
      <c r="AW14" s="31"/>
      <c r="AX14" s="31"/>
      <c r="AY14" s="31"/>
      <c r="AZ14" s="31"/>
    </row>
    <row r="15" spans="1:53" s="32" customFormat="1" hidden="1" x14ac:dyDescent="0.25">
      <c r="A15" s="52">
        <v>12</v>
      </c>
      <c r="B15" s="53" t="s">
        <v>122</v>
      </c>
      <c r="C15" s="54" t="s">
        <v>163</v>
      </c>
      <c r="D15" s="55" t="s">
        <v>124</v>
      </c>
      <c r="E15" s="65">
        <v>68.72</v>
      </c>
      <c r="F15" s="53" t="s">
        <v>26</v>
      </c>
      <c r="G15" s="62" t="s">
        <v>164</v>
      </c>
      <c r="H15" s="53" t="s">
        <v>165</v>
      </c>
      <c r="I15" s="53" t="s">
        <v>166</v>
      </c>
      <c r="J15" s="31"/>
      <c r="K15" s="31"/>
      <c r="L15" s="31"/>
      <c r="M15" s="31"/>
      <c r="N15" s="31"/>
      <c r="O15" s="31"/>
      <c r="P15" s="31"/>
      <c r="Q15" s="31"/>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row>
    <row r="16" spans="1:53" s="32" customFormat="1" hidden="1" x14ac:dyDescent="0.25">
      <c r="A16" s="52">
        <v>13</v>
      </c>
      <c r="B16" s="53" t="s">
        <v>122</v>
      </c>
      <c r="C16" s="54" t="s">
        <v>167</v>
      </c>
      <c r="D16" s="55" t="s">
        <v>124</v>
      </c>
      <c r="E16" s="65">
        <v>92.89</v>
      </c>
      <c r="F16" s="53" t="s">
        <v>26</v>
      </c>
      <c r="G16" s="62" t="s">
        <v>168</v>
      </c>
      <c r="H16" s="53" t="s">
        <v>169</v>
      </c>
      <c r="I16" s="56" t="s">
        <v>170</v>
      </c>
      <c r="J16" s="31"/>
      <c r="K16" s="31"/>
      <c r="L16" s="31"/>
      <c r="M16" s="31"/>
      <c r="N16" s="31"/>
      <c r="O16" s="31"/>
      <c r="P16" s="31"/>
      <c r="Q16" s="31"/>
      <c r="R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row>
    <row r="17" spans="1:53" s="32" customFormat="1" hidden="1" x14ac:dyDescent="0.25">
      <c r="A17" s="52">
        <v>14</v>
      </c>
      <c r="B17" s="53" t="s">
        <v>122</v>
      </c>
      <c r="C17" s="54" t="s">
        <v>147</v>
      </c>
      <c r="D17" s="55" t="s">
        <v>124</v>
      </c>
      <c r="E17" s="65">
        <v>27.89</v>
      </c>
      <c r="F17" s="53" t="s">
        <v>26</v>
      </c>
      <c r="G17" s="62" t="s">
        <v>171</v>
      </c>
      <c r="H17" s="53" t="s">
        <v>172</v>
      </c>
      <c r="I17" s="53" t="s">
        <v>173</v>
      </c>
      <c r="J17" s="31"/>
      <c r="K17" s="31"/>
      <c r="L17" s="31"/>
      <c r="M17" s="31"/>
      <c r="N17" s="31"/>
      <c r="O17" s="31"/>
      <c r="P17" s="31"/>
      <c r="Q17" s="31"/>
      <c r="R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row>
    <row r="18" spans="1:53" s="32" customFormat="1" hidden="1" x14ac:dyDescent="0.25">
      <c r="A18" s="52">
        <v>15</v>
      </c>
      <c r="B18" s="53" t="s">
        <v>122</v>
      </c>
      <c r="C18" s="54" t="s">
        <v>123</v>
      </c>
      <c r="D18" s="55" t="s">
        <v>124</v>
      </c>
      <c r="E18" s="65">
        <v>8.1999999999999993</v>
      </c>
      <c r="F18" s="53" t="s">
        <v>26</v>
      </c>
      <c r="G18" s="62" t="s">
        <v>174</v>
      </c>
      <c r="H18" s="53" t="s">
        <v>172</v>
      </c>
      <c r="I18" s="53" t="s">
        <v>175</v>
      </c>
      <c r="J18" s="31"/>
      <c r="K18" s="31"/>
      <c r="L18" s="31"/>
      <c r="M18" s="31"/>
      <c r="N18" s="31"/>
      <c r="O18" s="31"/>
      <c r="P18" s="31"/>
      <c r="Q18" s="31"/>
      <c r="R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row>
    <row r="19" spans="1:53" s="32" customFormat="1" hidden="1" x14ac:dyDescent="0.25">
      <c r="A19" s="52">
        <v>16</v>
      </c>
      <c r="B19" s="53" t="s">
        <v>122</v>
      </c>
      <c r="C19" s="54" t="s">
        <v>167</v>
      </c>
      <c r="D19" s="55" t="s">
        <v>124</v>
      </c>
      <c r="E19" s="65">
        <v>40.99</v>
      </c>
      <c r="F19" s="53" t="s">
        <v>26</v>
      </c>
      <c r="G19" s="62" t="s">
        <v>176</v>
      </c>
      <c r="H19" s="53" t="s">
        <v>177</v>
      </c>
      <c r="I19" s="53" t="s">
        <v>178</v>
      </c>
      <c r="J19" s="31"/>
      <c r="K19" s="31"/>
      <c r="L19" s="31"/>
      <c r="M19" s="31"/>
      <c r="N19" s="31"/>
      <c r="O19" s="31"/>
      <c r="P19" s="31"/>
      <c r="Q19" s="31"/>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row>
    <row r="20" spans="1:53" s="32" customFormat="1" hidden="1" x14ac:dyDescent="0.25">
      <c r="A20" s="52">
        <v>17</v>
      </c>
      <c r="B20" s="53" t="s">
        <v>122</v>
      </c>
      <c r="C20" s="54" t="s">
        <v>123</v>
      </c>
      <c r="D20" s="55" t="s">
        <v>124</v>
      </c>
      <c r="E20" s="65">
        <v>3.51</v>
      </c>
      <c r="F20" s="53" t="s">
        <v>26</v>
      </c>
      <c r="G20" s="62" t="s">
        <v>179</v>
      </c>
      <c r="H20" s="53" t="s">
        <v>180</v>
      </c>
      <c r="I20" s="53" t="s">
        <v>181</v>
      </c>
      <c r="J20" s="31"/>
      <c r="K20" s="31"/>
      <c r="L20" s="31"/>
      <c r="M20" s="31"/>
      <c r="N20" s="31"/>
      <c r="O20" s="31"/>
      <c r="P20" s="31"/>
      <c r="Q20" s="31"/>
      <c r="R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row>
    <row r="21" spans="1:53" s="32" customFormat="1" hidden="1" x14ac:dyDescent="0.25">
      <c r="A21" s="52">
        <v>18</v>
      </c>
      <c r="B21" s="53" t="s">
        <v>122</v>
      </c>
      <c r="C21" s="54" t="s">
        <v>128</v>
      </c>
      <c r="D21" s="55" t="s">
        <v>124</v>
      </c>
      <c r="E21" s="65">
        <v>40.86</v>
      </c>
      <c r="F21" s="53" t="s">
        <v>26</v>
      </c>
      <c r="G21" s="62" t="s">
        <v>182</v>
      </c>
      <c r="H21" s="53" t="s">
        <v>180</v>
      </c>
      <c r="I21" s="53" t="s">
        <v>183</v>
      </c>
      <c r="J21" s="31"/>
      <c r="K21" s="31"/>
      <c r="L21" s="31"/>
      <c r="M21" s="31"/>
      <c r="N21" s="31"/>
      <c r="O21" s="31"/>
      <c r="P21" s="31"/>
      <c r="Q21" s="31"/>
      <c r="R21" s="31"/>
      <c r="S21" s="31"/>
      <c r="T21" s="31"/>
      <c r="U21" s="31"/>
      <c r="V21" s="31"/>
      <c r="W21" s="31"/>
      <c r="X21" s="31"/>
      <c r="Y21" s="31"/>
      <c r="Z21" s="31"/>
      <c r="AA21" s="31"/>
      <c r="AB21" s="31"/>
      <c r="AC21" s="31"/>
      <c r="AD21" s="31"/>
      <c r="AE21" s="31"/>
      <c r="AF21" s="31"/>
      <c r="AG21" s="31"/>
      <c r="AH21" s="31"/>
      <c r="AI21" s="31"/>
      <c r="AJ21" s="31"/>
      <c r="AK21" s="31"/>
      <c r="AL21" s="31"/>
      <c r="AM21" s="31"/>
      <c r="AN21" s="31"/>
      <c r="AO21" s="31"/>
      <c r="AP21" s="31"/>
      <c r="AQ21" s="31"/>
      <c r="AR21" s="31"/>
      <c r="AS21" s="31"/>
      <c r="AT21" s="31"/>
      <c r="AU21" s="31"/>
      <c r="AV21" s="31"/>
      <c r="AW21" s="31"/>
      <c r="AX21" s="31"/>
      <c r="AY21" s="31"/>
      <c r="AZ21" s="31"/>
      <c r="BA21" s="31"/>
    </row>
    <row r="22" spans="1:53" s="32" customFormat="1" hidden="1" x14ac:dyDescent="0.25">
      <c r="A22" s="52">
        <v>19</v>
      </c>
      <c r="B22" s="53" t="s">
        <v>122</v>
      </c>
      <c r="C22" s="54" t="s">
        <v>167</v>
      </c>
      <c r="D22" s="55" t="s">
        <v>124</v>
      </c>
      <c r="E22" s="65">
        <v>39.619999999999997</v>
      </c>
      <c r="F22" s="53" t="s">
        <v>26</v>
      </c>
      <c r="G22" s="62" t="s">
        <v>184</v>
      </c>
      <c r="H22" s="53" t="s">
        <v>185</v>
      </c>
      <c r="I22" s="53" t="s">
        <v>186</v>
      </c>
      <c r="J22" s="31"/>
      <c r="K22" s="31"/>
      <c r="L22" s="31"/>
      <c r="M22" s="31"/>
      <c r="N22" s="31"/>
      <c r="O22" s="31"/>
      <c r="P22" s="31"/>
      <c r="Q22" s="31"/>
      <c r="R22" s="31"/>
      <c r="S22" s="31"/>
      <c r="T22" s="31"/>
      <c r="U22" s="31"/>
      <c r="V22" s="31"/>
      <c r="W22" s="31"/>
      <c r="X22" s="31"/>
      <c r="Y22" s="31"/>
      <c r="Z22" s="31"/>
      <c r="AA22" s="31"/>
      <c r="AB22" s="31"/>
      <c r="AC22" s="31"/>
      <c r="AD22" s="31"/>
      <c r="AE22" s="31"/>
      <c r="AF22" s="31"/>
      <c r="AG22" s="31"/>
      <c r="AH22" s="31"/>
      <c r="AI22" s="31"/>
      <c r="AJ22" s="31"/>
      <c r="AK22" s="31"/>
      <c r="AL22" s="31"/>
      <c r="AM22" s="31"/>
      <c r="AN22" s="31"/>
      <c r="AO22" s="31"/>
      <c r="AP22" s="31"/>
      <c r="AQ22" s="31"/>
      <c r="AR22" s="31"/>
      <c r="AS22" s="31"/>
      <c r="AT22" s="31"/>
      <c r="AU22" s="31"/>
      <c r="AV22" s="31"/>
      <c r="AW22" s="31"/>
      <c r="AX22" s="31"/>
      <c r="AY22" s="31"/>
      <c r="AZ22" s="31"/>
      <c r="BA22" s="31"/>
    </row>
    <row r="23" spans="1:53" s="32" customFormat="1" hidden="1" x14ac:dyDescent="0.25">
      <c r="A23" s="52">
        <v>20</v>
      </c>
      <c r="B23" s="53" t="s">
        <v>122</v>
      </c>
      <c r="C23" s="54" t="s">
        <v>187</v>
      </c>
      <c r="D23" s="55" t="s">
        <v>124</v>
      </c>
      <c r="E23" s="65">
        <v>18.89</v>
      </c>
      <c r="F23" s="53" t="s">
        <v>26</v>
      </c>
      <c r="G23" s="62" t="s">
        <v>188</v>
      </c>
      <c r="H23" s="53" t="s">
        <v>189</v>
      </c>
      <c r="I23" s="53" t="s">
        <v>190</v>
      </c>
      <c r="J23" s="31"/>
      <c r="K23" s="31"/>
      <c r="L23" s="31"/>
      <c r="M23" s="31"/>
      <c r="N23" s="31"/>
      <c r="O23" s="31"/>
      <c r="P23" s="31"/>
      <c r="Q23" s="31"/>
      <c r="R23" s="31"/>
      <c r="S23" s="31"/>
      <c r="T23" s="31"/>
      <c r="U23" s="31"/>
      <c r="V23" s="31"/>
      <c r="W23" s="31"/>
      <c r="X23" s="31"/>
      <c r="Y23" s="31"/>
      <c r="Z23" s="31"/>
      <c r="AA23" s="31"/>
      <c r="AB23" s="31"/>
      <c r="AC23" s="31"/>
      <c r="AD23" s="31"/>
      <c r="AE23" s="31"/>
      <c r="AF23" s="31"/>
      <c r="AG23" s="31"/>
      <c r="AH23" s="31"/>
      <c r="AI23" s="31"/>
      <c r="AJ23" s="31"/>
      <c r="AK23" s="31"/>
      <c r="AL23" s="31"/>
      <c r="AM23" s="31"/>
      <c r="AN23" s="31"/>
      <c r="AO23" s="31"/>
      <c r="AP23" s="31"/>
      <c r="AQ23" s="31"/>
      <c r="AR23" s="31"/>
      <c r="AS23" s="31"/>
      <c r="AT23" s="31"/>
      <c r="AU23" s="31"/>
      <c r="AV23" s="31"/>
      <c r="AW23" s="31"/>
      <c r="AX23" s="31"/>
      <c r="AY23" s="31"/>
      <c r="AZ23" s="31"/>
      <c r="BA23" s="31"/>
    </row>
    <row r="24" spans="1:53" s="32" customFormat="1" hidden="1" x14ac:dyDescent="0.25">
      <c r="A24" s="52">
        <v>21</v>
      </c>
      <c r="B24" s="53" t="s">
        <v>122</v>
      </c>
      <c r="C24" s="54" t="s">
        <v>191</v>
      </c>
      <c r="D24" s="55" t="s">
        <v>124</v>
      </c>
      <c r="E24" s="65">
        <v>47.7</v>
      </c>
      <c r="F24" s="53" t="s">
        <v>26</v>
      </c>
      <c r="G24" s="62" t="s">
        <v>192</v>
      </c>
      <c r="H24" s="53" t="s">
        <v>189</v>
      </c>
      <c r="I24" s="53" t="s">
        <v>193</v>
      </c>
      <c r="J24" s="31"/>
      <c r="K24" s="31"/>
      <c r="L24" s="31"/>
      <c r="M24" s="31"/>
      <c r="N24" s="31"/>
      <c r="O24" s="31"/>
      <c r="P24" s="31"/>
      <c r="Q24" s="31"/>
      <c r="R24" s="31"/>
      <c r="S24" s="31"/>
      <c r="T24" s="31"/>
      <c r="U24" s="31"/>
      <c r="V24" s="31"/>
      <c r="W24" s="31"/>
      <c r="X24" s="31"/>
      <c r="Y24" s="31"/>
      <c r="Z24" s="31"/>
      <c r="AA24" s="31"/>
      <c r="AB24" s="31"/>
      <c r="AC24" s="31"/>
      <c r="AD24" s="31"/>
      <c r="AE24" s="31"/>
      <c r="AF24" s="31"/>
      <c r="AG24" s="31"/>
      <c r="AH24" s="31"/>
      <c r="AI24" s="31"/>
      <c r="AJ24" s="31"/>
      <c r="AK24" s="31"/>
      <c r="AL24" s="31"/>
      <c r="AM24" s="31"/>
      <c r="AN24" s="31"/>
      <c r="AO24" s="31"/>
      <c r="AP24" s="31"/>
      <c r="AQ24" s="31"/>
      <c r="AR24" s="31"/>
      <c r="AS24" s="31"/>
      <c r="AT24" s="31"/>
      <c r="AU24" s="31"/>
      <c r="AV24" s="31"/>
      <c r="AW24" s="31"/>
      <c r="AX24" s="31"/>
      <c r="AY24" s="31"/>
      <c r="AZ24" s="31"/>
      <c r="BA24" s="31"/>
    </row>
    <row r="25" spans="1:53" s="32" customFormat="1" hidden="1" x14ac:dyDescent="0.25">
      <c r="A25" s="52">
        <v>22</v>
      </c>
      <c r="B25" s="53" t="s">
        <v>122</v>
      </c>
      <c r="C25" s="54" t="s">
        <v>194</v>
      </c>
      <c r="D25" s="55" t="s">
        <v>124</v>
      </c>
      <c r="E25" s="65">
        <v>154.1</v>
      </c>
      <c r="F25" s="53" t="s">
        <v>26</v>
      </c>
      <c r="G25" s="62" t="s">
        <v>195</v>
      </c>
      <c r="H25" s="53" t="s">
        <v>196</v>
      </c>
      <c r="I25" s="53" t="s">
        <v>197</v>
      </c>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row>
    <row r="26" spans="1:53" s="32" customFormat="1" hidden="1" x14ac:dyDescent="0.25">
      <c r="A26" s="52">
        <v>23</v>
      </c>
      <c r="B26" s="53" t="s">
        <v>122</v>
      </c>
      <c r="C26" s="54" t="s">
        <v>198</v>
      </c>
      <c r="D26" s="55" t="s">
        <v>199</v>
      </c>
      <c r="E26" s="65">
        <v>88.03</v>
      </c>
      <c r="F26" s="53" t="s">
        <v>26</v>
      </c>
      <c r="G26" s="62" t="s">
        <v>200</v>
      </c>
      <c r="H26" s="53" t="s">
        <v>201</v>
      </c>
      <c r="I26" s="53" t="s">
        <v>202</v>
      </c>
      <c r="J26" s="31"/>
      <c r="K26" s="31"/>
      <c r="L26" s="31"/>
      <c r="M26" s="31"/>
      <c r="N26" s="31"/>
      <c r="O26" s="31"/>
      <c r="P26" s="31"/>
      <c r="Q26" s="31"/>
      <c r="R26" s="31"/>
      <c r="S26" s="31"/>
      <c r="T26" s="31"/>
      <c r="U26" s="31"/>
      <c r="V26" s="31"/>
      <c r="W26" s="31"/>
      <c r="X26" s="31"/>
      <c r="Y26" s="31"/>
      <c r="Z26" s="31"/>
      <c r="AA26" s="31"/>
      <c r="AB26" s="31"/>
      <c r="AC26" s="31"/>
      <c r="AD26" s="31"/>
      <c r="AE26" s="31"/>
      <c r="AF26" s="31"/>
      <c r="AG26" s="31"/>
      <c r="AH26" s="31"/>
      <c r="AI26" s="31"/>
      <c r="AJ26" s="31"/>
      <c r="AK26" s="31"/>
      <c r="AL26" s="31"/>
      <c r="AM26" s="31"/>
      <c r="AN26" s="31"/>
      <c r="AO26" s="31"/>
      <c r="AP26" s="31"/>
      <c r="AQ26" s="31"/>
      <c r="AR26" s="31"/>
      <c r="AS26" s="31"/>
      <c r="AT26" s="31"/>
      <c r="AU26" s="31"/>
      <c r="AV26" s="31"/>
      <c r="AW26" s="31"/>
      <c r="AX26" s="31"/>
      <c r="AY26" s="31"/>
      <c r="AZ26" s="31"/>
      <c r="BA26" s="31"/>
    </row>
    <row r="27" spans="1:53" s="32" customFormat="1" hidden="1" x14ac:dyDescent="0.25">
      <c r="A27" s="52">
        <v>24</v>
      </c>
      <c r="B27" s="53" t="s">
        <v>122</v>
      </c>
      <c r="C27" s="54" t="s">
        <v>167</v>
      </c>
      <c r="D27" s="55" t="s">
        <v>199</v>
      </c>
      <c r="E27" s="65">
        <v>40.74</v>
      </c>
      <c r="F27" s="53" t="s">
        <v>26</v>
      </c>
      <c r="G27" s="62" t="s">
        <v>203</v>
      </c>
      <c r="H27" s="53" t="s">
        <v>204</v>
      </c>
      <c r="I27" s="53" t="s">
        <v>205</v>
      </c>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row>
    <row r="28" spans="1:53" s="32" customFormat="1" hidden="1" x14ac:dyDescent="0.25">
      <c r="A28" s="52">
        <v>25</v>
      </c>
      <c r="B28" s="53" t="s">
        <v>122</v>
      </c>
      <c r="C28" s="54" t="s">
        <v>147</v>
      </c>
      <c r="D28" s="55" t="s">
        <v>199</v>
      </c>
      <c r="E28" s="65">
        <v>25.69</v>
      </c>
      <c r="F28" s="53" t="s">
        <v>26</v>
      </c>
      <c r="G28" s="62" t="s">
        <v>206</v>
      </c>
      <c r="H28" s="53" t="s">
        <v>207</v>
      </c>
      <c r="I28" s="53" t="s">
        <v>208</v>
      </c>
      <c r="J28" s="31"/>
      <c r="K28" s="31"/>
      <c r="L28" s="31"/>
      <c r="M28" s="31"/>
      <c r="N28" s="31"/>
      <c r="O28" s="31"/>
      <c r="P28" s="31"/>
      <c r="Q28" s="31"/>
      <c r="R28" s="31"/>
      <c r="S28" s="31"/>
      <c r="T28" s="31"/>
      <c r="U28" s="31"/>
      <c r="V28" s="31"/>
      <c r="W28" s="31"/>
      <c r="X28" s="31"/>
      <c r="Y28" s="31"/>
      <c r="Z28" s="31"/>
      <c r="AA28" s="31"/>
      <c r="AB28" s="31"/>
      <c r="AC28" s="31"/>
      <c r="AD28" s="31"/>
      <c r="AE28" s="31"/>
      <c r="AF28" s="31"/>
      <c r="AG28" s="31"/>
      <c r="AH28" s="31"/>
      <c r="AI28" s="31"/>
      <c r="AJ28" s="31"/>
      <c r="AK28" s="31"/>
      <c r="AL28" s="31"/>
      <c r="AM28" s="31"/>
      <c r="AN28" s="31"/>
      <c r="AO28" s="31"/>
      <c r="AP28" s="31"/>
      <c r="AQ28" s="31"/>
      <c r="AR28" s="31"/>
      <c r="AS28" s="31"/>
      <c r="AT28" s="31"/>
      <c r="AU28" s="31"/>
      <c r="AV28" s="31"/>
      <c r="AW28" s="31"/>
      <c r="AX28" s="31"/>
      <c r="AY28" s="31"/>
      <c r="AZ28" s="31"/>
      <c r="BA28" s="31"/>
    </row>
    <row r="29" spans="1:53" s="32" customFormat="1" hidden="1" x14ac:dyDescent="0.25">
      <c r="A29" s="52">
        <v>26</v>
      </c>
      <c r="B29" s="53" t="s">
        <v>122</v>
      </c>
      <c r="C29" s="54" t="s">
        <v>209</v>
      </c>
      <c r="D29" s="55" t="s">
        <v>199</v>
      </c>
      <c r="E29" s="65">
        <v>17.62</v>
      </c>
      <c r="F29" s="53" t="s">
        <v>26</v>
      </c>
      <c r="G29" s="62" t="s">
        <v>210</v>
      </c>
      <c r="H29" s="53" t="s">
        <v>207</v>
      </c>
      <c r="I29" s="53" t="s">
        <v>211</v>
      </c>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row>
    <row r="30" spans="1:53" s="32" customFormat="1" hidden="1" x14ac:dyDescent="0.25">
      <c r="A30" s="52">
        <v>27</v>
      </c>
      <c r="B30" s="53" t="s">
        <v>122</v>
      </c>
      <c r="C30" s="54" t="s">
        <v>128</v>
      </c>
      <c r="D30" s="55" t="s">
        <v>199</v>
      </c>
      <c r="E30" s="65">
        <v>51.99</v>
      </c>
      <c r="F30" s="53" t="s">
        <v>26</v>
      </c>
      <c r="G30" s="62" t="s">
        <v>212</v>
      </c>
      <c r="H30" s="53" t="s">
        <v>207</v>
      </c>
      <c r="I30" s="53" t="s">
        <v>213</v>
      </c>
      <c r="J30" s="31"/>
      <c r="K30" s="31"/>
      <c r="L30" s="31"/>
      <c r="M30" s="31"/>
      <c r="N30" s="31"/>
      <c r="O30" s="31"/>
      <c r="P30" s="31"/>
      <c r="Q30" s="31"/>
      <c r="R30" s="31"/>
      <c r="S30" s="31"/>
      <c r="T30" s="31"/>
      <c r="U30" s="31"/>
      <c r="V30" s="31"/>
      <c r="W30" s="31"/>
      <c r="X30" s="31"/>
      <c r="Y30" s="31"/>
      <c r="Z30" s="31"/>
      <c r="AA30" s="31"/>
      <c r="AB30" s="31"/>
      <c r="AC30" s="31"/>
      <c r="AD30" s="31"/>
      <c r="AE30" s="31"/>
      <c r="AF30" s="31"/>
      <c r="AG30" s="31"/>
      <c r="AH30" s="31"/>
      <c r="AI30" s="31"/>
      <c r="AJ30" s="31"/>
      <c r="AK30" s="31"/>
      <c r="AL30" s="31"/>
      <c r="AM30" s="31"/>
      <c r="AN30" s="31"/>
      <c r="AO30" s="31"/>
      <c r="AP30" s="31"/>
      <c r="AQ30" s="31"/>
      <c r="AR30" s="31"/>
      <c r="AS30" s="31"/>
      <c r="AT30" s="31"/>
      <c r="AU30" s="31"/>
      <c r="AV30" s="31"/>
      <c r="AW30" s="31"/>
      <c r="AX30" s="31"/>
      <c r="AY30" s="31"/>
      <c r="AZ30" s="31"/>
      <c r="BA30" s="31"/>
    </row>
    <row r="31" spans="1:53" s="32" customFormat="1" hidden="1" x14ac:dyDescent="0.25">
      <c r="A31" s="52">
        <v>28</v>
      </c>
      <c r="B31" s="53" t="s">
        <v>122</v>
      </c>
      <c r="C31" s="54" t="s">
        <v>214</v>
      </c>
      <c r="D31" s="55" t="s">
        <v>199</v>
      </c>
      <c r="E31" s="65">
        <v>15.86</v>
      </c>
      <c r="F31" s="53" t="s">
        <v>26</v>
      </c>
      <c r="G31" s="62" t="s">
        <v>215</v>
      </c>
      <c r="H31" s="53" t="s">
        <v>216</v>
      </c>
      <c r="I31" s="53" t="s">
        <v>217</v>
      </c>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row>
    <row r="32" spans="1:53" s="32" customFormat="1" hidden="1" x14ac:dyDescent="0.25">
      <c r="A32" s="52">
        <v>29</v>
      </c>
      <c r="B32" s="53" t="s">
        <v>122</v>
      </c>
      <c r="C32" s="54" t="s">
        <v>167</v>
      </c>
      <c r="D32" s="55" t="s">
        <v>199</v>
      </c>
      <c r="E32" s="65">
        <v>64.430000000000007</v>
      </c>
      <c r="F32" s="53" t="s">
        <v>26</v>
      </c>
      <c r="G32" s="62" t="s">
        <v>218</v>
      </c>
      <c r="H32" s="53" t="s">
        <v>219</v>
      </c>
      <c r="I32" s="53" t="s">
        <v>220</v>
      </c>
      <c r="J32" s="31"/>
      <c r="K32" s="31"/>
      <c r="L32" s="31"/>
      <c r="M32" s="31"/>
      <c r="N32" s="31"/>
      <c r="O32" s="31"/>
      <c r="P32" s="31"/>
      <c r="Q32" s="31"/>
      <c r="R32" s="31"/>
      <c r="S32" s="31"/>
      <c r="T32" s="31"/>
      <c r="U32" s="31"/>
      <c r="V32" s="31"/>
      <c r="W32" s="31"/>
      <c r="X32" s="31"/>
      <c r="Y32" s="31"/>
      <c r="Z32" s="31"/>
      <c r="AA32" s="31"/>
      <c r="AB32" s="31"/>
      <c r="AC32" s="31"/>
      <c r="AD32" s="31"/>
      <c r="AE32" s="31"/>
      <c r="AF32" s="31"/>
      <c r="AG32" s="31"/>
      <c r="AH32" s="31"/>
      <c r="AI32" s="31"/>
      <c r="AJ32" s="31"/>
      <c r="AK32" s="31"/>
      <c r="AL32" s="31"/>
      <c r="AM32" s="31"/>
      <c r="AN32" s="31"/>
      <c r="AO32" s="31"/>
      <c r="AP32" s="31"/>
      <c r="AQ32" s="31"/>
      <c r="AR32" s="31"/>
      <c r="AS32" s="31"/>
      <c r="AT32" s="31"/>
      <c r="AU32" s="31"/>
      <c r="AV32" s="31"/>
      <c r="AW32" s="31"/>
      <c r="AX32" s="31"/>
      <c r="AY32" s="31"/>
      <c r="AZ32" s="31"/>
      <c r="BA32" s="31"/>
    </row>
    <row r="33" spans="1:53" s="32" customFormat="1" hidden="1" x14ac:dyDescent="0.25">
      <c r="A33" s="52">
        <v>30</v>
      </c>
      <c r="B33" s="53" t="s">
        <v>122</v>
      </c>
      <c r="C33" s="54" t="s">
        <v>138</v>
      </c>
      <c r="D33" s="55" t="s">
        <v>199</v>
      </c>
      <c r="E33" s="65">
        <v>91.91</v>
      </c>
      <c r="F33" s="53" t="s">
        <v>26</v>
      </c>
      <c r="G33" s="62" t="s">
        <v>221</v>
      </c>
      <c r="H33" s="53" t="s">
        <v>222</v>
      </c>
      <c r="I33" s="53" t="s">
        <v>223</v>
      </c>
      <c r="J33" s="31"/>
      <c r="K33" s="31"/>
      <c r="L33" s="31"/>
      <c r="M33" s="31"/>
      <c r="N33" s="31"/>
      <c r="O33" s="31"/>
      <c r="P33" s="31"/>
      <c r="Q33" s="31"/>
      <c r="R33" s="31"/>
      <c r="S33" s="31"/>
      <c r="T33" s="31"/>
      <c r="U33" s="31"/>
      <c r="V33" s="31"/>
      <c r="W33" s="31"/>
      <c r="X33" s="31"/>
      <c r="Y33" s="31"/>
      <c r="Z33" s="31"/>
      <c r="AA33" s="31"/>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row>
    <row r="34" spans="1:53" s="32" customFormat="1" hidden="1" x14ac:dyDescent="0.25">
      <c r="A34" s="52">
        <v>31</v>
      </c>
      <c r="B34" s="53" t="s">
        <v>122</v>
      </c>
      <c r="C34" s="54" t="s">
        <v>147</v>
      </c>
      <c r="D34" s="55" t="s">
        <v>199</v>
      </c>
      <c r="E34" s="65">
        <v>45.6</v>
      </c>
      <c r="F34" s="53" t="s">
        <v>26</v>
      </c>
      <c r="G34" s="62" t="s">
        <v>224</v>
      </c>
      <c r="H34" s="53" t="s">
        <v>225</v>
      </c>
      <c r="I34" s="53" t="s">
        <v>226</v>
      </c>
      <c r="J34" s="31"/>
      <c r="K34" s="31"/>
      <c r="L34" s="31"/>
      <c r="M34" s="31"/>
      <c r="N34" s="31"/>
      <c r="O34" s="31"/>
      <c r="P34" s="31"/>
      <c r="Q34" s="31"/>
      <c r="R34" s="31"/>
      <c r="S34" s="31"/>
      <c r="T34" s="31"/>
      <c r="U34" s="31"/>
      <c r="V34" s="31"/>
      <c r="W34" s="31"/>
      <c r="X34" s="31"/>
      <c r="Y34" s="31"/>
      <c r="Z34" s="31"/>
      <c r="AA34" s="31"/>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row>
    <row r="35" spans="1:53" s="32" customFormat="1" hidden="1" x14ac:dyDescent="0.25">
      <c r="A35" s="52">
        <v>32</v>
      </c>
      <c r="B35" s="53" t="s">
        <v>122</v>
      </c>
      <c r="C35" s="54" t="s">
        <v>227</v>
      </c>
      <c r="D35" s="55" t="s">
        <v>199</v>
      </c>
      <c r="E35" s="65">
        <v>14.26</v>
      </c>
      <c r="F35" s="53" t="s">
        <v>26</v>
      </c>
      <c r="G35" s="62" t="s">
        <v>228</v>
      </c>
      <c r="H35" s="53" t="s">
        <v>229</v>
      </c>
      <c r="I35" s="53" t="s">
        <v>230</v>
      </c>
      <c r="J35" s="31"/>
      <c r="K35" s="31"/>
      <c r="L35" s="31"/>
      <c r="M35" s="31"/>
      <c r="N35" s="31"/>
      <c r="O35" s="31"/>
      <c r="P35" s="31"/>
      <c r="Q35" s="31"/>
      <c r="R35" s="31"/>
      <c r="S35" s="31"/>
      <c r="T35" s="31"/>
      <c r="U35" s="31"/>
      <c r="V35" s="31"/>
      <c r="W35" s="31"/>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row>
    <row r="36" spans="1:53" s="32" customFormat="1" ht="15.75" hidden="1" customHeight="1" x14ac:dyDescent="0.25">
      <c r="A36" s="52">
        <v>33</v>
      </c>
      <c r="B36" s="53" t="s">
        <v>122</v>
      </c>
      <c r="C36" s="54" t="s">
        <v>231</v>
      </c>
      <c r="D36" s="55" t="s">
        <v>199</v>
      </c>
      <c r="E36" s="65">
        <v>36.119999999999997</v>
      </c>
      <c r="F36" s="53" t="s">
        <v>26</v>
      </c>
      <c r="G36" s="50" t="s">
        <v>232</v>
      </c>
      <c r="H36" s="53" t="s">
        <v>233</v>
      </c>
      <c r="I36" s="56" t="s">
        <v>234</v>
      </c>
      <c r="J36" s="31"/>
      <c r="K36" s="31"/>
      <c r="L36" s="31"/>
      <c r="M36" s="31"/>
      <c r="N36" s="31"/>
      <c r="O36" s="31"/>
      <c r="P36" s="31"/>
      <c r="Q36" s="31"/>
      <c r="R36" s="31"/>
      <c r="S36" s="31"/>
      <c r="T36" s="31"/>
      <c r="U36" s="31"/>
      <c r="V36" s="31"/>
      <c r="W36" s="31"/>
      <c r="X36" s="31"/>
      <c r="Y36" s="31"/>
      <c r="Z36" s="31"/>
      <c r="AA36" s="31"/>
      <c r="AB36" s="31"/>
      <c r="AC36" s="31"/>
      <c r="AD36" s="31"/>
      <c r="AE36" s="31"/>
      <c r="AF36" s="31"/>
      <c r="AG36" s="31"/>
      <c r="AH36" s="31"/>
      <c r="AI36" s="31"/>
      <c r="AJ36" s="31"/>
      <c r="AK36" s="31"/>
      <c r="AL36" s="31"/>
      <c r="AM36" s="31"/>
      <c r="AN36" s="31"/>
      <c r="AO36" s="31"/>
      <c r="AP36" s="31"/>
      <c r="AQ36" s="31"/>
      <c r="AR36" s="31"/>
      <c r="AS36" s="31"/>
      <c r="AT36" s="31"/>
      <c r="AU36" s="31"/>
      <c r="AV36" s="31"/>
      <c r="AW36" s="31"/>
      <c r="AX36" s="31"/>
      <c r="AY36" s="31"/>
      <c r="AZ36" s="31"/>
    </row>
    <row r="37" spans="1:53" s="32" customFormat="1" hidden="1" x14ac:dyDescent="0.25">
      <c r="A37" s="57">
        <v>34</v>
      </c>
      <c r="B37" s="51" t="s">
        <v>122</v>
      </c>
      <c r="C37" s="58" t="s">
        <v>167</v>
      </c>
      <c r="D37" s="59" t="s">
        <v>235</v>
      </c>
      <c r="E37" s="66">
        <v>27.24</v>
      </c>
      <c r="F37" s="51" t="s">
        <v>26</v>
      </c>
      <c r="G37" s="62" t="s">
        <v>236</v>
      </c>
      <c r="H37" s="51" t="s">
        <v>237</v>
      </c>
      <c r="I37" s="51" t="s">
        <v>238</v>
      </c>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row>
    <row r="38" spans="1:53" s="32" customFormat="1" hidden="1" x14ac:dyDescent="0.25">
      <c r="A38" s="52">
        <v>35</v>
      </c>
      <c r="B38" s="53" t="s">
        <v>122</v>
      </c>
      <c r="C38" s="54" t="s">
        <v>138</v>
      </c>
      <c r="D38" s="55" t="s">
        <v>235</v>
      </c>
      <c r="E38" s="65">
        <v>69.92</v>
      </c>
      <c r="F38" s="53" t="s">
        <v>26</v>
      </c>
      <c r="G38" s="62" t="s">
        <v>239</v>
      </c>
      <c r="H38" s="53" t="s">
        <v>240</v>
      </c>
      <c r="I38" s="53" t="s">
        <v>241</v>
      </c>
      <c r="J38" s="31"/>
      <c r="K38" s="31"/>
      <c r="L38" s="31"/>
      <c r="M38" s="31"/>
      <c r="N38" s="31"/>
      <c r="O38" s="31"/>
      <c r="P38" s="31"/>
      <c r="Q38" s="31"/>
      <c r="R38" s="31"/>
      <c r="S38" s="31"/>
      <c r="T38" s="31"/>
      <c r="U38" s="31"/>
      <c r="V38" s="31"/>
      <c r="W38" s="31"/>
      <c r="X38" s="31"/>
      <c r="Y38" s="31"/>
      <c r="Z38" s="31"/>
      <c r="AA38" s="31"/>
      <c r="AB38" s="31"/>
      <c r="AC38" s="31"/>
      <c r="AD38" s="31"/>
      <c r="AE38" s="31"/>
      <c r="AF38" s="31"/>
      <c r="AG38" s="31"/>
      <c r="AH38" s="31"/>
      <c r="AI38" s="31"/>
      <c r="AJ38" s="31"/>
      <c r="AK38" s="31"/>
      <c r="AL38" s="31"/>
      <c r="AM38" s="31"/>
      <c r="AN38" s="31"/>
      <c r="AO38" s="31"/>
      <c r="AP38" s="31"/>
      <c r="AQ38" s="31"/>
      <c r="AR38" s="31"/>
      <c r="AS38" s="31"/>
      <c r="AT38" s="31"/>
      <c r="AU38" s="31"/>
      <c r="AV38" s="31"/>
      <c r="AW38" s="31"/>
      <c r="AX38" s="31"/>
      <c r="AY38" s="31"/>
      <c r="AZ38" s="31"/>
      <c r="BA38" s="31"/>
    </row>
    <row r="39" spans="1:53" s="32" customFormat="1" hidden="1" x14ac:dyDescent="0.25">
      <c r="A39" s="52">
        <v>36</v>
      </c>
      <c r="B39" s="53" t="s">
        <v>122</v>
      </c>
      <c r="C39" s="54" t="s">
        <v>151</v>
      </c>
      <c r="D39" s="55" t="s">
        <v>235</v>
      </c>
      <c r="E39" s="65">
        <v>370.65</v>
      </c>
      <c r="F39" s="53" t="s">
        <v>26</v>
      </c>
      <c r="G39" s="62" t="s">
        <v>242</v>
      </c>
      <c r="H39" s="53" t="s">
        <v>243</v>
      </c>
      <c r="I39" s="53" t="s">
        <v>244</v>
      </c>
      <c r="J39" s="31"/>
      <c r="K39" s="31"/>
      <c r="L39" s="31"/>
      <c r="M39" s="31"/>
      <c r="N39" s="31"/>
      <c r="O39" s="31"/>
      <c r="P39" s="31"/>
      <c r="Q39" s="31"/>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row>
    <row r="40" spans="1:53" s="32" customFormat="1" hidden="1" x14ac:dyDescent="0.25">
      <c r="A40" s="52">
        <v>37</v>
      </c>
      <c r="B40" s="53" t="s">
        <v>122</v>
      </c>
      <c r="C40" s="54" t="s">
        <v>245</v>
      </c>
      <c r="D40" s="55" t="s">
        <v>235</v>
      </c>
      <c r="E40" s="65">
        <v>30</v>
      </c>
      <c r="F40" s="53" t="s">
        <v>26</v>
      </c>
      <c r="G40" s="62" t="s">
        <v>246</v>
      </c>
      <c r="H40" s="53" t="s">
        <v>247</v>
      </c>
      <c r="I40" s="53" t="s">
        <v>248</v>
      </c>
      <c r="J40" s="31"/>
      <c r="K40" s="31"/>
      <c r="L40" s="31"/>
      <c r="M40" s="31"/>
      <c r="N40" s="31"/>
      <c r="O40" s="31"/>
      <c r="P40" s="31"/>
      <c r="Q40" s="31"/>
      <c r="R40" s="31"/>
      <c r="S40" s="31"/>
      <c r="T40" s="31"/>
      <c r="U40" s="31"/>
      <c r="V40" s="31"/>
      <c r="W40" s="31"/>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c r="AY40" s="31"/>
      <c r="AZ40" s="31"/>
      <c r="BA40" s="31"/>
    </row>
    <row r="41" spans="1:53" s="32" customFormat="1" hidden="1" x14ac:dyDescent="0.25">
      <c r="A41" s="52">
        <v>38</v>
      </c>
      <c r="B41" s="53" t="s">
        <v>122</v>
      </c>
      <c r="C41" s="54" t="s">
        <v>167</v>
      </c>
      <c r="D41" s="55" t="s">
        <v>235</v>
      </c>
      <c r="E41" s="65">
        <v>23.74</v>
      </c>
      <c r="F41" s="53" t="s">
        <v>26</v>
      </c>
      <c r="G41" s="62" t="s">
        <v>249</v>
      </c>
      <c r="H41" s="53" t="s">
        <v>250</v>
      </c>
      <c r="I41" s="53" t="s">
        <v>251</v>
      </c>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row>
    <row r="42" spans="1:53" s="32" customFormat="1" hidden="1" x14ac:dyDescent="0.25">
      <c r="A42" s="52">
        <v>39</v>
      </c>
      <c r="B42" s="53" t="s">
        <v>122</v>
      </c>
      <c r="C42" s="54" t="s">
        <v>198</v>
      </c>
      <c r="D42" s="55" t="s">
        <v>235</v>
      </c>
      <c r="E42" s="65">
        <v>30.55</v>
      </c>
      <c r="F42" s="53" t="s">
        <v>26</v>
      </c>
      <c r="G42" s="62" t="s">
        <v>252</v>
      </c>
      <c r="H42" s="53" t="s">
        <v>253</v>
      </c>
      <c r="I42" s="53" t="s">
        <v>254</v>
      </c>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row>
    <row r="43" spans="1:53" s="32" customFormat="1" hidden="1" x14ac:dyDescent="0.25">
      <c r="A43" s="52">
        <v>40</v>
      </c>
      <c r="B43" s="53" t="s">
        <v>122</v>
      </c>
      <c r="C43" s="54" t="s">
        <v>167</v>
      </c>
      <c r="D43" s="55" t="s">
        <v>235</v>
      </c>
      <c r="E43" s="65">
        <v>23.74</v>
      </c>
      <c r="F43" s="53" t="s">
        <v>26</v>
      </c>
      <c r="G43" s="62" t="s">
        <v>255</v>
      </c>
      <c r="H43" s="53" t="s">
        <v>256</v>
      </c>
      <c r="I43" s="53" t="s">
        <v>257</v>
      </c>
      <c r="J43" s="31"/>
      <c r="K43" s="31"/>
      <c r="L43" s="31"/>
      <c r="M43" s="31"/>
      <c r="N43" s="31"/>
      <c r="O43" s="31"/>
      <c r="P43" s="31"/>
      <c r="Q43" s="31"/>
      <c r="R43" s="31"/>
      <c r="S43" s="31"/>
      <c r="T43" s="31"/>
      <c r="U43" s="31"/>
      <c r="V43" s="31"/>
      <c r="W43" s="31"/>
      <c r="X43" s="31"/>
      <c r="Y43" s="31"/>
      <c r="Z43" s="31"/>
      <c r="AA43" s="31"/>
      <c r="AB43" s="31"/>
      <c r="AC43" s="31"/>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row>
    <row r="44" spans="1:53" s="32" customFormat="1" hidden="1" x14ac:dyDescent="0.25">
      <c r="A44" s="52">
        <v>41</v>
      </c>
      <c r="B44" s="53" t="s">
        <v>122</v>
      </c>
      <c r="C44" s="54" t="s">
        <v>167</v>
      </c>
      <c r="D44" s="55" t="s">
        <v>235</v>
      </c>
      <c r="E44" s="65">
        <v>25.49</v>
      </c>
      <c r="F44" s="53" t="s">
        <v>26</v>
      </c>
      <c r="G44" s="62" t="s">
        <v>258</v>
      </c>
      <c r="H44" s="53" t="s">
        <v>259</v>
      </c>
      <c r="I44" s="53" t="s">
        <v>260</v>
      </c>
      <c r="J44" s="31"/>
      <c r="K44" s="31"/>
      <c r="L44" s="31"/>
      <c r="M44" s="31"/>
      <c r="N44" s="31"/>
      <c r="O44" s="31"/>
      <c r="P44" s="31"/>
      <c r="Q44" s="31"/>
      <c r="R44" s="31"/>
      <c r="S44" s="31"/>
      <c r="T44" s="31"/>
      <c r="U44" s="31"/>
      <c r="V44" s="31"/>
      <c r="W44" s="31"/>
      <c r="X44" s="31"/>
      <c r="Y44" s="31"/>
      <c r="Z44" s="31"/>
      <c r="AA44" s="31"/>
      <c r="AB44" s="31"/>
      <c r="AC44" s="31"/>
      <c r="AD44" s="31"/>
      <c r="AE44" s="31"/>
      <c r="AF44" s="31"/>
      <c r="AG44" s="31"/>
      <c r="AH44" s="31"/>
      <c r="AI44" s="31"/>
      <c r="AJ44" s="31"/>
      <c r="AK44" s="31"/>
      <c r="AL44" s="31"/>
      <c r="AM44" s="31"/>
      <c r="AN44" s="31"/>
      <c r="AO44" s="31"/>
      <c r="AP44" s="31"/>
      <c r="AQ44" s="31"/>
      <c r="AR44" s="31"/>
      <c r="AS44" s="31"/>
      <c r="AT44" s="31"/>
      <c r="AU44" s="31"/>
      <c r="AV44" s="31"/>
      <c r="AW44" s="31"/>
      <c r="AX44" s="31"/>
      <c r="AY44" s="31"/>
      <c r="AZ44" s="31"/>
      <c r="BA44" s="31"/>
    </row>
    <row r="45" spans="1:53" s="32" customFormat="1" hidden="1" x14ac:dyDescent="0.25">
      <c r="A45" s="52">
        <v>42</v>
      </c>
      <c r="B45" s="53" t="s">
        <v>122</v>
      </c>
      <c r="C45" s="54" t="s">
        <v>261</v>
      </c>
      <c r="D45" s="55" t="s">
        <v>235</v>
      </c>
      <c r="E45" s="65">
        <v>69.8</v>
      </c>
      <c r="F45" s="53" t="s">
        <v>26</v>
      </c>
      <c r="G45" s="62" t="s">
        <v>262</v>
      </c>
      <c r="H45" s="53" t="s">
        <v>263</v>
      </c>
      <c r="I45" s="56" t="s">
        <v>264</v>
      </c>
      <c r="J45" s="31"/>
      <c r="K45" s="31"/>
      <c r="L45" s="31"/>
      <c r="M45" s="31"/>
      <c r="N45" s="31"/>
      <c r="O45" s="31"/>
      <c r="P45" s="31"/>
      <c r="Q45" s="31"/>
      <c r="R45" s="31"/>
      <c r="S45" s="31"/>
      <c r="T45" s="31"/>
      <c r="U45" s="31"/>
      <c r="V45" s="31"/>
      <c r="W45" s="31"/>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row>
    <row r="46" spans="1:53" s="32" customFormat="1" hidden="1" x14ac:dyDescent="0.25">
      <c r="A46" s="52">
        <v>43</v>
      </c>
      <c r="B46" s="53" t="s">
        <v>122</v>
      </c>
      <c r="C46" s="54" t="s">
        <v>265</v>
      </c>
      <c r="D46" s="55" t="s">
        <v>235</v>
      </c>
      <c r="E46" s="65">
        <v>161.78</v>
      </c>
      <c r="F46" s="53" t="s">
        <v>26</v>
      </c>
      <c r="G46" s="62" t="s">
        <v>266</v>
      </c>
      <c r="H46" s="53" t="s">
        <v>263</v>
      </c>
      <c r="I46" s="56" t="s">
        <v>267</v>
      </c>
      <c r="J46" s="31"/>
      <c r="K46" s="31"/>
      <c r="L46" s="31"/>
      <c r="M46" s="31"/>
      <c r="N46" s="31"/>
      <c r="O46" s="31"/>
      <c r="P46" s="31"/>
      <c r="Q46" s="31"/>
      <c r="R46" s="31"/>
      <c r="S46" s="31"/>
      <c r="T46" s="31"/>
      <c r="U46" s="31"/>
      <c r="V46" s="31"/>
      <c r="W46" s="31"/>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c r="AY46" s="31"/>
      <c r="AZ46" s="31"/>
      <c r="BA46" s="31"/>
    </row>
    <row r="47" spans="1:53" s="32" customFormat="1" hidden="1" x14ac:dyDescent="0.25">
      <c r="A47" s="52">
        <v>44</v>
      </c>
      <c r="B47" s="53" t="s">
        <v>122</v>
      </c>
      <c r="C47" s="54" t="s">
        <v>268</v>
      </c>
      <c r="D47" s="55" t="s">
        <v>235</v>
      </c>
      <c r="E47" s="65">
        <v>686.88</v>
      </c>
      <c r="F47" s="53" t="s">
        <v>26</v>
      </c>
      <c r="G47" s="62" t="s">
        <v>269</v>
      </c>
      <c r="H47" s="53" t="s">
        <v>270</v>
      </c>
      <c r="I47" s="53" t="s">
        <v>271</v>
      </c>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row>
    <row r="48" spans="1:53" s="32" customFormat="1" hidden="1" x14ac:dyDescent="0.25">
      <c r="A48" s="52">
        <v>45</v>
      </c>
      <c r="B48" s="53" t="s">
        <v>122</v>
      </c>
      <c r="C48" s="54" t="s">
        <v>167</v>
      </c>
      <c r="D48" s="55" t="s">
        <v>235</v>
      </c>
      <c r="E48" s="65">
        <v>69.239999999999995</v>
      </c>
      <c r="F48" s="53" t="s">
        <v>26</v>
      </c>
      <c r="G48" s="62" t="s">
        <v>272</v>
      </c>
      <c r="H48" s="53" t="s">
        <v>273</v>
      </c>
      <c r="I48" s="53" t="s">
        <v>274</v>
      </c>
      <c r="J48" s="31"/>
      <c r="K48" s="31"/>
      <c r="L48" s="31"/>
      <c r="M48" s="31"/>
      <c r="N48" s="31"/>
      <c r="O48" s="31"/>
      <c r="P48" s="31"/>
      <c r="Q48" s="31"/>
      <c r="R48" s="31"/>
      <c r="S48" s="31"/>
      <c r="T48" s="31"/>
      <c r="U48" s="31"/>
      <c r="V48" s="31"/>
      <c r="W48" s="31"/>
      <c r="X48" s="31"/>
      <c r="Y48" s="31"/>
      <c r="Z48" s="31"/>
      <c r="AA48" s="31"/>
      <c r="AB48" s="31"/>
      <c r="AC48" s="31"/>
      <c r="AD48" s="31"/>
      <c r="AE48" s="31"/>
      <c r="AF48" s="31"/>
      <c r="AG48" s="31"/>
      <c r="AH48" s="31"/>
      <c r="AI48" s="31"/>
      <c r="AJ48" s="31"/>
      <c r="AK48" s="31"/>
      <c r="AL48" s="31"/>
      <c r="AM48" s="31"/>
      <c r="AN48" s="31"/>
      <c r="AO48" s="31"/>
      <c r="AP48" s="31"/>
      <c r="AQ48" s="31"/>
      <c r="AR48" s="31"/>
      <c r="AS48" s="31"/>
      <c r="AT48" s="31"/>
      <c r="AU48" s="31"/>
      <c r="AV48" s="31"/>
      <c r="AW48" s="31"/>
      <c r="AX48" s="31"/>
      <c r="AY48" s="31"/>
      <c r="AZ48" s="31"/>
      <c r="BA48" s="31"/>
    </row>
    <row r="49" spans="1:53" s="32" customFormat="1" hidden="1" x14ac:dyDescent="0.25">
      <c r="A49" s="52">
        <v>46</v>
      </c>
      <c r="B49" s="53" t="s">
        <v>122</v>
      </c>
      <c r="C49" s="54" t="s">
        <v>167</v>
      </c>
      <c r="D49" s="55" t="s">
        <v>275</v>
      </c>
      <c r="E49" s="65">
        <v>28.49</v>
      </c>
      <c r="F49" s="53" t="s">
        <v>26</v>
      </c>
      <c r="G49" s="62" t="s">
        <v>276</v>
      </c>
      <c r="H49" s="53" t="s">
        <v>277</v>
      </c>
      <c r="I49" s="53" t="s">
        <v>278</v>
      </c>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row>
    <row r="50" spans="1:53" s="32" customFormat="1" hidden="1" x14ac:dyDescent="0.25">
      <c r="A50" s="52">
        <v>47</v>
      </c>
      <c r="B50" s="53" t="s">
        <v>122</v>
      </c>
      <c r="C50" s="54" t="s">
        <v>123</v>
      </c>
      <c r="D50" s="55" t="s">
        <v>275</v>
      </c>
      <c r="E50" s="65">
        <v>26.29</v>
      </c>
      <c r="F50" s="53" t="s">
        <v>26</v>
      </c>
      <c r="G50" s="62" t="s">
        <v>279</v>
      </c>
      <c r="H50" s="53" t="s">
        <v>280</v>
      </c>
      <c r="I50" s="53" t="s">
        <v>281</v>
      </c>
      <c r="J50" s="31"/>
      <c r="K50" s="31"/>
      <c r="L50" s="31"/>
      <c r="M50" s="31"/>
      <c r="N50" s="31"/>
      <c r="O50" s="31"/>
      <c r="P50" s="31"/>
      <c r="Q50" s="31"/>
      <c r="R50" s="31"/>
      <c r="S50" s="31"/>
      <c r="T50" s="31"/>
      <c r="U50" s="31"/>
      <c r="V50" s="31"/>
      <c r="W50" s="31"/>
      <c r="X50" s="31"/>
      <c r="Y50" s="31"/>
      <c r="Z50" s="31"/>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row>
    <row r="51" spans="1:53" s="32" customFormat="1" hidden="1" x14ac:dyDescent="0.25">
      <c r="A51" s="52">
        <v>48</v>
      </c>
      <c r="B51" s="53" t="s">
        <v>122</v>
      </c>
      <c r="C51" s="54" t="s">
        <v>131</v>
      </c>
      <c r="D51" s="55" t="s">
        <v>275</v>
      </c>
      <c r="E51" s="65">
        <v>2.92</v>
      </c>
      <c r="F51" s="53" t="s">
        <v>26</v>
      </c>
      <c r="G51" s="62" t="s">
        <v>282</v>
      </c>
      <c r="H51" s="53" t="s">
        <v>280</v>
      </c>
      <c r="I51" s="53" t="s">
        <v>283</v>
      </c>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row>
    <row r="52" spans="1:53" s="32" customFormat="1" hidden="1" x14ac:dyDescent="0.25">
      <c r="A52" s="52">
        <v>49</v>
      </c>
      <c r="B52" s="53" t="s">
        <v>122</v>
      </c>
      <c r="C52" s="54" t="s">
        <v>167</v>
      </c>
      <c r="D52" s="55" t="s">
        <v>275</v>
      </c>
      <c r="E52" s="65">
        <v>55.33</v>
      </c>
      <c r="F52" s="53" t="s">
        <v>26</v>
      </c>
      <c r="G52" s="62" t="s">
        <v>284</v>
      </c>
      <c r="H52" s="53" t="s">
        <v>285</v>
      </c>
      <c r="I52" s="53" t="s">
        <v>286</v>
      </c>
      <c r="J52" s="31"/>
      <c r="K52" s="31"/>
      <c r="L52" s="31"/>
      <c r="M52" s="31"/>
      <c r="N52" s="31"/>
      <c r="O52" s="31"/>
      <c r="P52" s="31"/>
      <c r="Q52" s="31"/>
      <c r="R52" s="31"/>
      <c r="S52" s="31"/>
      <c r="T52" s="31"/>
      <c r="U52" s="31"/>
      <c r="V52" s="31"/>
      <c r="W52" s="31"/>
      <c r="X52" s="31"/>
      <c r="Y52" s="31"/>
      <c r="Z52" s="31"/>
      <c r="AA52" s="31"/>
      <c r="AB52" s="31"/>
      <c r="AC52" s="31"/>
      <c r="AD52" s="31"/>
      <c r="AE52" s="31"/>
      <c r="AF52" s="31"/>
      <c r="AG52" s="31"/>
      <c r="AH52" s="31"/>
      <c r="AI52" s="31"/>
      <c r="AJ52" s="31"/>
      <c r="AK52" s="31"/>
      <c r="AL52" s="31"/>
      <c r="AM52" s="31"/>
      <c r="AN52" s="31"/>
      <c r="AO52" s="31"/>
      <c r="AP52" s="31"/>
      <c r="AQ52" s="31"/>
      <c r="AR52" s="31"/>
      <c r="AS52" s="31"/>
      <c r="AT52" s="31"/>
      <c r="AU52" s="31"/>
      <c r="AV52" s="31"/>
      <c r="AW52" s="31"/>
      <c r="AX52" s="31"/>
      <c r="AY52" s="31"/>
      <c r="AZ52" s="31"/>
      <c r="BA52" s="31"/>
    </row>
    <row r="53" spans="1:53" s="32" customFormat="1" hidden="1" x14ac:dyDescent="0.25">
      <c r="A53" s="52">
        <v>50</v>
      </c>
      <c r="B53" s="53" t="s">
        <v>122</v>
      </c>
      <c r="C53" s="54" t="s">
        <v>167</v>
      </c>
      <c r="D53" s="55" t="s">
        <v>275</v>
      </c>
      <c r="E53" s="65">
        <v>14.99</v>
      </c>
      <c r="F53" s="53" t="s">
        <v>26</v>
      </c>
      <c r="G53" s="62" t="s">
        <v>287</v>
      </c>
      <c r="H53" s="53" t="s">
        <v>288</v>
      </c>
      <c r="I53" s="53" t="s">
        <v>289</v>
      </c>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row>
    <row r="54" spans="1:53" s="32" customFormat="1" hidden="1" x14ac:dyDescent="0.25">
      <c r="A54" s="52">
        <v>51</v>
      </c>
      <c r="B54" s="53" t="s">
        <v>122</v>
      </c>
      <c r="C54" s="54" t="s">
        <v>198</v>
      </c>
      <c r="D54" s="55" t="s">
        <v>275</v>
      </c>
      <c r="E54" s="65">
        <v>54.97</v>
      </c>
      <c r="F54" s="53" t="s">
        <v>26</v>
      </c>
      <c r="G54" s="62" t="s">
        <v>290</v>
      </c>
      <c r="H54" s="53" t="s">
        <v>291</v>
      </c>
      <c r="I54" s="53" t="s">
        <v>292</v>
      </c>
      <c r="J54" s="31"/>
      <c r="K54" s="31"/>
      <c r="L54" s="31"/>
      <c r="M54" s="31"/>
      <c r="N54" s="31"/>
      <c r="O54" s="31"/>
      <c r="P54" s="31"/>
      <c r="Q54" s="31"/>
      <c r="R54" s="31"/>
      <c r="S54" s="31"/>
      <c r="T54" s="31"/>
      <c r="U54" s="31"/>
      <c r="V54" s="31"/>
      <c r="W54" s="31"/>
      <c r="X54" s="31"/>
      <c r="Y54" s="31"/>
      <c r="Z54" s="31"/>
      <c r="AA54" s="31"/>
      <c r="AB54" s="31"/>
      <c r="AC54" s="31"/>
      <c r="AD54" s="31"/>
      <c r="AE54" s="31"/>
      <c r="AF54" s="31"/>
      <c r="AG54" s="31"/>
      <c r="AH54" s="31"/>
      <c r="AI54" s="31"/>
      <c r="AJ54" s="31"/>
      <c r="AK54" s="31"/>
      <c r="AL54" s="31"/>
      <c r="AM54" s="31"/>
      <c r="AN54" s="31"/>
      <c r="AO54" s="31"/>
      <c r="AP54" s="31"/>
      <c r="AQ54" s="31"/>
      <c r="AR54" s="31"/>
      <c r="AS54" s="31"/>
      <c r="AT54" s="31"/>
      <c r="AU54" s="31"/>
      <c r="AV54" s="31"/>
      <c r="AW54" s="31"/>
      <c r="AX54" s="31"/>
      <c r="AY54" s="31"/>
      <c r="AZ54" s="31"/>
      <c r="BA54" s="31"/>
    </row>
    <row r="55" spans="1:53" s="32" customFormat="1" hidden="1" x14ac:dyDescent="0.25">
      <c r="A55" s="52">
        <v>52</v>
      </c>
      <c r="B55" s="53" t="s">
        <v>122</v>
      </c>
      <c r="C55" s="54" t="s">
        <v>265</v>
      </c>
      <c r="D55" s="55" t="s">
        <v>275</v>
      </c>
      <c r="E55" s="65">
        <v>74.97</v>
      </c>
      <c r="F55" s="53" t="s">
        <v>26</v>
      </c>
      <c r="G55" s="62" t="s">
        <v>293</v>
      </c>
      <c r="H55" s="53" t="s">
        <v>291</v>
      </c>
      <c r="I55" s="53" t="s">
        <v>294</v>
      </c>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row>
    <row r="56" spans="1:53" s="32" customFormat="1" hidden="1" x14ac:dyDescent="0.25">
      <c r="A56" s="52">
        <v>53</v>
      </c>
      <c r="B56" s="53" t="s">
        <v>122</v>
      </c>
      <c r="C56" s="54" t="s">
        <v>147</v>
      </c>
      <c r="D56" s="55" t="s">
        <v>275</v>
      </c>
      <c r="E56" s="65">
        <v>16.98</v>
      </c>
      <c r="F56" s="53" t="s">
        <v>26</v>
      </c>
      <c r="G56" s="62" t="s">
        <v>295</v>
      </c>
      <c r="H56" s="53" t="s">
        <v>296</v>
      </c>
      <c r="I56" s="53" t="s">
        <v>297</v>
      </c>
      <c r="J56" s="31"/>
      <c r="K56" s="31"/>
      <c r="L56" s="31"/>
      <c r="M56" s="31"/>
      <c r="N56" s="31"/>
      <c r="O56" s="31"/>
      <c r="P56" s="31"/>
      <c r="Q56" s="31"/>
      <c r="R56" s="31"/>
      <c r="S56" s="31"/>
      <c r="T56" s="31"/>
      <c r="U56" s="31"/>
      <c r="V56" s="31"/>
      <c r="W56" s="31"/>
      <c r="X56" s="31"/>
      <c r="Y56" s="31"/>
      <c r="Z56" s="31"/>
      <c r="AA56" s="31"/>
      <c r="AB56" s="31"/>
      <c r="AC56" s="31"/>
      <c r="AD56" s="31"/>
      <c r="AE56" s="31"/>
      <c r="AF56" s="31"/>
      <c r="AG56" s="31"/>
      <c r="AH56" s="31"/>
      <c r="AI56" s="31"/>
      <c r="AJ56" s="31"/>
      <c r="AK56" s="31"/>
      <c r="AL56" s="31"/>
      <c r="AM56" s="31"/>
      <c r="AN56" s="31"/>
      <c r="AO56" s="31"/>
      <c r="AP56" s="31"/>
      <c r="AQ56" s="31"/>
      <c r="AR56" s="31"/>
      <c r="AS56" s="31"/>
      <c r="AT56" s="31"/>
      <c r="AU56" s="31"/>
      <c r="AV56" s="31"/>
      <c r="AW56" s="31"/>
      <c r="AX56" s="31"/>
      <c r="AY56" s="31"/>
      <c r="AZ56" s="31"/>
      <c r="BA56" s="31"/>
    </row>
    <row r="57" spans="1:53" s="32" customFormat="1" hidden="1" x14ac:dyDescent="0.25">
      <c r="A57" s="52">
        <v>54</v>
      </c>
      <c r="B57" s="53" t="s">
        <v>122</v>
      </c>
      <c r="C57" s="54" t="s">
        <v>167</v>
      </c>
      <c r="D57" s="55" t="s">
        <v>275</v>
      </c>
      <c r="E57" s="65">
        <v>27.24</v>
      </c>
      <c r="F57" s="53" t="s">
        <v>26</v>
      </c>
      <c r="G57" s="62" t="s">
        <v>298</v>
      </c>
      <c r="H57" s="53" t="s">
        <v>299</v>
      </c>
      <c r="I57" s="53" t="s">
        <v>300</v>
      </c>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row>
    <row r="58" spans="1:53" s="32" customFormat="1" hidden="1" x14ac:dyDescent="0.25">
      <c r="A58" s="52">
        <v>55</v>
      </c>
      <c r="B58" s="53" t="s">
        <v>122</v>
      </c>
      <c r="C58" s="54" t="s">
        <v>128</v>
      </c>
      <c r="D58" s="55" t="s">
        <v>275</v>
      </c>
      <c r="E58" s="65">
        <v>11.33</v>
      </c>
      <c r="F58" s="53" t="s">
        <v>26</v>
      </c>
      <c r="G58" s="62" t="s">
        <v>301</v>
      </c>
      <c r="H58" s="53" t="s">
        <v>302</v>
      </c>
      <c r="I58" s="53" t="s">
        <v>303</v>
      </c>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row>
    <row r="59" spans="1:53" s="32" customFormat="1" hidden="1" x14ac:dyDescent="0.25">
      <c r="A59" s="52">
        <v>56</v>
      </c>
      <c r="B59" s="53" t="s">
        <v>122</v>
      </c>
      <c r="C59" s="54" t="s">
        <v>214</v>
      </c>
      <c r="D59" s="55" t="s">
        <v>275</v>
      </c>
      <c r="E59" s="65">
        <v>43.41</v>
      </c>
      <c r="F59" s="53" t="s">
        <v>26</v>
      </c>
      <c r="G59" s="62" t="s">
        <v>304</v>
      </c>
      <c r="H59" s="53" t="s">
        <v>305</v>
      </c>
      <c r="I59" s="53" t="s">
        <v>306</v>
      </c>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row>
    <row r="60" spans="1:53" s="32" customFormat="1" hidden="1" x14ac:dyDescent="0.25">
      <c r="A60" s="52">
        <v>57</v>
      </c>
      <c r="B60" s="53" t="s">
        <v>122</v>
      </c>
      <c r="C60" s="54" t="s">
        <v>167</v>
      </c>
      <c r="D60" s="55" t="s">
        <v>275</v>
      </c>
      <c r="E60" s="65">
        <v>65.02</v>
      </c>
      <c r="F60" s="53" t="s">
        <v>26</v>
      </c>
      <c r="G60" s="62" t="s">
        <v>307</v>
      </c>
      <c r="H60" s="53" t="s">
        <v>308</v>
      </c>
      <c r="I60" s="53" t="s">
        <v>309</v>
      </c>
      <c r="J60" s="31"/>
      <c r="K60" s="31"/>
      <c r="L60" s="31"/>
      <c r="M60" s="31"/>
      <c r="N60" s="31"/>
      <c r="O60" s="31"/>
      <c r="P60" s="31"/>
      <c r="Q60" s="31"/>
      <c r="R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row>
    <row r="61" spans="1:53" s="32" customFormat="1" hidden="1" x14ac:dyDescent="0.25">
      <c r="A61" s="52">
        <v>58</v>
      </c>
      <c r="B61" s="53" t="s">
        <v>122</v>
      </c>
      <c r="C61" s="54" t="s">
        <v>310</v>
      </c>
      <c r="D61" s="55" t="s">
        <v>275</v>
      </c>
      <c r="E61" s="65">
        <v>75</v>
      </c>
      <c r="F61" s="53" t="s">
        <v>26</v>
      </c>
      <c r="G61" s="62" t="s">
        <v>311</v>
      </c>
      <c r="H61" s="53" t="s">
        <v>312</v>
      </c>
      <c r="I61" s="53" t="s">
        <v>313</v>
      </c>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row>
    <row r="62" spans="1:53" s="32" customFormat="1" hidden="1" x14ac:dyDescent="0.25">
      <c r="A62" s="52">
        <v>59</v>
      </c>
      <c r="B62" s="53" t="s">
        <v>122</v>
      </c>
      <c r="C62" s="54" t="s">
        <v>128</v>
      </c>
      <c r="D62" s="55" t="s">
        <v>275</v>
      </c>
      <c r="E62" s="65">
        <v>15.47</v>
      </c>
      <c r="F62" s="53" t="s">
        <v>26</v>
      </c>
      <c r="G62" s="62" t="s">
        <v>314</v>
      </c>
      <c r="H62" s="53" t="s">
        <v>315</v>
      </c>
      <c r="I62" s="53" t="s">
        <v>316</v>
      </c>
      <c r="J62" s="31"/>
      <c r="K62" s="31"/>
      <c r="L62" s="31"/>
      <c r="M62" s="31"/>
      <c r="N62" s="31"/>
      <c r="O62" s="31"/>
      <c r="P62" s="31"/>
      <c r="Q62" s="31"/>
      <c r="R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row>
    <row r="63" spans="1:53" s="32" customFormat="1" hidden="1" x14ac:dyDescent="0.25">
      <c r="A63" s="52">
        <v>60</v>
      </c>
      <c r="B63" s="53" t="s">
        <v>122</v>
      </c>
      <c r="C63" s="54" t="s">
        <v>317</v>
      </c>
      <c r="D63" s="55" t="s">
        <v>275</v>
      </c>
      <c r="E63" s="65">
        <v>42.9</v>
      </c>
      <c r="F63" s="53" t="s">
        <v>26</v>
      </c>
      <c r="G63" s="62" t="s">
        <v>318</v>
      </c>
      <c r="H63" s="53" t="s">
        <v>319</v>
      </c>
      <c r="I63" s="53" t="s">
        <v>320</v>
      </c>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row>
    <row r="64" spans="1:53" s="32" customFormat="1" hidden="1" x14ac:dyDescent="0.25">
      <c r="A64" s="52">
        <v>61</v>
      </c>
      <c r="B64" s="53" t="s">
        <v>122</v>
      </c>
      <c r="C64" s="54" t="s">
        <v>138</v>
      </c>
      <c r="D64" s="55" t="s">
        <v>275</v>
      </c>
      <c r="E64" s="65">
        <v>58.97</v>
      </c>
      <c r="F64" s="53" t="s">
        <v>26</v>
      </c>
      <c r="G64" s="62" t="s">
        <v>321</v>
      </c>
      <c r="H64" s="53" t="s">
        <v>322</v>
      </c>
      <c r="I64" s="53" t="s">
        <v>323</v>
      </c>
      <c r="J64" s="31"/>
      <c r="K64" s="31"/>
      <c r="L64" s="31"/>
      <c r="M64" s="31"/>
      <c r="N64" s="31"/>
      <c r="O64" s="31"/>
      <c r="P64" s="31"/>
      <c r="Q64" s="31"/>
      <c r="R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row>
    <row r="65" spans="1:53" s="32" customFormat="1" hidden="1" x14ac:dyDescent="0.25">
      <c r="A65" s="52">
        <v>62</v>
      </c>
      <c r="B65" s="53" t="s">
        <v>122</v>
      </c>
      <c r="C65" s="54" t="s">
        <v>245</v>
      </c>
      <c r="D65" s="55" t="s">
        <v>275</v>
      </c>
      <c r="E65" s="65">
        <v>15</v>
      </c>
      <c r="F65" s="53" t="s">
        <v>26</v>
      </c>
      <c r="G65" s="62" t="s">
        <v>324</v>
      </c>
      <c r="H65" s="53" t="s">
        <v>325</v>
      </c>
      <c r="I65" s="53" t="s">
        <v>326</v>
      </c>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row>
    <row r="66" spans="1:53" s="32" customFormat="1" hidden="1" x14ac:dyDescent="0.25">
      <c r="A66" s="52">
        <v>63</v>
      </c>
      <c r="B66" s="53" t="s">
        <v>122</v>
      </c>
      <c r="C66" s="54" t="s">
        <v>138</v>
      </c>
      <c r="D66" s="55" t="s">
        <v>275</v>
      </c>
      <c r="E66" s="65">
        <v>254.65</v>
      </c>
      <c r="F66" s="53" t="s">
        <v>26</v>
      </c>
      <c r="G66" s="62" t="s">
        <v>327</v>
      </c>
      <c r="H66" s="53" t="s">
        <v>325</v>
      </c>
      <c r="I66" s="53" t="s">
        <v>328</v>
      </c>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31"/>
      <c r="AM66" s="31"/>
      <c r="AN66" s="31"/>
      <c r="AO66" s="31"/>
      <c r="AP66" s="31"/>
      <c r="AQ66" s="31"/>
      <c r="AR66" s="31"/>
      <c r="AS66" s="31"/>
      <c r="AT66" s="31"/>
      <c r="AU66" s="31"/>
      <c r="AV66" s="31"/>
      <c r="AW66" s="31"/>
      <c r="AX66" s="31"/>
      <c r="AY66" s="31"/>
      <c r="AZ66" s="31"/>
      <c r="BA66" s="31"/>
    </row>
    <row r="67" spans="1:53" s="32" customFormat="1" hidden="1" x14ac:dyDescent="0.25">
      <c r="A67" s="52">
        <v>64</v>
      </c>
      <c r="B67" s="53" t="s">
        <v>122</v>
      </c>
      <c r="C67" s="54" t="s">
        <v>265</v>
      </c>
      <c r="D67" s="55" t="s">
        <v>275</v>
      </c>
      <c r="E67" s="65">
        <v>47.94</v>
      </c>
      <c r="F67" s="53" t="s">
        <v>26</v>
      </c>
      <c r="G67" s="62" t="s">
        <v>329</v>
      </c>
      <c r="H67" s="53" t="s">
        <v>325</v>
      </c>
      <c r="I67" s="53" t="s">
        <v>330</v>
      </c>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row>
    <row r="68" spans="1:53" s="32" customFormat="1" hidden="1" x14ac:dyDescent="0.25">
      <c r="A68" s="52">
        <v>65</v>
      </c>
      <c r="B68" s="53" t="s">
        <v>122</v>
      </c>
      <c r="C68" s="54" t="s">
        <v>167</v>
      </c>
      <c r="D68" s="55" t="s">
        <v>275</v>
      </c>
      <c r="E68" s="65">
        <v>31.98</v>
      </c>
      <c r="F68" s="53" t="s">
        <v>26</v>
      </c>
      <c r="G68" s="62" t="s">
        <v>331</v>
      </c>
      <c r="H68" s="53" t="s">
        <v>332</v>
      </c>
      <c r="I68" s="53" t="s">
        <v>333</v>
      </c>
      <c r="J68" s="31"/>
      <c r="K68" s="31"/>
      <c r="L68" s="31"/>
      <c r="M68" s="31"/>
      <c r="N68" s="31"/>
      <c r="O68" s="31"/>
      <c r="P68" s="31"/>
      <c r="Q68" s="31"/>
      <c r="R68" s="31"/>
      <c r="S68" s="31"/>
      <c r="T68" s="31"/>
      <c r="U68" s="31"/>
      <c r="V68" s="31"/>
      <c r="W68" s="31"/>
      <c r="X68" s="31"/>
      <c r="Y68" s="31"/>
      <c r="Z68" s="31"/>
      <c r="AA68" s="31"/>
      <c r="AB68" s="31"/>
      <c r="AC68" s="31"/>
      <c r="AD68" s="31"/>
      <c r="AE68" s="31"/>
      <c r="AF68" s="31"/>
      <c r="AG68" s="31"/>
      <c r="AH68" s="31"/>
      <c r="AI68" s="31"/>
      <c r="AJ68" s="31"/>
      <c r="AK68" s="31"/>
      <c r="AL68" s="31"/>
      <c r="AM68" s="31"/>
      <c r="AN68" s="31"/>
      <c r="AO68" s="31"/>
      <c r="AP68" s="31"/>
      <c r="AQ68" s="31"/>
      <c r="AR68" s="31"/>
      <c r="AS68" s="31"/>
      <c r="AT68" s="31"/>
      <c r="AU68" s="31"/>
      <c r="AV68" s="31"/>
      <c r="AW68" s="31"/>
      <c r="AX68" s="31"/>
      <c r="AY68" s="31"/>
      <c r="AZ68" s="31"/>
      <c r="BA68" s="31"/>
    </row>
    <row r="69" spans="1:53" s="32" customFormat="1" hidden="1" x14ac:dyDescent="0.25">
      <c r="A69" s="52">
        <v>66</v>
      </c>
      <c r="B69" s="53" t="s">
        <v>122</v>
      </c>
      <c r="C69" s="54" t="s">
        <v>151</v>
      </c>
      <c r="D69" s="55" t="s">
        <v>275</v>
      </c>
      <c r="E69" s="65">
        <v>308.13</v>
      </c>
      <c r="F69" s="53" t="s">
        <v>26</v>
      </c>
      <c r="G69" s="62" t="s">
        <v>334</v>
      </c>
      <c r="H69" s="53" t="s">
        <v>335</v>
      </c>
      <c r="I69" s="53" t="s">
        <v>336</v>
      </c>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row>
    <row r="70" spans="1:53" s="32" customFormat="1" hidden="1" x14ac:dyDescent="0.25">
      <c r="A70" s="52">
        <v>67</v>
      </c>
      <c r="B70" s="53" t="s">
        <v>122</v>
      </c>
      <c r="C70" s="54" t="s">
        <v>138</v>
      </c>
      <c r="D70" s="55" t="s">
        <v>337</v>
      </c>
      <c r="E70" s="65">
        <v>22.95</v>
      </c>
      <c r="F70" s="53" t="s">
        <v>26</v>
      </c>
      <c r="G70" s="62" t="s">
        <v>338</v>
      </c>
      <c r="H70" s="53" t="s">
        <v>339</v>
      </c>
      <c r="I70" s="53" t="s">
        <v>340</v>
      </c>
      <c r="J70" s="31"/>
      <c r="K70" s="31"/>
      <c r="L70" s="31"/>
      <c r="M70" s="31"/>
      <c r="N70" s="31"/>
      <c r="O70" s="31"/>
      <c r="P70" s="31"/>
      <c r="Q70" s="31"/>
      <c r="R70" s="31"/>
      <c r="S70" s="31"/>
      <c r="T70" s="31"/>
      <c r="U70" s="31"/>
      <c r="V70" s="31"/>
      <c r="W70" s="31"/>
      <c r="X70" s="31"/>
      <c r="Y70" s="31"/>
      <c r="Z70" s="31"/>
      <c r="AA70" s="31"/>
      <c r="AB70" s="31"/>
      <c r="AC70" s="31"/>
      <c r="AD70" s="31"/>
      <c r="AE70" s="31"/>
      <c r="AF70" s="31"/>
      <c r="AG70" s="31"/>
      <c r="AH70" s="31"/>
      <c r="AI70" s="31"/>
      <c r="AJ70" s="31"/>
      <c r="AK70" s="31"/>
      <c r="AL70" s="31"/>
      <c r="AM70" s="31"/>
      <c r="AN70" s="31"/>
      <c r="AO70" s="31"/>
      <c r="AP70" s="31"/>
      <c r="AQ70" s="31"/>
      <c r="AR70" s="31"/>
      <c r="AS70" s="31"/>
      <c r="AT70" s="31"/>
      <c r="AU70" s="31"/>
      <c r="AV70" s="31"/>
      <c r="AW70" s="31"/>
      <c r="AX70" s="31"/>
      <c r="AY70" s="31"/>
      <c r="AZ70" s="31"/>
      <c r="BA70" s="31"/>
    </row>
    <row r="71" spans="1:53" s="32" customFormat="1" hidden="1" x14ac:dyDescent="0.25">
      <c r="A71" s="52">
        <v>68</v>
      </c>
      <c r="B71" s="53" t="s">
        <v>122</v>
      </c>
      <c r="C71" s="54" t="s">
        <v>167</v>
      </c>
      <c r="D71" s="55" t="s">
        <v>337</v>
      </c>
      <c r="E71" s="65">
        <v>28.73</v>
      </c>
      <c r="F71" s="53" t="s">
        <v>26</v>
      </c>
      <c r="G71" s="62" t="s">
        <v>341</v>
      </c>
      <c r="H71" s="53" t="s">
        <v>342</v>
      </c>
      <c r="I71" s="53" t="s">
        <v>343</v>
      </c>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row>
    <row r="72" spans="1:53" s="32" customFormat="1" hidden="1" x14ac:dyDescent="0.25">
      <c r="A72" s="52">
        <v>69</v>
      </c>
      <c r="B72" s="53" t="s">
        <v>122</v>
      </c>
      <c r="C72" s="54" t="s">
        <v>123</v>
      </c>
      <c r="D72" s="55" t="s">
        <v>337</v>
      </c>
      <c r="E72" s="65">
        <v>16.91</v>
      </c>
      <c r="F72" s="53" t="s">
        <v>26</v>
      </c>
      <c r="G72" s="62" t="s">
        <v>344</v>
      </c>
      <c r="H72" s="53" t="s">
        <v>345</v>
      </c>
      <c r="I72" s="53" t="s">
        <v>346</v>
      </c>
      <c r="J72" s="31"/>
      <c r="K72" s="31"/>
      <c r="L72" s="31"/>
      <c r="M72" s="31"/>
      <c r="N72" s="31"/>
      <c r="O72" s="31"/>
      <c r="P72" s="31"/>
      <c r="Q72" s="31"/>
      <c r="R72" s="31"/>
      <c r="S72" s="31"/>
      <c r="T72" s="31"/>
      <c r="U72" s="31"/>
      <c r="V72" s="31"/>
      <c r="W72" s="31"/>
      <c r="X72" s="31"/>
      <c r="Y72" s="31"/>
      <c r="Z72" s="31"/>
      <c r="AA72" s="31"/>
      <c r="AB72" s="31"/>
      <c r="AC72" s="31"/>
      <c r="AD72" s="31"/>
      <c r="AE72" s="31"/>
      <c r="AF72" s="31"/>
      <c r="AG72" s="31"/>
      <c r="AH72" s="31"/>
      <c r="AI72" s="31"/>
      <c r="AJ72" s="31"/>
      <c r="AK72" s="31"/>
      <c r="AL72" s="31"/>
      <c r="AM72" s="31"/>
      <c r="AN72" s="31"/>
      <c r="AO72" s="31"/>
      <c r="AP72" s="31"/>
      <c r="AQ72" s="31"/>
      <c r="AR72" s="31"/>
      <c r="AS72" s="31"/>
      <c r="AT72" s="31"/>
      <c r="AU72" s="31"/>
      <c r="AV72" s="31"/>
      <c r="AW72" s="31"/>
      <c r="AX72" s="31"/>
      <c r="AY72" s="31"/>
      <c r="AZ72" s="31"/>
      <c r="BA72" s="31"/>
    </row>
    <row r="73" spans="1:53" s="32" customFormat="1" hidden="1" x14ac:dyDescent="0.25">
      <c r="A73" s="52">
        <v>70</v>
      </c>
      <c r="B73" s="53" t="s">
        <v>122</v>
      </c>
      <c r="C73" s="54" t="s">
        <v>128</v>
      </c>
      <c r="D73" s="55" t="s">
        <v>337</v>
      </c>
      <c r="E73" s="65">
        <v>19.2</v>
      </c>
      <c r="F73" s="53" t="s">
        <v>26</v>
      </c>
      <c r="G73" s="62" t="s">
        <v>347</v>
      </c>
      <c r="H73" s="53" t="s">
        <v>345</v>
      </c>
      <c r="I73" s="53" t="s">
        <v>348</v>
      </c>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row>
    <row r="74" spans="1:53" s="32" customFormat="1" hidden="1" x14ac:dyDescent="0.25">
      <c r="A74" s="52">
        <v>71</v>
      </c>
      <c r="B74" s="53" t="s">
        <v>122</v>
      </c>
      <c r="C74" s="54" t="s">
        <v>310</v>
      </c>
      <c r="D74" s="55" t="s">
        <v>337</v>
      </c>
      <c r="E74" s="65">
        <v>42</v>
      </c>
      <c r="F74" s="53" t="s">
        <v>26</v>
      </c>
      <c r="G74" s="62" t="s">
        <v>349</v>
      </c>
      <c r="H74" s="53" t="s">
        <v>350</v>
      </c>
      <c r="I74" s="53" t="s">
        <v>351</v>
      </c>
      <c r="J74" s="31"/>
      <c r="K74" s="31"/>
      <c r="L74" s="31"/>
      <c r="M74" s="31"/>
      <c r="N74" s="31"/>
      <c r="O74" s="31"/>
      <c r="P74" s="31"/>
      <c r="Q74" s="31"/>
      <c r="R74" s="31"/>
      <c r="S74" s="31"/>
      <c r="T74" s="31"/>
      <c r="U74" s="31"/>
      <c r="V74" s="31"/>
      <c r="W74" s="31"/>
      <c r="X74" s="31"/>
      <c r="Y74" s="31"/>
      <c r="Z74" s="31"/>
      <c r="AA74" s="31"/>
      <c r="AB74" s="31"/>
      <c r="AC74" s="31"/>
      <c r="AD74" s="31"/>
      <c r="AE74" s="31"/>
      <c r="AF74" s="31"/>
      <c r="AG74" s="31"/>
      <c r="AH74" s="31"/>
      <c r="AI74" s="31"/>
      <c r="AJ74" s="31"/>
      <c r="AK74" s="31"/>
      <c r="AL74" s="31"/>
      <c r="AM74" s="31"/>
      <c r="AN74" s="31"/>
      <c r="AO74" s="31"/>
      <c r="AP74" s="31"/>
      <c r="AQ74" s="31"/>
      <c r="AR74" s="31"/>
      <c r="AS74" s="31"/>
      <c r="AT74" s="31"/>
      <c r="AU74" s="31"/>
      <c r="AV74" s="31"/>
      <c r="AW74" s="31"/>
      <c r="AX74" s="31"/>
      <c r="AY74" s="31"/>
      <c r="AZ74" s="31"/>
      <c r="BA74" s="31"/>
    </row>
    <row r="75" spans="1:53" s="32" customFormat="1" hidden="1" x14ac:dyDescent="0.25">
      <c r="A75" s="52">
        <v>72</v>
      </c>
      <c r="B75" s="53" t="s">
        <v>122</v>
      </c>
      <c r="C75" s="54" t="s">
        <v>167</v>
      </c>
      <c r="D75" s="55" t="s">
        <v>337</v>
      </c>
      <c r="E75" s="65">
        <v>57.28</v>
      </c>
      <c r="F75" s="53" t="s">
        <v>26</v>
      </c>
      <c r="G75" s="62" t="s">
        <v>352</v>
      </c>
      <c r="H75" s="53" t="s">
        <v>353</v>
      </c>
      <c r="I75" s="53" t="s">
        <v>354</v>
      </c>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row>
    <row r="76" spans="1:53" s="32" customFormat="1" hidden="1" x14ac:dyDescent="0.25">
      <c r="A76" s="52">
        <v>73</v>
      </c>
      <c r="B76" s="53" t="s">
        <v>122</v>
      </c>
      <c r="C76" s="54" t="s">
        <v>167</v>
      </c>
      <c r="D76" s="55" t="s">
        <v>337</v>
      </c>
      <c r="E76" s="65">
        <v>68.78</v>
      </c>
      <c r="F76" s="53" t="s">
        <v>26</v>
      </c>
      <c r="G76" s="62" t="s">
        <v>355</v>
      </c>
      <c r="H76" s="53" t="s">
        <v>356</v>
      </c>
      <c r="I76" s="53" t="s">
        <v>357</v>
      </c>
      <c r="J76" s="31"/>
      <c r="K76" s="31"/>
      <c r="L76" s="31"/>
      <c r="M76" s="31"/>
      <c r="N76" s="31"/>
      <c r="O76" s="31"/>
      <c r="P76" s="31"/>
      <c r="Q76" s="31"/>
      <c r="R76" s="31"/>
      <c r="S76" s="31"/>
      <c r="T76" s="31"/>
      <c r="U76" s="31"/>
      <c r="V76" s="31"/>
      <c r="W76" s="31"/>
      <c r="X76" s="31"/>
      <c r="Y76" s="31"/>
      <c r="Z76" s="31"/>
      <c r="AA76" s="31"/>
      <c r="AB76" s="31"/>
      <c r="AC76" s="31"/>
      <c r="AD76" s="31"/>
      <c r="AE76" s="31"/>
      <c r="AF76" s="31"/>
      <c r="AG76" s="31"/>
      <c r="AH76" s="31"/>
      <c r="AI76" s="31"/>
      <c r="AJ76" s="31"/>
      <c r="AK76" s="31"/>
      <c r="AL76" s="31"/>
      <c r="AM76" s="31"/>
      <c r="AN76" s="31"/>
      <c r="AO76" s="31"/>
      <c r="AP76" s="31"/>
      <c r="AQ76" s="31"/>
      <c r="AR76" s="31"/>
      <c r="AS76" s="31"/>
      <c r="AT76" s="31"/>
      <c r="AU76" s="31"/>
      <c r="AV76" s="31"/>
      <c r="AW76" s="31"/>
      <c r="AX76" s="31"/>
      <c r="AY76" s="31"/>
      <c r="AZ76" s="31"/>
      <c r="BA76" s="31"/>
    </row>
    <row r="77" spans="1:53" s="32" customFormat="1" hidden="1" x14ac:dyDescent="0.25">
      <c r="A77" s="52">
        <v>74</v>
      </c>
      <c r="B77" s="53" t="s">
        <v>122</v>
      </c>
      <c r="C77" s="54" t="s">
        <v>245</v>
      </c>
      <c r="D77" s="55" t="s">
        <v>337</v>
      </c>
      <c r="E77" s="65">
        <v>48</v>
      </c>
      <c r="F77" s="53" t="s">
        <v>26</v>
      </c>
      <c r="G77" s="62" t="s">
        <v>358</v>
      </c>
      <c r="H77" s="53" t="s">
        <v>359</v>
      </c>
      <c r="I77" s="53" t="s">
        <v>360</v>
      </c>
      <c r="J77" s="31"/>
      <c r="K77" s="31"/>
      <c r="L77" s="31"/>
      <c r="M77" s="31"/>
      <c r="N77" s="31"/>
      <c r="O77" s="31"/>
      <c r="P77" s="31"/>
      <c r="Q77" s="31"/>
      <c r="R77" s="31"/>
      <c r="S77" s="31"/>
      <c r="T77" s="31"/>
      <c r="U77" s="31"/>
      <c r="V77" s="31"/>
      <c r="W77" s="31"/>
      <c r="X77" s="31"/>
      <c r="Y77" s="31"/>
      <c r="Z77" s="31"/>
      <c r="AA77" s="31"/>
      <c r="AB77" s="31"/>
      <c r="AC77" s="31"/>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row>
    <row r="78" spans="1:53" s="32" customFormat="1" hidden="1" x14ac:dyDescent="0.25">
      <c r="A78" s="52">
        <v>75</v>
      </c>
      <c r="B78" s="53" t="s">
        <v>122</v>
      </c>
      <c r="C78" s="54" t="s">
        <v>128</v>
      </c>
      <c r="D78" s="55" t="s">
        <v>337</v>
      </c>
      <c r="E78" s="65">
        <v>50.52</v>
      </c>
      <c r="F78" s="53" t="s">
        <v>26</v>
      </c>
      <c r="G78" s="62" t="s">
        <v>361</v>
      </c>
      <c r="H78" s="53" t="s">
        <v>362</v>
      </c>
      <c r="I78" s="53" t="s">
        <v>363</v>
      </c>
      <c r="J78" s="31"/>
      <c r="K78" s="31"/>
      <c r="L78" s="31"/>
      <c r="M78" s="31"/>
      <c r="N78" s="31"/>
      <c r="O78" s="31"/>
      <c r="P78" s="31"/>
      <c r="Q78" s="31"/>
      <c r="R78" s="31"/>
      <c r="S78" s="31"/>
      <c r="T78" s="31"/>
      <c r="U78" s="31"/>
      <c r="V78" s="31"/>
      <c r="W78" s="31"/>
      <c r="X78" s="31"/>
      <c r="Y78" s="31"/>
      <c r="Z78" s="31"/>
      <c r="AA78" s="31"/>
      <c r="AB78" s="31"/>
      <c r="AC78" s="31"/>
      <c r="AD78" s="31"/>
      <c r="AE78" s="31"/>
      <c r="AF78" s="31"/>
      <c r="AG78" s="31"/>
      <c r="AH78" s="31"/>
      <c r="AI78" s="31"/>
      <c r="AJ78" s="31"/>
      <c r="AK78" s="31"/>
      <c r="AL78" s="31"/>
      <c r="AM78" s="31"/>
      <c r="AN78" s="31"/>
      <c r="AO78" s="31"/>
      <c r="AP78" s="31"/>
      <c r="AQ78" s="31"/>
      <c r="AR78" s="31"/>
      <c r="AS78" s="31"/>
      <c r="AT78" s="31"/>
      <c r="AU78" s="31"/>
      <c r="AV78" s="31"/>
      <c r="AW78" s="31"/>
      <c r="AX78" s="31"/>
      <c r="AY78" s="31"/>
      <c r="AZ78" s="31"/>
      <c r="BA78" s="31"/>
    </row>
    <row r="79" spans="1:53" s="32" customFormat="1" hidden="1" x14ac:dyDescent="0.25">
      <c r="A79" s="52">
        <v>76</v>
      </c>
      <c r="B79" s="53" t="s">
        <v>122</v>
      </c>
      <c r="C79" s="54" t="s">
        <v>364</v>
      </c>
      <c r="D79" s="55" t="s">
        <v>337</v>
      </c>
      <c r="E79" s="65">
        <v>24.99</v>
      </c>
      <c r="F79" s="53" t="s">
        <v>26</v>
      </c>
      <c r="G79" s="62" t="s">
        <v>365</v>
      </c>
      <c r="H79" s="53" t="s">
        <v>366</v>
      </c>
      <c r="I79" s="53" t="s">
        <v>367</v>
      </c>
      <c r="J79" s="31"/>
      <c r="K79" s="31"/>
      <c r="L79" s="31"/>
      <c r="M79" s="31"/>
      <c r="N79" s="31"/>
      <c r="O79" s="31"/>
      <c r="P79" s="31"/>
      <c r="Q79" s="31"/>
      <c r="R79" s="31"/>
      <c r="S79" s="31"/>
      <c r="T79" s="31"/>
      <c r="U79" s="31"/>
      <c r="V79" s="31"/>
      <c r="W79" s="31"/>
      <c r="X79" s="31"/>
      <c r="Y79" s="31"/>
      <c r="Z79" s="31"/>
      <c r="AA79" s="31"/>
      <c r="AB79" s="31"/>
      <c r="AC79" s="31"/>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row>
    <row r="80" spans="1:53" s="32" customFormat="1" hidden="1" x14ac:dyDescent="0.25">
      <c r="A80" s="52">
        <v>77</v>
      </c>
      <c r="B80" s="53" t="s">
        <v>122</v>
      </c>
      <c r="C80" s="54" t="s">
        <v>214</v>
      </c>
      <c r="D80" s="55" t="s">
        <v>337</v>
      </c>
      <c r="E80" s="65">
        <v>3.32</v>
      </c>
      <c r="F80" s="53" t="s">
        <v>26</v>
      </c>
      <c r="G80" s="62" t="s">
        <v>368</v>
      </c>
      <c r="H80" s="53" t="s">
        <v>366</v>
      </c>
      <c r="I80" s="53" t="s">
        <v>369</v>
      </c>
      <c r="J80" s="31"/>
      <c r="K80" s="31"/>
      <c r="L80" s="31"/>
      <c r="M80" s="31"/>
      <c r="N80" s="31"/>
      <c r="O80" s="31"/>
      <c r="P80" s="31"/>
      <c r="Q80" s="31"/>
      <c r="R80" s="31"/>
      <c r="S80" s="31"/>
      <c r="T80" s="31"/>
      <c r="U80" s="31"/>
      <c r="V80" s="31"/>
      <c r="W80" s="31"/>
      <c r="X80" s="31"/>
      <c r="Y80" s="31"/>
      <c r="Z80" s="31"/>
      <c r="AA80" s="31"/>
      <c r="AB80" s="31"/>
      <c r="AC80" s="31"/>
      <c r="AD80" s="31"/>
      <c r="AE80" s="31"/>
      <c r="AF80" s="31"/>
      <c r="AG80" s="31"/>
      <c r="AH80" s="31"/>
      <c r="AI80" s="31"/>
      <c r="AJ80" s="31"/>
      <c r="AK80" s="31"/>
      <c r="AL80" s="31"/>
      <c r="AM80" s="31"/>
      <c r="AN80" s="31"/>
      <c r="AO80" s="31"/>
      <c r="AP80" s="31"/>
      <c r="AQ80" s="31"/>
      <c r="AR80" s="31"/>
      <c r="AS80" s="31"/>
      <c r="AT80" s="31"/>
      <c r="AU80" s="31"/>
      <c r="AV80" s="31"/>
      <c r="AW80" s="31"/>
      <c r="AX80" s="31"/>
      <c r="AY80" s="31"/>
      <c r="AZ80" s="31"/>
      <c r="BA80" s="31"/>
    </row>
    <row r="81" spans="1:53" s="32" customFormat="1" hidden="1" x14ac:dyDescent="0.25">
      <c r="A81" s="52">
        <v>78</v>
      </c>
      <c r="B81" s="53" t="s">
        <v>122</v>
      </c>
      <c r="C81" s="54" t="s">
        <v>167</v>
      </c>
      <c r="D81" s="55" t="s">
        <v>337</v>
      </c>
      <c r="E81" s="65">
        <v>47.74</v>
      </c>
      <c r="F81" s="53" t="s">
        <v>26</v>
      </c>
      <c r="G81" s="62" t="s">
        <v>370</v>
      </c>
      <c r="H81" s="53" t="s">
        <v>371</v>
      </c>
      <c r="I81" s="53" t="s">
        <v>372</v>
      </c>
      <c r="J81" s="31"/>
      <c r="K81" s="31"/>
      <c r="L81" s="31"/>
      <c r="M81" s="31"/>
      <c r="N81" s="31"/>
      <c r="O81" s="31"/>
      <c r="P81" s="31"/>
      <c r="Q81" s="31"/>
      <c r="R81" s="31"/>
      <c r="S81" s="31"/>
      <c r="T81" s="31"/>
      <c r="U81" s="31"/>
      <c r="V81" s="31"/>
      <c r="W81" s="31"/>
      <c r="X81" s="31"/>
      <c r="Y81" s="31"/>
      <c r="Z81" s="31"/>
      <c r="AA81" s="31"/>
      <c r="AB81" s="31"/>
      <c r="AC81" s="31"/>
      <c r="AD81" s="31"/>
      <c r="AE81" s="31"/>
      <c r="AF81" s="31"/>
      <c r="AG81" s="31"/>
      <c r="AH81" s="31"/>
      <c r="AI81" s="31"/>
      <c r="AJ81" s="31"/>
      <c r="AK81" s="31"/>
      <c r="AL81" s="31"/>
      <c r="AM81" s="31"/>
      <c r="AN81" s="31"/>
      <c r="AO81" s="31"/>
      <c r="AP81" s="31"/>
      <c r="AQ81" s="31"/>
      <c r="AR81" s="31"/>
      <c r="AS81" s="31"/>
      <c r="AT81" s="31"/>
      <c r="AU81" s="31"/>
      <c r="AV81" s="31"/>
      <c r="AW81" s="31"/>
      <c r="AX81" s="31"/>
      <c r="AY81" s="31"/>
      <c r="AZ81" s="31"/>
      <c r="BA81" s="31"/>
    </row>
    <row r="82" spans="1:53" s="32" customFormat="1" hidden="1" x14ac:dyDescent="0.25">
      <c r="A82" s="52">
        <v>79</v>
      </c>
      <c r="B82" s="53" t="s">
        <v>122</v>
      </c>
      <c r="C82" s="54" t="s">
        <v>151</v>
      </c>
      <c r="D82" s="55" t="s">
        <v>337</v>
      </c>
      <c r="E82" s="65">
        <v>701.83</v>
      </c>
      <c r="F82" s="53" t="s">
        <v>26</v>
      </c>
      <c r="G82" s="62" t="s">
        <v>373</v>
      </c>
      <c r="H82" s="53" t="s">
        <v>374</v>
      </c>
      <c r="I82" s="53" t="s">
        <v>375</v>
      </c>
      <c r="J82" s="31"/>
      <c r="K82" s="31"/>
      <c r="L82" s="31"/>
      <c r="M82" s="31"/>
      <c r="N82" s="31"/>
      <c r="O82" s="31"/>
      <c r="P82" s="31"/>
      <c r="Q82" s="31"/>
      <c r="R82" s="31"/>
      <c r="S82" s="31"/>
      <c r="T82" s="31"/>
      <c r="U82" s="31"/>
      <c r="V82" s="31"/>
      <c r="W82" s="31"/>
      <c r="X82" s="31"/>
      <c r="Y82" s="31"/>
      <c r="Z82" s="31"/>
      <c r="AA82" s="31"/>
      <c r="AB82" s="31"/>
      <c r="AC82" s="31"/>
      <c r="AD82" s="31"/>
      <c r="AE82" s="31"/>
      <c r="AF82" s="31"/>
      <c r="AG82" s="31"/>
      <c r="AH82" s="31"/>
      <c r="AI82" s="31"/>
      <c r="AJ82" s="31"/>
      <c r="AK82" s="31"/>
      <c r="AL82" s="31"/>
      <c r="AM82" s="31"/>
      <c r="AN82" s="31"/>
      <c r="AO82" s="31"/>
      <c r="AP82" s="31"/>
      <c r="AQ82" s="31"/>
      <c r="AR82" s="31"/>
      <c r="AS82" s="31"/>
      <c r="AT82" s="31"/>
      <c r="AU82" s="31"/>
      <c r="AV82" s="31"/>
      <c r="AW82" s="31"/>
      <c r="AX82" s="31"/>
      <c r="AY82" s="31"/>
      <c r="AZ82" s="31"/>
      <c r="BA82" s="31"/>
    </row>
    <row r="83" spans="1:53" s="32" customFormat="1" hidden="1" x14ac:dyDescent="0.25">
      <c r="A83" s="52">
        <v>80</v>
      </c>
      <c r="B83" s="53" t="s">
        <v>122</v>
      </c>
      <c r="C83" s="54" t="s">
        <v>265</v>
      </c>
      <c r="D83" s="55" t="s">
        <v>337</v>
      </c>
      <c r="E83" s="65">
        <v>86.95</v>
      </c>
      <c r="F83" s="53" t="s">
        <v>26</v>
      </c>
      <c r="G83" s="62" t="s">
        <v>376</v>
      </c>
      <c r="H83" s="53" t="s">
        <v>377</v>
      </c>
      <c r="I83" s="53" t="s">
        <v>378</v>
      </c>
      <c r="J83" s="31"/>
      <c r="K83" s="31"/>
      <c r="L83" s="31"/>
      <c r="M83" s="31"/>
      <c r="N83" s="31"/>
      <c r="O83" s="31"/>
      <c r="P83" s="31"/>
      <c r="Q83" s="31"/>
      <c r="R83" s="31"/>
      <c r="S83" s="31"/>
      <c r="T83" s="31"/>
      <c r="U83" s="31"/>
      <c r="V83" s="31"/>
      <c r="W83" s="31"/>
      <c r="X83" s="31"/>
      <c r="Y83" s="31"/>
      <c r="Z83" s="31"/>
      <c r="AA83" s="31"/>
      <c r="AB83" s="31"/>
      <c r="AC83" s="31"/>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row>
    <row r="84" spans="1:53" s="32" customFormat="1" hidden="1" x14ac:dyDescent="0.25">
      <c r="A84" s="52">
        <v>81</v>
      </c>
      <c r="B84" s="53" t="s">
        <v>122</v>
      </c>
      <c r="C84" s="54" t="s">
        <v>128</v>
      </c>
      <c r="D84" s="55" t="s">
        <v>337</v>
      </c>
      <c r="E84" s="65">
        <v>105.67</v>
      </c>
      <c r="F84" s="53" t="s">
        <v>26</v>
      </c>
      <c r="G84" s="62" t="s">
        <v>379</v>
      </c>
      <c r="H84" s="53" t="s">
        <v>377</v>
      </c>
      <c r="I84" s="53" t="s">
        <v>380</v>
      </c>
      <c r="J84" s="31"/>
      <c r="K84" s="31"/>
      <c r="L84" s="31"/>
      <c r="M84" s="31"/>
      <c r="N84" s="31"/>
      <c r="O84" s="31"/>
      <c r="P84" s="31"/>
      <c r="Q84" s="31"/>
      <c r="R84" s="31"/>
      <c r="S84" s="31"/>
      <c r="T84" s="31"/>
      <c r="U84" s="31"/>
      <c r="V84" s="31"/>
      <c r="W84" s="31"/>
      <c r="X84" s="31"/>
      <c r="Y84" s="31"/>
      <c r="Z84" s="31"/>
      <c r="AA84" s="31"/>
      <c r="AB84" s="31"/>
      <c r="AC84" s="31"/>
      <c r="AD84" s="31"/>
      <c r="AE84" s="31"/>
      <c r="AF84" s="31"/>
      <c r="AG84" s="31"/>
      <c r="AH84" s="31"/>
      <c r="AI84" s="31"/>
      <c r="AJ84" s="31"/>
      <c r="AK84" s="31"/>
      <c r="AL84" s="31"/>
      <c r="AM84" s="31"/>
      <c r="AN84" s="31"/>
      <c r="AO84" s="31"/>
      <c r="AP84" s="31"/>
      <c r="AQ84" s="31"/>
      <c r="AR84" s="31"/>
      <c r="AS84" s="31"/>
      <c r="AT84" s="31"/>
      <c r="AU84" s="31"/>
      <c r="AV84" s="31"/>
      <c r="AW84" s="31"/>
      <c r="AX84" s="31"/>
      <c r="AY84" s="31"/>
      <c r="AZ84" s="31"/>
      <c r="BA84" s="31"/>
    </row>
    <row r="85" spans="1:53" s="32" customFormat="1" hidden="1" x14ac:dyDescent="0.25">
      <c r="A85" s="52">
        <v>82</v>
      </c>
      <c r="B85" s="53" t="s">
        <v>122</v>
      </c>
      <c r="C85" s="54" t="s">
        <v>194</v>
      </c>
      <c r="D85" s="55" t="s">
        <v>337</v>
      </c>
      <c r="E85" s="65">
        <v>39.619999999999997</v>
      </c>
      <c r="F85" s="53" t="s">
        <v>26</v>
      </c>
      <c r="G85" s="62" t="s">
        <v>381</v>
      </c>
      <c r="H85" s="53" t="s">
        <v>382</v>
      </c>
      <c r="I85" s="53" t="s">
        <v>383</v>
      </c>
      <c r="J85" s="31"/>
      <c r="K85" s="31"/>
      <c r="L85" s="31"/>
      <c r="M85" s="31"/>
      <c r="N85" s="31"/>
      <c r="O85" s="31"/>
      <c r="P85" s="31"/>
      <c r="Q85" s="31"/>
      <c r="R85" s="31"/>
      <c r="S85" s="31"/>
      <c r="T85" s="31"/>
      <c r="U85" s="31"/>
      <c r="V85" s="31"/>
      <c r="W85" s="31"/>
      <c r="X85" s="31"/>
      <c r="Y85" s="31"/>
      <c r="Z85" s="31"/>
      <c r="AA85" s="31"/>
      <c r="AB85" s="31"/>
      <c r="AC85" s="31"/>
      <c r="AD85" s="31"/>
      <c r="AE85" s="31"/>
      <c r="AF85" s="31"/>
      <c r="AG85" s="31"/>
      <c r="AH85" s="31"/>
      <c r="AI85" s="31"/>
      <c r="AJ85" s="31"/>
      <c r="AK85" s="31"/>
      <c r="AL85" s="31"/>
      <c r="AM85" s="31"/>
      <c r="AN85" s="31"/>
      <c r="AO85" s="31"/>
      <c r="AP85" s="31"/>
      <c r="AQ85" s="31"/>
      <c r="AR85" s="31"/>
      <c r="AS85" s="31"/>
      <c r="AT85" s="31"/>
      <c r="AU85" s="31"/>
      <c r="AV85" s="31"/>
      <c r="AW85" s="31"/>
      <c r="AX85" s="31"/>
      <c r="AY85" s="31"/>
      <c r="AZ85" s="31"/>
      <c r="BA85" s="31"/>
    </row>
    <row r="86" spans="1:53" s="32" customFormat="1" ht="15.75" hidden="1" customHeight="1" x14ac:dyDescent="0.25">
      <c r="A86" s="105">
        <v>83</v>
      </c>
      <c r="B86" s="106" t="s">
        <v>384</v>
      </c>
      <c r="C86" s="107" t="s">
        <v>385</v>
      </c>
      <c r="D86" s="108" t="s">
        <v>386</v>
      </c>
      <c r="E86" s="109">
        <v>179.97</v>
      </c>
      <c r="F86" s="106" t="s">
        <v>26</v>
      </c>
      <c r="G86" s="96" t="s">
        <v>387</v>
      </c>
      <c r="H86" s="106" t="s">
        <v>388</v>
      </c>
      <c r="I86" s="110" t="s">
        <v>389</v>
      </c>
      <c r="J86" s="31"/>
      <c r="K86" s="31"/>
      <c r="L86" s="31"/>
      <c r="M86" s="31"/>
      <c r="N86" s="31"/>
      <c r="O86" s="31"/>
      <c r="P86" s="31"/>
      <c r="Q86" s="31"/>
      <c r="R86" s="31"/>
      <c r="S86" s="31"/>
      <c r="T86" s="31"/>
      <c r="U86" s="31"/>
      <c r="V86" s="31"/>
      <c r="W86" s="31"/>
      <c r="X86" s="31"/>
      <c r="Y86" s="31"/>
      <c r="Z86" s="31"/>
      <c r="AA86" s="31"/>
      <c r="AB86" s="31"/>
      <c r="AC86" s="31"/>
      <c r="AD86" s="31"/>
      <c r="AE86" s="31"/>
      <c r="AF86" s="31"/>
      <c r="AG86" s="31"/>
      <c r="AH86" s="31"/>
      <c r="AI86" s="31"/>
      <c r="AJ86" s="31"/>
      <c r="AK86" s="31"/>
      <c r="AL86" s="31"/>
      <c r="AM86" s="31"/>
      <c r="AN86" s="31"/>
      <c r="AO86" s="31"/>
      <c r="AP86" s="31"/>
      <c r="AQ86" s="31"/>
      <c r="AR86" s="31"/>
      <c r="AS86" s="31"/>
      <c r="AT86" s="31"/>
      <c r="AU86" s="31"/>
      <c r="AV86" s="31"/>
      <c r="AW86" s="31"/>
      <c r="AX86" s="31"/>
      <c r="AY86" s="31"/>
      <c r="AZ86" s="31"/>
      <c r="BA86" s="31"/>
    </row>
    <row r="87" spans="1:53" s="32" customFormat="1" ht="15.75" hidden="1" customHeight="1" x14ac:dyDescent="0.25">
      <c r="A87" s="105">
        <v>84</v>
      </c>
      <c r="B87" s="106" t="s">
        <v>384</v>
      </c>
      <c r="C87" s="107" t="s">
        <v>390</v>
      </c>
      <c r="D87" s="108" t="s">
        <v>235</v>
      </c>
      <c r="E87" s="109">
        <v>95.8</v>
      </c>
      <c r="F87" s="106" t="s">
        <v>26</v>
      </c>
      <c r="G87" s="96" t="s">
        <v>391</v>
      </c>
      <c r="H87" s="106" t="s">
        <v>263</v>
      </c>
      <c r="I87" s="106" t="s">
        <v>392</v>
      </c>
      <c r="J87" s="31"/>
      <c r="K87" s="31"/>
      <c r="L87" s="31"/>
      <c r="M87" s="31"/>
      <c r="N87" s="31"/>
      <c r="O87" s="31"/>
      <c r="P87" s="31"/>
      <c r="Q87" s="31"/>
      <c r="R87" s="31"/>
      <c r="S87" s="31"/>
      <c r="T87" s="31"/>
      <c r="U87" s="31"/>
      <c r="V87" s="31"/>
      <c r="W87" s="31"/>
      <c r="X87" s="31"/>
      <c r="Y87" s="31"/>
      <c r="Z87" s="31"/>
      <c r="AA87" s="31"/>
      <c r="AB87" s="31"/>
      <c r="AC87" s="31"/>
      <c r="AD87" s="31"/>
      <c r="AE87" s="31"/>
      <c r="AF87" s="31"/>
      <c r="AG87" s="31"/>
      <c r="AH87" s="31"/>
      <c r="AI87" s="31"/>
      <c r="AJ87" s="31"/>
      <c r="AK87" s="31"/>
      <c r="AL87" s="31"/>
      <c r="AM87" s="31"/>
      <c r="AN87" s="31"/>
      <c r="AO87" s="31"/>
      <c r="AP87" s="31"/>
      <c r="AQ87" s="31"/>
      <c r="AR87" s="31"/>
      <c r="AS87" s="31"/>
      <c r="AT87" s="31"/>
      <c r="AU87" s="31"/>
      <c r="AV87" s="31"/>
      <c r="AW87" s="31"/>
      <c r="AX87" s="31"/>
      <c r="AY87" s="31"/>
      <c r="AZ87" s="31"/>
      <c r="BA87" s="31"/>
    </row>
    <row r="88" spans="1:53" s="32" customFormat="1" ht="15.75" hidden="1" customHeight="1" x14ac:dyDescent="0.25">
      <c r="A88" s="105">
        <v>85</v>
      </c>
      <c r="B88" s="106" t="s">
        <v>384</v>
      </c>
      <c r="C88" s="107" t="s">
        <v>390</v>
      </c>
      <c r="D88" s="108" t="s">
        <v>275</v>
      </c>
      <c r="E88" s="109">
        <v>139.9</v>
      </c>
      <c r="F88" s="106" t="s">
        <v>26</v>
      </c>
      <c r="G88" s="96" t="s">
        <v>393</v>
      </c>
      <c r="H88" s="106" t="s">
        <v>322</v>
      </c>
      <c r="I88" s="106" t="s">
        <v>394</v>
      </c>
      <c r="J88" s="31"/>
      <c r="K88" s="31"/>
      <c r="L88" s="31"/>
      <c r="M88" s="31"/>
      <c r="N88" s="31"/>
      <c r="O88" s="31"/>
      <c r="P88" s="31"/>
      <c r="Q88" s="31"/>
      <c r="R88" s="31"/>
      <c r="S88" s="31"/>
      <c r="T88" s="31"/>
      <c r="U88" s="31"/>
      <c r="V88" s="31"/>
      <c r="W88" s="31"/>
      <c r="X88" s="31"/>
      <c r="Y88" s="31"/>
      <c r="Z88" s="31"/>
      <c r="AA88" s="31"/>
      <c r="AB88" s="31"/>
      <c r="AC88" s="31"/>
      <c r="AD88" s="31"/>
      <c r="AE88" s="31"/>
      <c r="AF88" s="31"/>
      <c r="AG88" s="31"/>
      <c r="AH88" s="31"/>
      <c r="AI88" s="31"/>
      <c r="AJ88" s="31"/>
      <c r="AK88" s="31"/>
      <c r="AL88" s="31"/>
      <c r="AM88" s="31"/>
      <c r="AN88" s="31"/>
      <c r="AO88" s="31"/>
      <c r="AP88" s="31"/>
      <c r="AQ88" s="31"/>
      <c r="AR88" s="31"/>
      <c r="AS88" s="31"/>
      <c r="AT88" s="31"/>
      <c r="AU88" s="31"/>
      <c r="AV88" s="31"/>
      <c r="AW88" s="31"/>
      <c r="AX88" s="31"/>
      <c r="AY88" s="31"/>
      <c r="AZ88" s="31"/>
      <c r="BA88" s="31"/>
    </row>
    <row r="89" spans="1:53" s="32" customFormat="1" ht="15.75" hidden="1" customHeight="1" x14ac:dyDescent="0.25">
      <c r="A89" s="105">
        <v>86</v>
      </c>
      <c r="B89" s="106" t="s">
        <v>384</v>
      </c>
      <c r="C89" s="107" t="s">
        <v>395</v>
      </c>
      <c r="D89" s="108" t="s">
        <v>275</v>
      </c>
      <c r="E89" s="109">
        <v>79.989999999999995</v>
      </c>
      <c r="F89" s="106" t="s">
        <v>26</v>
      </c>
      <c r="G89" s="96" t="s">
        <v>396</v>
      </c>
      <c r="H89" s="106" t="s">
        <v>322</v>
      </c>
      <c r="I89" s="111" t="s">
        <v>397</v>
      </c>
      <c r="J89" s="31"/>
      <c r="K89" s="31"/>
      <c r="L89" s="31"/>
      <c r="M89" s="31"/>
      <c r="N89" s="31"/>
      <c r="O89" s="31"/>
      <c r="P89" s="31"/>
      <c r="Q89" s="31"/>
      <c r="R89" s="31"/>
      <c r="S89" s="31"/>
      <c r="T89" s="31"/>
      <c r="U89" s="31"/>
      <c r="V89" s="31"/>
      <c r="W89" s="31"/>
      <c r="X89" s="31"/>
      <c r="Y89" s="31"/>
      <c r="Z89" s="31"/>
      <c r="AA89" s="31"/>
      <c r="AB89" s="31"/>
      <c r="AC89" s="31"/>
      <c r="AD89" s="31"/>
      <c r="AE89" s="31"/>
      <c r="AF89" s="31"/>
      <c r="AG89" s="31"/>
      <c r="AH89" s="31"/>
      <c r="AI89" s="31"/>
      <c r="AJ89" s="31"/>
      <c r="AK89" s="31"/>
      <c r="AL89" s="31"/>
      <c r="AM89" s="31"/>
      <c r="AN89" s="31"/>
      <c r="AO89" s="31"/>
      <c r="AP89" s="31"/>
      <c r="AQ89" s="31"/>
      <c r="AR89" s="31"/>
      <c r="AS89" s="31"/>
      <c r="AT89" s="31"/>
      <c r="AU89" s="31"/>
      <c r="AV89" s="31"/>
      <c r="AW89" s="31"/>
      <c r="AX89" s="31"/>
      <c r="AY89" s="31"/>
      <c r="AZ89" s="31"/>
      <c r="BA89" s="31"/>
    </row>
    <row r="90" spans="1:53" s="32" customFormat="1" ht="15.75" hidden="1" customHeight="1" x14ac:dyDescent="0.25">
      <c r="A90" s="105">
        <v>87</v>
      </c>
      <c r="B90" s="106" t="s">
        <v>384</v>
      </c>
      <c r="C90" s="107" t="s">
        <v>398</v>
      </c>
      <c r="D90" s="108" t="s">
        <v>337</v>
      </c>
      <c r="E90" s="109">
        <v>52</v>
      </c>
      <c r="F90" s="106" t="s">
        <v>26</v>
      </c>
      <c r="G90" s="96" t="s">
        <v>399</v>
      </c>
      <c r="H90" s="106" t="s">
        <v>377</v>
      </c>
      <c r="I90" s="106" t="s">
        <v>400</v>
      </c>
      <c r="J90" s="31"/>
      <c r="K90" s="31"/>
      <c r="L90" s="31"/>
      <c r="M90" s="31"/>
      <c r="N90" s="31"/>
      <c r="O90" s="31"/>
      <c r="P90" s="31"/>
      <c r="Q90" s="31"/>
      <c r="R90" s="31"/>
      <c r="S90" s="31"/>
      <c r="T90" s="31"/>
      <c r="U90" s="31"/>
      <c r="V90" s="31"/>
      <c r="W90" s="31"/>
      <c r="X90" s="31"/>
      <c r="Y90" s="31"/>
      <c r="Z90" s="31"/>
      <c r="AA90" s="31"/>
      <c r="AB90" s="31"/>
      <c r="AC90" s="31"/>
      <c r="AD90" s="31"/>
      <c r="AE90" s="31"/>
      <c r="AF90" s="31"/>
      <c r="AG90" s="31"/>
      <c r="AH90" s="31"/>
      <c r="AI90" s="31"/>
      <c r="AJ90" s="31"/>
      <c r="AK90" s="31"/>
      <c r="AL90" s="31"/>
      <c r="AM90" s="31"/>
      <c r="AN90" s="31"/>
      <c r="AO90" s="31"/>
      <c r="AP90" s="31"/>
      <c r="AQ90" s="31"/>
      <c r="AR90" s="31"/>
      <c r="AS90" s="31"/>
      <c r="AT90" s="31"/>
      <c r="AU90" s="31"/>
      <c r="AV90" s="31"/>
      <c r="AW90" s="31"/>
      <c r="AX90" s="31"/>
      <c r="AY90" s="31"/>
      <c r="AZ90" s="31"/>
      <c r="BA90" s="31"/>
    </row>
    <row r="91" spans="1:53" s="32" customFormat="1" ht="15.75" hidden="1" customHeight="1" x14ac:dyDescent="0.25">
      <c r="A91" s="105">
        <v>88</v>
      </c>
      <c r="B91" s="106" t="s">
        <v>384</v>
      </c>
      <c r="C91" s="107" t="s">
        <v>401</v>
      </c>
      <c r="D91" s="108" t="s">
        <v>402</v>
      </c>
      <c r="E91" s="109">
        <v>450</v>
      </c>
      <c r="F91" s="106" t="s">
        <v>26</v>
      </c>
      <c r="G91" s="96" t="s">
        <v>403</v>
      </c>
      <c r="H91" s="106" t="s">
        <v>404</v>
      </c>
      <c r="I91" s="106" t="s">
        <v>405</v>
      </c>
      <c r="J91" s="31"/>
      <c r="K91" s="31"/>
      <c r="L91" s="31"/>
      <c r="M91" s="31"/>
      <c r="N91" s="31"/>
      <c r="O91" s="31"/>
      <c r="P91" s="31"/>
      <c r="Q91" s="31"/>
      <c r="R91" s="31"/>
      <c r="S91" s="31"/>
      <c r="T91" s="31"/>
      <c r="U91" s="31"/>
      <c r="V91" s="31"/>
      <c r="W91" s="31"/>
      <c r="X91" s="31"/>
      <c r="Y91" s="31"/>
      <c r="Z91" s="31"/>
      <c r="AA91" s="31"/>
      <c r="AB91" s="31"/>
      <c r="AC91" s="31"/>
      <c r="AD91" s="31"/>
      <c r="AE91" s="31"/>
      <c r="AF91" s="31"/>
      <c r="AG91" s="31"/>
      <c r="AH91" s="31"/>
      <c r="AI91" s="31"/>
      <c r="AJ91" s="31"/>
      <c r="AK91" s="31"/>
      <c r="AL91" s="31"/>
      <c r="AM91" s="31"/>
      <c r="AN91" s="31"/>
      <c r="AO91" s="31"/>
      <c r="AP91" s="31"/>
      <c r="AQ91" s="31"/>
      <c r="AR91" s="31"/>
      <c r="AS91" s="31"/>
      <c r="AT91" s="31"/>
      <c r="AU91" s="31"/>
      <c r="AV91" s="31"/>
      <c r="AW91" s="31"/>
      <c r="AX91" s="31"/>
      <c r="AY91" s="31"/>
      <c r="AZ91" s="31"/>
      <c r="BA91" s="31"/>
    </row>
    <row r="92" spans="1:53" s="32" customFormat="1" ht="15.75" hidden="1" customHeight="1" x14ac:dyDescent="0.25">
      <c r="A92" s="105">
        <v>89</v>
      </c>
      <c r="B92" s="106" t="s">
        <v>384</v>
      </c>
      <c r="C92" s="107" t="s">
        <v>406</v>
      </c>
      <c r="D92" s="108" t="s">
        <v>402</v>
      </c>
      <c r="E92" s="109">
        <v>190</v>
      </c>
      <c r="F92" s="106" t="s">
        <v>26</v>
      </c>
      <c r="G92" s="96" t="s">
        <v>407</v>
      </c>
      <c r="H92" s="106" t="s">
        <v>404</v>
      </c>
      <c r="I92" s="106" t="s">
        <v>408</v>
      </c>
      <c r="J92" s="31"/>
      <c r="K92" s="31"/>
      <c r="L92" s="31"/>
      <c r="M92" s="31"/>
      <c r="N92" s="31"/>
      <c r="O92" s="31"/>
      <c r="P92" s="31"/>
      <c r="Q92" s="31"/>
      <c r="R92" s="31"/>
      <c r="S92" s="31"/>
      <c r="T92" s="31"/>
      <c r="U92" s="31"/>
      <c r="V92" s="31"/>
      <c r="W92" s="31"/>
      <c r="X92" s="31"/>
      <c r="Y92" s="31"/>
      <c r="Z92" s="31"/>
      <c r="AA92" s="31"/>
      <c r="AB92" s="31"/>
      <c r="AC92" s="31"/>
      <c r="AD92" s="31"/>
      <c r="AE92" s="31"/>
      <c r="AF92" s="31"/>
      <c r="AG92" s="31"/>
      <c r="AH92" s="31"/>
      <c r="AI92" s="31"/>
      <c r="AJ92" s="31"/>
      <c r="AK92" s="31"/>
      <c r="AL92" s="31"/>
      <c r="AM92" s="31"/>
      <c r="AN92" s="31"/>
      <c r="AO92" s="31"/>
      <c r="AP92" s="31"/>
      <c r="AQ92" s="31"/>
      <c r="AR92" s="31"/>
      <c r="AS92" s="31"/>
      <c r="AT92" s="31"/>
      <c r="AU92" s="31"/>
      <c r="AV92" s="31"/>
      <c r="AW92" s="31"/>
      <c r="AX92" s="31"/>
      <c r="AY92" s="31"/>
      <c r="AZ92" s="31"/>
      <c r="BA92" s="31"/>
    </row>
    <row r="93" spans="1:53" s="32" customFormat="1" ht="15.75" hidden="1" customHeight="1" x14ac:dyDescent="0.25">
      <c r="A93" s="112">
        <v>90</v>
      </c>
      <c r="B93" s="113" t="s">
        <v>409</v>
      </c>
      <c r="C93" s="114" t="s">
        <v>410</v>
      </c>
      <c r="D93" s="115" t="s">
        <v>124</v>
      </c>
      <c r="E93" s="116">
        <v>134.5</v>
      </c>
      <c r="F93" s="113" t="s">
        <v>26</v>
      </c>
      <c r="G93" s="93" t="s">
        <v>411</v>
      </c>
      <c r="H93" s="113" t="s">
        <v>412</v>
      </c>
      <c r="I93" s="113" t="s">
        <v>413</v>
      </c>
      <c r="J93" s="31"/>
      <c r="K93" s="31"/>
      <c r="L93" s="31"/>
      <c r="M93" s="31"/>
      <c r="N93" s="31"/>
      <c r="O93" s="31"/>
      <c r="P93" s="31"/>
      <c r="Q93" s="31"/>
      <c r="R93" s="31"/>
      <c r="S93" s="31"/>
      <c r="T93" s="31"/>
      <c r="U93" s="31"/>
      <c r="V93" s="31"/>
      <c r="W93" s="31"/>
      <c r="X93" s="31"/>
      <c r="Y93" s="31"/>
      <c r="Z93" s="31"/>
      <c r="AA93" s="31"/>
      <c r="AB93" s="31"/>
      <c r="AC93" s="31"/>
      <c r="AD93" s="31"/>
      <c r="AE93" s="31"/>
      <c r="AF93" s="31"/>
      <c r="AG93" s="31"/>
      <c r="AH93" s="31"/>
      <c r="AI93" s="31"/>
      <c r="AJ93" s="31"/>
      <c r="AK93" s="31"/>
      <c r="AL93" s="31"/>
      <c r="AM93" s="31"/>
      <c r="AN93" s="31"/>
      <c r="AO93" s="31"/>
      <c r="AP93" s="31"/>
      <c r="AQ93" s="31"/>
      <c r="AR93" s="31"/>
      <c r="AS93" s="31"/>
      <c r="AT93" s="31"/>
      <c r="AU93" s="31"/>
      <c r="AV93" s="31"/>
      <c r="AW93" s="31"/>
      <c r="AX93" s="31"/>
      <c r="AY93" s="31"/>
      <c r="AZ93" s="31"/>
      <c r="BA93" s="31"/>
    </row>
    <row r="94" spans="1:53" s="32" customFormat="1" ht="15.75" hidden="1" customHeight="1" x14ac:dyDescent="0.25">
      <c r="A94" s="112">
        <v>91</v>
      </c>
      <c r="B94" s="113" t="s">
        <v>409</v>
      </c>
      <c r="C94" s="114" t="s">
        <v>414</v>
      </c>
      <c r="D94" s="115" t="s">
        <v>124</v>
      </c>
      <c r="E94" s="116">
        <v>832.29</v>
      </c>
      <c r="F94" s="113" t="s">
        <v>26</v>
      </c>
      <c r="G94" s="93" t="s">
        <v>415</v>
      </c>
      <c r="H94" s="113" t="s">
        <v>416</v>
      </c>
      <c r="I94" s="113" t="s">
        <v>417</v>
      </c>
      <c r="J94" s="31"/>
      <c r="K94" s="31"/>
      <c r="L94" s="31"/>
      <c r="M94" s="31"/>
      <c r="N94" s="31"/>
      <c r="O94" s="31"/>
      <c r="P94" s="31"/>
      <c r="Q94" s="31"/>
      <c r="R94" s="31"/>
      <c r="S94" s="31"/>
      <c r="T94" s="31"/>
      <c r="U94" s="31"/>
      <c r="V94" s="31"/>
      <c r="W94" s="31"/>
      <c r="X94" s="31"/>
      <c r="Y94" s="31"/>
      <c r="Z94" s="31"/>
      <c r="AA94" s="31"/>
      <c r="AB94" s="31"/>
      <c r="AC94" s="31"/>
      <c r="AD94" s="31"/>
      <c r="AE94" s="31"/>
      <c r="AF94" s="31"/>
      <c r="AG94" s="31"/>
      <c r="AH94" s="31"/>
      <c r="AI94" s="31"/>
      <c r="AJ94" s="31"/>
      <c r="AK94" s="31"/>
      <c r="AL94" s="31"/>
      <c r="AM94" s="31"/>
      <c r="AN94" s="31"/>
      <c r="AO94" s="31"/>
      <c r="AP94" s="31"/>
      <c r="AQ94" s="31"/>
      <c r="AR94" s="31"/>
      <c r="AS94" s="31"/>
      <c r="AT94" s="31"/>
      <c r="AU94" s="31"/>
      <c r="AV94" s="31"/>
      <c r="AW94" s="31"/>
      <c r="AX94" s="31"/>
      <c r="AY94" s="31"/>
      <c r="AZ94" s="31"/>
      <c r="BA94" s="31"/>
    </row>
    <row r="95" spans="1:53" s="32" customFormat="1" ht="15.75" hidden="1" customHeight="1" x14ac:dyDescent="0.25">
      <c r="A95" s="112">
        <v>92</v>
      </c>
      <c r="B95" s="113" t="s">
        <v>409</v>
      </c>
      <c r="C95" s="114" t="s">
        <v>418</v>
      </c>
      <c r="D95" s="115" t="s">
        <v>199</v>
      </c>
      <c r="E95" s="116">
        <v>85</v>
      </c>
      <c r="F95" s="113" t="s">
        <v>26</v>
      </c>
      <c r="G95" s="93" t="s">
        <v>419</v>
      </c>
      <c r="H95" s="113" t="s">
        <v>420</v>
      </c>
      <c r="I95" s="113" t="s">
        <v>421</v>
      </c>
      <c r="J95" s="31"/>
      <c r="K95" s="31"/>
      <c r="L95" s="31"/>
      <c r="M95" s="31"/>
      <c r="N95" s="31"/>
      <c r="O95" s="31"/>
      <c r="P95" s="31"/>
      <c r="Q95" s="31"/>
      <c r="R95" s="31"/>
      <c r="S95" s="31"/>
      <c r="T95" s="31"/>
      <c r="U95" s="31"/>
      <c r="V95" s="31"/>
      <c r="W95" s="31"/>
      <c r="X95" s="31"/>
      <c r="Y95" s="31"/>
      <c r="Z95" s="31"/>
      <c r="AA95" s="31"/>
      <c r="AB95" s="31"/>
      <c r="AC95" s="31"/>
      <c r="AD95" s="31"/>
      <c r="AE95" s="31"/>
      <c r="AF95" s="31"/>
      <c r="AG95" s="31"/>
      <c r="AH95" s="31"/>
      <c r="AI95" s="31"/>
      <c r="AJ95" s="31"/>
      <c r="AK95" s="31"/>
      <c r="AL95" s="31"/>
      <c r="AM95" s="31"/>
      <c r="AN95" s="31"/>
      <c r="AO95" s="31"/>
      <c r="AP95" s="31"/>
      <c r="AQ95" s="31"/>
      <c r="AR95" s="31"/>
      <c r="AS95" s="31"/>
      <c r="AT95" s="31"/>
      <c r="AU95" s="31"/>
      <c r="AV95" s="31"/>
      <c r="AW95" s="31"/>
      <c r="AX95" s="31"/>
      <c r="AY95" s="31"/>
      <c r="AZ95" s="31"/>
      <c r="BA95" s="31"/>
    </row>
    <row r="96" spans="1:53" s="32" customFormat="1" ht="15.75" hidden="1" customHeight="1" x14ac:dyDescent="0.25">
      <c r="A96" s="112">
        <v>93</v>
      </c>
      <c r="B96" s="113" t="s">
        <v>409</v>
      </c>
      <c r="C96" s="114" t="s">
        <v>414</v>
      </c>
      <c r="D96" s="115" t="s">
        <v>199</v>
      </c>
      <c r="E96" s="116">
        <v>994</v>
      </c>
      <c r="F96" s="113" t="s">
        <v>26</v>
      </c>
      <c r="G96" s="93" t="s">
        <v>422</v>
      </c>
      <c r="H96" s="113" t="s">
        <v>423</v>
      </c>
      <c r="I96" s="113" t="s">
        <v>424</v>
      </c>
      <c r="J96" s="31"/>
      <c r="K96" s="31"/>
      <c r="L96" s="31"/>
      <c r="M96" s="31"/>
      <c r="N96" s="31"/>
      <c r="O96" s="31"/>
      <c r="P96" s="31"/>
      <c r="Q96" s="31"/>
      <c r="R96" s="31"/>
      <c r="S96" s="31"/>
      <c r="T96" s="31"/>
      <c r="U96" s="31"/>
      <c r="V96" s="31"/>
      <c r="W96" s="31"/>
      <c r="X96" s="31"/>
      <c r="Y96" s="31"/>
      <c r="Z96" s="31"/>
      <c r="AA96" s="31"/>
      <c r="AB96" s="31"/>
      <c r="AC96" s="31"/>
      <c r="AD96" s="31"/>
      <c r="AE96" s="31"/>
      <c r="AF96" s="31"/>
      <c r="AG96" s="31"/>
      <c r="AH96" s="31"/>
      <c r="AI96" s="31"/>
      <c r="AJ96" s="31"/>
      <c r="AK96" s="31"/>
      <c r="AL96" s="31"/>
      <c r="AM96" s="31"/>
      <c r="AN96" s="31"/>
      <c r="AO96" s="31"/>
      <c r="AP96" s="31"/>
      <c r="AQ96" s="31"/>
      <c r="AR96" s="31"/>
      <c r="AS96" s="31"/>
      <c r="AT96" s="31"/>
      <c r="AU96" s="31"/>
      <c r="AV96" s="31"/>
      <c r="AW96" s="31"/>
      <c r="AX96" s="31"/>
      <c r="AY96" s="31"/>
      <c r="AZ96" s="31"/>
      <c r="BA96" s="31"/>
    </row>
    <row r="97" spans="1:53" s="32" customFormat="1" ht="15.75" hidden="1" customHeight="1" x14ac:dyDescent="0.25">
      <c r="A97" s="112">
        <v>94</v>
      </c>
      <c r="B97" s="113" t="s">
        <v>409</v>
      </c>
      <c r="C97" s="114" t="s">
        <v>414</v>
      </c>
      <c r="D97" s="115" t="s">
        <v>235</v>
      </c>
      <c r="E97" s="116">
        <v>994</v>
      </c>
      <c r="F97" s="113" t="s">
        <v>26</v>
      </c>
      <c r="G97" s="93" t="s">
        <v>425</v>
      </c>
      <c r="H97" s="113" t="s">
        <v>426</v>
      </c>
      <c r="I97" s="113" t="s">
        <v>427</v>
      </c>
      <c r="J97" s="31"/>
      <c r="K97" s="31"/>
      <c r="L97" s="31"/>
      <c r="M97" s="31"/>
      <c r="N97" s="31"/>
      <c r="O97" s="31"/>
      <c r="P97" s="31"/>
      <c r="Q97" s="31"/>
      <c r="R97" s="31"/>
      <c r="S97" s="31"/>
      <c r="T97" s="31"/>
      <c r="U97" s="31"/>
      <c r="V97" s="31"/>
      <c r="W97" s="31"/>
      <c r="X97" s="31"/>
      <c r="Y97" s="31"/>
      <c r="Z97" s="31"/>
      <c r="AA97" s="31"/>
      <c r="AB97" s="31"/>
      <c r="AC97" s="31"/>
      <c r="AD97" s="31"/>
      <c r="AE97" s="31"/>
      <c r="AF97" s="31"/>
      <c r="AG97" s="31"/>
      <c r="AH97" s="31"/>
      <c r="AI97" s="31"/>
      <c r="AJ97" s="31"/>
      <c r="AK97" s="31"/>
      <c r="AL97" s="31"/>
      <c r="AM97" s="31"/>
      <c r="AN97" s="31"/>
      <c r="AO97" s="31"/>
      <c r="AP97" s="31"/>
      <c r="AQ97" s="31"/>
      <c r="AR97" s="31"/>
      <c r="AS97" s="31"/>
      <c r="AT97" s="31"/>
      <c r="AU97" s="31"/>
      <c r="AV97" s="31"/>
      <c r="AW97" s="31"/>
      <c r="AX97" s="31"/>
      <c r="AY97" s="31"/>
      <c r="AZ97" s="31"/>
      <c r="BA97" s="31"/>
    </row>
    <row r="98" spans="1:53" s="32" customFormat="1" ht="15.75" hidden="1" customHeight="1" x14ac:dyDescent="0.25">
      <c r="A98" s="112">
        <v>95</v>
      </c>
      <c r="B98" s="113" t="s">
        <v>409</v>
      </c>
      <c r="C98" s="114" t="s">
        <v>414</v>
      </c>
      <c r="D98" s="115" t="s">
        <v>275</v>
      </c>
      <c r="E98" s="116">
        <v>994</v>
      </c>
      <c r="F98" s="113" t="s">
        <v>26</v>
      </c>
      <c r="G98" s="93" t="s">
        <v>428</v>
      </c>
      <c r="H98" s="113" t="s">
        <v>429</v>
      </c>
      <c r="I98" s="113" t="s">
        <v>430</v>
      </c>
      <c r="J98" s="31"/>
      <c r="K98" s="31"/>
      <c r="L98" s="31"/>
      <c r="M98" s="31"/>
      <c r="N98" s="31"/>
      <c r="O98" s="31"/>
      <c r="P98" s="31"/>
      <c r="Q98" s="31"/>
      <c r="R98" s="31"/>
      <c r="S98" s="31"/>
      <c r="T98" s="31"/>
      <c r="U98" s="31"/>
      <c r="V98" s="31"/>
      <c r="W98" s="31"/>
      <c r="X98" s="31"/>
      <c r="Y98" s="31"/>
      <c r="Z98" s="31"/>
      <c r="AA98" s="31"/>
      <c r="AB98" s="31"/>
      <c r="AC98" s="31"/>
      <c r="AD98" s="31"/>
      <c r="AE98" s="31"/>
      <c r="AF98" s="31"/>
      <c r="AG98" s="31"/>
      <c r="AH98" s="31"/>
      <c r="AI98" s="31"/>
      <c r="AJ98" s="31"/>
      <c r="AK98" s="31"/>
      <c r="AL98" s="31"/>
      <c r="AM98" s="31"/>
      <c r="AN98" s="31"/>
      <c r="AO98" s="31"/>
      <c r="AP98" s="31"/>
      <c r="AQ98" s="31"/>
      <c r="AR98" s="31"/>
      <c r="AS98" s="31"/>
      <c r="AT98" s="31"/>
      <c r="AU98" s="31"/>
      <c r="AV98" s="31"/>
      <c r="AW98" s="31"/>
      <c r="AX98" s="31"/>
      <c r="AY98" s="31"/>
      <c r="AZ98" s="31"/>
      <c r="BA98" s="31"/>
    </row>
    <row r="99" spans="1:53" s="32" customFormat="1" ht="15.75" hidden="1" customHeight="1" x14ac:dyDescent="0.25">
      <c r="A99" s="112">
        <v>96</v>
      </c>
      <c r="B99" s="113" t="s">
        <v>409</v>
      </c>
      <c r="C99" s="114"/>
      <c r="D99" s="115" t="s">
        <v>337</v>
      </c>
      <c r="E99" s="116">
        <v>2189</v>
      </c>
      <c r="F99" s="113" t="s">
        <v>26</v>
      </c>
      <c r="G99" s="93" t="s">
        <v>431</v>
      </c>
      <c r="H99" s="113" t="s">
        <v>432</v>
      </c>
      <c r="I99" s="113" t="s">
        <v>433</v>
      </c>
      <c r="J99" s="31"/>
      <c r="K99" s="31"/>
      <c r="L99" s="31"/>
      <c r="M99" s="31"/>
      <c r="N99" s="31"/>
      <c r="O99" s="31"/>
      <c r="P99" s="31"/>
      <c r="Q99" s="31"/>
      <c r="R99" s="31"/>
      <c r="S99" s="31"/>
      <c r="T99" s="31"/>
      <c r="U99" s="31"/>
      <c r="V99" s="31"/>
      <c r="W99" s="31"/>
      <c r="X99" s="31"/>
      <c r="Y99" s="31"/>
      <c r="Z99" s="31"/>
      <c r="AA99" s="31"/>
      <c r="AB99" s="31"/>
      <c r="AC99" s="31"/>
      <c r="AD99" s="31"/>
      <c r="AE99" s="31"/>
      <c r="AF99" s="31"/>
      <c r="AG99" s="31"/>
      <c r="AH99" s="31"/>
      <c r="AI99" s="31"/>
      <c r="AJ99" s="31"/>
      <c r="AK99" s="31"/>
      <c r="AL99" s="31"/>
      <c r="AM99" s="31"/>
      <c r="AN99" s="31"/>
      <c r="AO99" s="31"/>
      <c r="AP99" s="31"/>
      <c r="AQ99" s="31"/>
      <c r="AR99" s="31"/>
      <c r="AS99" s="31"/>
      <c r="AT99" s="31"/>
      <c r="AU99" s="31"/>
      <c r="AV99" s="31"/>
      <c r="AW99" s="31"/>
      <c r="AX99" s="31"/>
      <c r="AY99" s="31"/>
      <c r="AZ99" s="31"/>
      <c r="BA99" s="31"/>
    </row>
    <row r="100" spans="1:53" s="32" customFormat="1" ht="15.75" hidden="1" customHeight="1" x14ac:dyDescent="0.25">
      <c r="A100" s="117">
        <v>97</v>
      </c>
      <c r="B100" s="118" t="s">
        <v>434</v>
      </c>
      <c r="C100" s="119" t="s">
        <v>435</v>
      </c>
      <c r="D100" s="120" t="s">
        <v>124</v>
      </c>
      <c r="E100" s="121">
        <v>15.98</v>
      </c>
      <c r="F100" s="118" t="s">
        <v>26</v>
      </c>
      <c r="G100" s="95" t="s">
        <v>436</v>
      </c>
      <c r="H100" s="118" t="s">
        <v>437</v>
      </c>
      <c r="I100" s="118" t="s">
        <v>438</v>
      </c>
      <c r="J100" s="31"/>
      <c r="K100" s="31"/>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c r="AI100" s="31"/>
      <c r="AJ100" s="31"/>
      <c r="AK100" s="31"/>
      <c r="AL100" s="31"/>
      <c r="AM100" s="31"/>
      <c r="AN100" s="31"/>
      <c r="AO100" s="31"/>
      <c r="AP100" s="31"/>
      <c r="AQ100" s="31"/>
      <c r="AR100" s="31"/>
      <c r="AS100" s="31"/>
      <c r="AT100" s="31"/>
      <c r="AU100" s="31"/>
      <c r="AV100" s="31"/>
      <c r="AW100" s="31"/>
      <c r="AX100" s="31"/>
      <c r="AY100" s="31"/>
      <c r="AZ100" s="31"/>
      <c r="BA100" s="31"/>
    </row>
    <row r="101" spans="1:53" s="32" customFormat="1" ht="15.75" hidden="1" customHeight="1" x14ac:dyDescent="0.25">
      <c r="A101" s="117">
        <v>98</v>
      </c>
      <c r="B101" s="118" t="s">
        <v>434</v>
      </c>
      <c r="C101" s="119" t="s">
        <v>435</v>
      </c>
      <c r="D101" s="120" t="s">
        <v>124</v>
      </c>
      <c r="E101" s="121">
        <v>12.98</v>
      </c>
      <c r="F101" s="118" t="s">
        <v>26</v>
      </c>
      <c r="G101" s="95" t="s">
        <v>439</v>
      </c>
      <c r="H101" s="118" t="s">
        <v>437</v>
      </c>
      <c r="I101" s="118" t="s">
        <v>440</v>
      </c>
      <c r="J101" s="31"/>
      <c r="K101" s="31"/>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c r="AI101" s="31"/>
      <c r="AJ101" s="31"/>
      <c r="AK101" s="31"/>
      <c r="AL101" s="31"/>
      <c r="AM101" s="31"/>
      <c r="AN101" s="31"/>
      <c r="AO101" s="31"/>
      <c r="AP101" s="31"/>
      <c r="AQ101" s="31"/>
      <c r="AR101" s="31"/>
      <c r="AS101" s="31"/>
      <c r="AT101" s="31"/>
      <c r="AU101" s="31"/>
      <c r="AV101" s="31"/>
      <c r="AW101" s="31"/>
      <c r="AX101" s="31"/>
      <c r="AY101" s="31"/>
      <c r="AZ101" s="31"/>
      <c r="BA101" s="31"/>
    </row>
    <row r="102" spans="1:53" s="32" customFormat="1" ht="15.75" hidden="1" customHeight="1" x14ac:dyDescent="0.25">
      <c r="A102" s="117">
        <v>99</v>
      </c>
      <c r="B102" s="118" t="s">
        <v>434</v>
      </c>
      <c r="C102" s="119" t="s">
        <v>435</v>
      </c>
      <c r="D102" s="120" t="s">
        <v>124</v>
      </c>
      <c r="E102" s="121">
        <v>28.54</v>
      </c>
      <c r="F102" s="118" t="s">
        <v>26</v>
      </c>
      <c r="G102" s="95" t="s">
        <v>441</v>
      </c>
      <c r="H102" s="118" t="s">
        <v>442</v>
      </c>
      <c r="I102" s="118" t="s">
        <v>443</v>
      </c>
      <c r="J102" s="31"/>
      <c r="K102" s="31"/>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c r="AI102" s="31"/>
      <c r="AJ102" s="31"/>
      <c r="AK102" s="31"/>
      <c r="AL102" s="31"/>
      <c r="AM102" s="31"/>
      <c r="AN102" s="31"/>
      <c r="AO102" s="31"/>
      <c r="AP102" s="31"/>
      <c r="AQ102" s="31"/>
      <c r="AR102" s="31"/>
      <c r="AS102" s="31"/>
      <c r="AT102" s="31"/>
      <c r="AU102" s="31"/>
      <c r="AV102" s="31"/>
      <c r="AW102" s="31"/>
      <c r="AX102" s="31"/>
      <c r="AY102" s="31"/>
      <c r="AZ102" s="31"/>
      <c r="BA102" s="31"/>
    </row>
    <row r="103" spans="1:53" s="32" customFormat="1" ht="15.75" hidden="1" customHeight="1" x14ac:dyDescent="0.25">
      <c r="A103" s="117">
        <v>100</v>
      </c>
      <c r="B103" s="118" t="s">
        <v>434</v>
      </c>
      <c r="C103" s="119" t="s">
        <v>435</v>
      </c>
      <c r="D103" s="120" t="s">
        <v>124</v>
      </c>
      <c r="E103" s="121">
        <v>25.59</v>
      </c>
      <c r="F103" s="118" t="s">
        <v>26</v>
      </c>
      <c r="G103" s="95" t="s">
        <v>444</v>
      </c>
      <c r="H103" s="118" t="s">
        <v>442</v>
      </c>
      <c r="I103" s="118" t="s">
        <v>445</v>
      </c>
      <c r="J103" s="31"/>
      <c r="K103" s="31"/>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c r="AI103" s="31"/>
      <c r="AJ103" s="31"/>
      <c r="AK103" s="31"/>
      <c r="AL103" s="31"/>
      <c r="AM103" s="31"/>
      <c r="AN103" s="31"/>
      <c r="AO103" s="31"/>
      <c r="AP103" s="31"/>
      <c r="AQ103" s="31"/>
      <c r="AR103" s="31"/>
      <c r="AS103" s="31"/>
      <c r="AT103" s="31"/>
      <c r="AU103" s="31"/>
      <c r="AV103" s="31"/>
      <c r="AW103" s="31"/>
      <c r="AX103" s="31"/>
      <c r="AY103" s="31"/>
      <c r="AZ103" s="31"/>
      <c r="BA103" s="31"/>
    </row>
    <row r="104" spans="1:53" s="32" customFormat="1" ht="15.75" hidden="1" customHeight="1" x14ac:dyDescent="0.25">
      <c r="A104" s="117">
        <v>101</v>
      </c>
      <c r="B104" s="118" t="s">
        <v>434</v>
      </c>
      <c r="C104" s="119" t="s">
        <v>435</v>
      </c>
      <c r="D104" s="120" t="s">
        <v>124</v>
      </c>
      <c r="E104" s="121">
        <v>13.98</v>
      </c>
      <c r="F104" s="118" t="s">
        <v>26</v>
      </c>
      <c r="G104" s="95" t="s">
        <v>446</v>
      </c>
      <c r="H104" s="118" t="s">
        <v>442</v>
      </c>
      <c r="I104" s="118" t="s">
        <v>447</v>
      </c>
      <c r="J104" s="31"/>
      <c r="K104" s="31"/>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c r="AI104" s="31"/>
      <c r="AJ104" s="31"/>
      <c r="AK104" s="31"/>
      <c r="AL104" s="31"/>
      <c r="AM104" s="31"/>
      <c r="AN104" s="31"/>
      <c r="AO104" s="31"/>
      <c r="AP104" s="31"/>
      <c r="AQ104" s="31"/>
      <c r="AR104" s="31"/>
      <c r="AS104" s="31"/>
      <c r="AT104" s="31"/>
      <c r="AU104" s="31"/>
      <c r="AV104" s="31"/>
      <c r="AW104" s="31"/>
      <c r="AX104" s="31"/>
      <c r="AY104" s="31"/>
      <c r="AZ104" s="31"/>
      <c r="BA104" s="31"/>
    </row>
    <row r="105" spans="1:53" s="32" customFormat="1" ht="15.75" hidden="1" customHeight="1" x14ac:dyDescent="0.25">
      <c r="A105" s="117">
        <v>102</v>
      </c>
      <c r="B105" s="118" t="s">
        <v>434</v>
      </c>
      <c r="C105" s="119" t="s">
        <v>435</v>
      </c>
      <c r="D105" s="120" t="s">
        <v>124</v>
      </c>
      <c r="E105" s="121">
        <v>24.95</v>
      </c>
      <c r="F105" s="118" t="s">
        <v>26</v>
      </c>
      <c r="G105" s="95" t="s">
        <v>448</v>
      </c>
      <c r="H105" s="118" t="s">
        <v>442</v>
      </c>
      <c r="I105" s="118" t="s">
        <v>449</v>
      </c>
      <c r="J105" s="31"/>
      <c r="K105" s="31"/>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c r="AI105" s="31"/>
      <c r="AJ105" s="31"/>
      <c r="AK105" s="31"/>
      <c r="AL105" s="31"/>
      <c r="AM105" s="31"/>
      <c r="AN105" s="31"/>
      <c r="AO105" s="31"/>
      <c r="AP105" s="31"/>
      <c r="AQ105" s="31"/>
      <c r="AR105" s="31"/>
      <c r="AS105" s="31"/>
      <c r="AT105" s="31"/>
      <c r="AU105" s="31"/>
      <c r="AV105" s="31"/>
      <c r="AW105" s="31"/>
      <c r="AX105" s="31"/>
      <c r="AY105" s="31"/>
      <c r="AZ105" s="31"/>
      <c r="BA105" s="31"/>
    </row>
    <row r="106" spans="1:53" s="32" customFormat="1" ht="15.75" hidden="1" customHeight="1" x14ac:dyDescent="0.25">
      <c r="A106" s="117">
        <v>103</v>
      </c>
      <c r="B106" s="118" t="s">
        <v>434</v>
      </c>
      <c r="C106" s="119" t="s">
        <v>435</v>
      </c>
      <c r="D106" s="120" t="s">
        <v>124</v>
      </c>
      <c r="E106" s="121">
        <v>4.5</v>
      </c>
      <c r="F106" s="118" t="s">
        <v>26</v>
      </c>
      <c r="G106" s="95" t="s">
        <v>450</v>
      </c>
      <c r="H106" s="118" t="s">
        <v>451</v>
      </c>
      <c r="I106" s="118" t="s">
        <v>452</v>
      </c>
      <c r="J106" s="31"/>
      <c r="K106" s="31"/>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c r="AI106" s="31"/>
      <c r="AJ106" s="31"/>
      <c r="AK106" s="31"/>
      <c r="AL106" s="31"/>
      <c r="AM106" s="31"/>
      <c r="AN106" s="31"/>
      <c r="AO106" s="31"/>
      <c r="AP106" s="31"/>
      <c r="AQ106" s="31"/>
      <c r="AR106" s="31"/>
      <c r="AS106" s="31"/>
      <c r="AT106" s="31"/>
      <c r="AU106" s="31"/>
      <c r="AV106" s="31"/>
      <c r="AW106" s="31"/>
      <c r="AX106" s="31"/>
      <c r="AY106" s="31"/>
      <c r="AZ106" s="31"/>
      <c r="BA106" s="31"/>
    </row>
    <row r="107" spans="1:53" s="32" customFormat="1" ht="15.75" hidden="1" customHeight="1" x14ac:dyDescent="0.25">
      <c r="A107" s="117">
        <v>104</v>
      </c>
      <c r="B107" s="118" t="s">
        <v>434</v>
      </c>
      <c r="C107" s="119" t="s">
        <v>435</v>
      </c>
      <c r="D107" s="120" t="s">
        <v>124</v>
      </c>
      <c r="E107" s="121">
        <v>57.98</v>
      </c>
      <c r="F107" s="118" t="s">
        <v>26</v>
      </c>
      <c r="G107" s="95" t="s">
        <v>453</v>
      </c>
      <c r="H107" s="118" t="s">
        <v>451</v>
      </c>
      <c r="I107" s="118" t="s">
        <v>454</v>
      </c>
      <c r="J107" s="31"/>
      <c r="K107" s="31"/>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c r="AI107" s="31"/>
      <c r="AJ107" s="31"/>
      <c r="AK107" s="31"/>
      <c r="AL107" s="31"/>
      <c r="AM107" s="31"/>
      <c r="AN107" s="31"/>
      <c r="AO107" s="31"/>
      <c r="AP107" s="31"/>
      <c r="AQ107" s="31"/>
      <c r="AR107" s="31"/>
      <c r="AS107" s="31"/>
      <c r="AT107" s="31"/>
      <c r="AU107" s="31"/>
      <c r="AV107" s="31"/>
      <c r="AW107" s="31"/>
      <c r="AX107" s="31"/>
      <c r="AY107" s="31"/>
      <c r="AZ107" s="31"/>
      <c r="BA107" s="31"/>
    </row>
    <row r="108" spans="1:53" s="32" customFormat="1" ht="15.75" hidden="1" customHeight="1" x14ac:dyDescent="0.25">
      <c r="A108" s="117">
        <v>105</v>
      </c>
      <c r="B108" s="118" t="s">
        <v>434</v>
      </c>
      <c r="C108" s="119" t="s">
        <v>435</v>
      </c>
      <c r="D108" s="120" t="s">
        <v>124</v>
      </c>
      <c r="E108" s="121">
        <v>49.96</v>
      </c>
      <c r="F108" s="118" t="s">
        <v>26</v>
      </c>
      <c r="G108" s="95" t="s">
        <v>455</v>
      </c>
      <c r="H108" s="118" t="s">
        <v>451</v>
      </c>
      <c r="I108" s="118" t="s">
        <v>456</v>
      </c>
      <c r="J108" s="31"/>
      <c r="K108" s="31"/>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row>
    <row r="109" spans="1:53" s="32" customFormat="1" ht="15.75" hidden="1" customHeight="1" x14ac:dyDescent="0.25">
      <c r="A109" s="117">
        <v>106</v>
      </c>
      <c r="B109" s="118" t="s">
        <v>434</v>
      </c>
      <c r="C109" s="119" t="s">
        <v>435</v>
      </c>
      <c r="D109" s="120" t="s">
        <v>124</v>
      </c>
      <c r="E109" s="121">
        <v>15.98</v>
      </c>
      <c r="F109" s="118" t="s">
        <v>26</v>
      </c>
      <c r="G109" s="95" t="s">
        <v>457</v>
      </c>
      <c r="H109" s="118" t="s">
        <v>458</v>
      </c>
      <c r="I109" s="118" t="s">
        <v>459</v>
      </c>
      <c r="J109" s="31"/>
      <c r="K109" s="31"/>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c r="AI109" s="31"/>
      <c r="AJ109" s="31"/>
      <c r="AK109" s="31"/>
      <c r="AL109" s="31"/>
      <c r="AM109" s="31"/>
      <c r="AN109" s="31"/>
      <c r="AO109" s="31"/>
      <c r="AP109" s="31"/>
      <c r="AQ109" s="31"/>
      <c r="AR109" s="31"/>
      <c r="AS109" s="31"/>
      <c r="AT109" s="31"/>
      <c r="AU109" s="31"/>
      <c r="AV109" s="31"/>
      <c r="AW109" s="31"/>
      <c r="AX109" s="31"/>
      <c r="AY109" s="31"/>
      <c r="AZ109" s="31"/>
      <c r="BA109" s="31"/>
    </row>
    <row r="110" spans="1:53" s="32" customFormat="1" ht="15.75" hidden="1" customHeight="1" x14ac:dyDescent="0.25">
      <c r="A110" s="117">
        <v>107</v>
      </c>
      <c r="B110" s="118" t="s">
        <v>434</v>
      </c>
      <c r="C110" s="119" t="s">
        <v>435</v>
      </c>
      <c r="D110" s="120" t="s">
        <v>124</v>
      </c>
      <c r="E110" s="121">
        <v>16.45</v>
      </c>
      <c r="F110" s="118" t="s">
        <v>26</v>
      </c>
      <c r="G110" s="95" t="s">
        <v>460</v>
      </c>
      <c r="H110" s="118" t="s">
        <v>458</v>
      </c>
      <c r="I110" s="118" t="s">
        <v>461</v>
      </c>
      <c r="J110" s="31"/>
      <c r="K110" s="31"/>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c r="AI110" s="31"/>
      <c r="AJ110" s="31"/>
      <c r="AK110" s="31"/>
      <c r="AL110" s="31"/>
      <c r="AM110" s="31"/>
      <c r="AN110" s="31"/>
      <c r="AO110" s="31"/>
      <c r="AP110" s="31"/>
      <c r="AQ110" s="31"/>
      <c r="AR110" s="31"/>
      <c r="AS110" s="31"/>
      <c r="AT110" s="31"/>
      <c r="AU110" s="31"/>
      <c r="AV110" s="31"/>
      <c r="AW110" s="31"/>
      <c r="AX110" s="31"/>
      <c r="AY110" s="31"/>
      <c r="AZ110" s="31"/>
      <c r="BA110" s="31"/>
    </row>
    <row r="111" spans="1:53" s="32" customFormat="1" ht="15.75" hidden="1" customHeight="1" x14ac:dyDescent="0.25">
      <c r="A111" s="117">
        <v>108</v>
      </c>
      <c r="B111" s="118" t="s">
        <v>434</v>
      </c>
      <c r="C111" s="119" t="s">
        <v>435</v>
      </c>
      <c r="D111" s="120" t="s">
        <v>124</v>
      </c>
      <c r="E111" s="121">
        <v>18.62</v>
      </c>
      <c r="F111" s="118" t="s">
        <v>26</v>
      </c>
      <c r="G111" s="95" t="s">
        <v>462</v>
      </c>
      <c r="H111" s="118" t="s">
        <v>458</v>
      </c>
      <c r="I111" s="118" t="s">
        <v>463</v>
      </c>
      <c r="J111" s="31"/>
      <c r="K111" s="31"/>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c r="AI111" s="31"/>
      <c r="AJ111" s="31"/>
      <c r="AK111" s="31"/>
      <c r="AL111" s="31"/>
      <c r="AM111" s="31"/>
      <c r="AN111" s="31"/>
      <c r="AO111" s="31"/>
      <c r="AP111" s="31"/>
      <c r="AQ111" s="31"/>
      <c r="AR111" s="31"/>
      <c r="AS111" s="31"/>
      <c r="AT111" s="31"/>
      <c r="AU111" s="31"/>
      <c r="AV111" s="31"/>
      <c r="AW111" s="31"/>
      <c r="AX111" s="31"/>
      <c r="AY111" s="31"/>
      <c r="AZ111" s="31"/>
      <c r="BA111" s="31"/>
    </row>
    <row r="112" spans="1:53" s="32" customFormat="1" ht="15.75" hidden="1" customHeight="1" x14ac:dyDescent="0.25">
      <c r="A112" s="117">
        <v>109</v>
      </c>
      <c r="B112" s="118" t="s">
        <v>434</v>
      </c>
      <c r="C112" s="119" t="s">
        <v>435</v>
      </c>
      <c r="D112" s="120" t="s">
        <v>124</v>
      </c>
      <c r="E112" s="121">
        <v>4.71</v>
      </c>
      <c r="F112" s="118" t="s">
        <v>26</v>
      </c>
      <c r="G112" s="95" t="s">
        <v>464</v>
      </c>
      <c r="H112" s="118" t="s">
        <v>465</v>
      </c>
      <c r="I112" s="118" t="s">
        <v>466</v>
      </c>
      <c r="J112" s="31"/>
      <c r="K112" s="31"/>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c r="AI112" s="31"/>
      <c r="AJ112" s="31"/>
      <c r="AK112" s="31"/>
      <c r="AL112" s="31"/>
      <c r="AM112" s="31"/>
      <c r="AN112" s="31"/>
      <c r="AO112" s="31"/>
      <c r="AP112" s="31"/>
      <c r="AQ112" s="31"/>
      <c r="AR112" s="31"/>
      <c r="AS112" s="31"/>
      <c r="AT112" s="31"/>
      <c r="AU112" s="31"/>
      <c r="AV112" s="31"/>
      <c r="AW112" s="31"/>
      <c r="AX112" s="31"/>
      <c r="AY112" s="31"/>
      <c r="AZ112" s="31"/>
      <c r="BA112" s="31"/>
    </row>
    <row r="113" spans="1:53" s="32" customFormat="1" ht="15.75" hidden="1" customHeight="1" x14ac:dyDescent="0.25">
      <c r="A113" s="117">
        <v>110</v>
      </c>
      <c r="B113" s="118" t="s">
        <v>434</v>
      </c>
      <c r="C113" s="119" t="s">
        <v>435</v>
      </c>
      <c r="D113" s="120" t="s">
        <v>124</v>
      </c>
      <c r="E113" s="121">
        <v>27.14</v>
      </c>
      <c r="F113" s="118" t="s">
        <v>26</v>
      </c>
      <c r="G113" s="95" t="s">
        <v>467</v>
      </c>
      <c r="H113" s="118" t="s">
        <v>465</v>
      </c>
      <c r="I113" s="118" t="s">
        <v>468</v>
      </c>
      <c r="J113" s="31"/>
      <c r="K113" s="31"/>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c r="AI113" s="31"/>
      <c r="AJ113" s="31"/>
      <c r="AK113" s="31"/>
      <c r="AL113" s="31"/>
      <c r="AM113" s="31"/>
      <c r="AN113" s="31"/>
      <c r="AO113" s="31"/>
      <c r="AP113" s="31"/>
      <c r="AQ113" s="31"/>
      <c r="AR113" s="31"/>
      <c r="AS113" s="31"/>
      <c r="AT113" s="31"/>
      <c r="AU113" s="31"/>
      <c r="AV113" s="31"/>
      <c r="AW113" s="31"/>
      <c r="AX113" s="31"/>
      <c r="AY113" s="31"/>
      <c r="AZ113" s="31"/>
      <c r="BA113" s="31"/>
    </row>
    <row r="114" spans="1:53" s="32" customFormat="1" ht="15.75" hidden="1" customHeight="1" x14ac:dyDescent="0.25">
      <c r="A114" s="117">
        <v>111</v>
      </c>
      <c r="B114" s="118" t="s">
        <v>434</v>
      </c>
      <c r="C114" s="119" t="s">
        <v>435</v>
      </c>
      <c r="D114" s="120" t="s">
        <v>124</v>
      </c>
      <c r="E114" s="121">
        <v>9.9499999999999993</v>
      </c>
      <c r="F114" s="118" t="s">
        <v>26</v>
      </c>
      <c r="G114" s="95" t="s">
        <v>469</v>
      </c>
      <c r="H114" s="118" t="s">
        <v>465</v>
      </c>
      <c r="I114" s="118" t="s">
        <v>470</v>
      </c>
      <c r="J114" s="31"/>
      <c r="K114" s="31"/>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c r="AI114" s="31"/>
      <c r="AJ114" s="31"/>
      <c r="AK114" s="31"/>
      <c r="AL114" s="31"/>
      <c r="AM114" s="31"/>
      <c r="AN114" s="31"/>
      <c r="AO114" s="31"/>
      <c r="AP114" s="31"/>
      <c r="AQ114" s="31"/>
      <c r="AR114" s="31"/>
      <c r="AS114" s="31"/>
      <c r="AT114" s="31"/>
      <c r="AU114" s="31"/>
      <c r="AV114" s="31"/>
      <c r="AW114" s="31"/>
      <c r="AX114" s="31"/>
      <c r="AY114" s="31"/>
      <c r="AZ114" s="31"/>
      <c r="BA114" s="31"/>
    </row>
    <row r="115" spans="1:53" s="32" customFormat="1" ht="15.75" hidden="1" customHeight="1" x14ac:dyDescent="0.25">
      <c r="A115" s="117">
        <v>112</v>
      </c>
      <c r="B115" s="118" t="s">
        <v>434</v>
      </c>
      <c r="C115" s="119" t="s">
        <v>435</v>
      </c>
      <c r="D115" s="120" t="s">
        <v>124</v>
      </c>
      <c r="E115" s="121">
        <v>4.75</v>
      </c>
      <c r="F115" s="118" t="s">
        <v>26</v>
      </c>
      <c r="G115" s="95" t="s">
        <v>471</v>
      </c>
      <c r="H115" s="118" t="s">
        <v>472</v>
      </c>
      <c r="I115" s="118" t="s">
        <v>473</v>
      </c>
      <c r="J115" s="31"/>
      <c r="K115" s="31"/>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c r="AI115" s="31"/>
      <c r="AJ115" s="31"/>
      <c r="AK115" s="31"/>
      <c r="AL115" s="31"/>
      <c r="AM115" s="31"/>
      <c r="AN115" s="31"/>
      <c r="AO115" s="31"/>
      <c r="AP115" s="31"/>
      <c r="AQ115" s="31"/>
      <c r="AR115" s="31"/>
      <c r="AS115" s="31"/>
      <c r="AT115" s="31"/>
      <c r="AU115" s="31"/>
      <c r="AV115" s="31"/>
      <c r="AW115" s="31"/>
      <c r="AX115" s="31"/>
      <c r="AY115" s="31"/>
      <c r="AZ115" s="31"/>
      <c r="BA115" s="31"/>
    </row>
    <row r="116" spans="1:53" s="32" customFormat="1" ht="15.75" hidden="1" customHeight="1" x14ac:dyDescent="0.25">
      <c r="A116" s="117">
        <v>113</v>
      </c>
      <c r="B116" s="118" t="s">
        <v>434</v>
      </c>
      <c r="C116" s="119" t="s">
        <v>435</v>
      </c>
      <c r="D116" s="120" t="s">
        <v>124</v>
      </c>
      <c r="E116" s="121">
        <v>36.94</v>
      </c>
      <c r="F116" s="118" t="s">
        <v>26</v>
      </c>
      <c r="G116" s="95" t="s">
        <v>474</v>
      </c>
      <c r="H116" s="118" t="s">
        <v>472</v>
      </c>
      <c r="I116" s="118" t="s">
        <v>475</v>
      </c>
      <c r="J116" s="31"/>
      <c r="K116" s="31"/>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c r="AI116" s="31"/>
      <c r="AJ116" s="31"/>
      <c r="AK116" s="31"/>
      <c r="AL116" s="31"/>
      <c r="AM116" s="31"/>
      <c r="AN116" s="31"/>
      <c r="AO116" s="31"/>
      <c r="AP116" s="31"/>
      <c r="AQ116" s="31"/>
      <c r="AR116" s="31"/>
      <c r="AS116" s="31"/>
      <c r="AT116" s="31"/>
      <c r="AU116" s="31"/>
      <c r="AV116" s="31"/>
      <c r="AW116" s="31"/>
      <c r="AX116" s="31"/>
      <c r="AY116" s="31"/>
      <c r="AZ116" s="31"/>
      <c r="BA116" s="31"/>
    </row>
    <row r="117" spans="1:53" s="32" customFormat="1" ht="15.75" hidden="1" customHeight="1" x14ac:dyDescent="0.25">
      <c r="A117" s="117">
        <v>114</v>
      </c>
      <c r="B117" s="118" t="s">
        <v>434</v>
      </c>
      <c r="C117" s="119" t="s">
        <v>435</v>
      </c>
      <c r="D117" s="120" t="s">
        <v>124</v>
      </c>
      <c r="E117" s="121">
        <v>55.95</v>
      </c>
      <c r="F117" s="118" t="s">
        <v>26</v>
      </c>
      <c r="G117" s="95" t="s">
        <v>476</v>
      </c>
      <c r="H117" s="118" t="s">
        <v>472</v>
      </c>
      <c r="I117" s="118" t="s">
        <v>477</v>
      </c>
      <c r="J117" s="31"/>
      <c r="K117" s="31"/>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c r="AI117" s="31"/>
      <c r="AJ117" s="31"/>
      <c r="AK117" s="31"/>
      <c r="AL117" s="31"/>
      <c r="AM117" s="31"/>
      <c r="AN117" s="31"/>
      <c r="AO117" s="31"/>
      <c r="AP117" s="31"/>
      <c r="AQ117" s="31"/>
      <c r="AR117" s="31"/>
      <c r="AS117" s="31"/>
      <c r="AT117" s="31"/>
      <c r="AU117" s="31"/>
      <c r="AV117" s="31"/>
      <c r="AW117" s="31"/>
      <c r="AX117" s="31"/>
      <c r="AY117" s="31"/>
      <c r="AZ117" s="31"/>
      <c r="BA117" s="31"/>
    </row>
    <row r="118" spans="1:53" s="32" customFormat="1" ht="15.75" hidden="1" customHeight="1" x14ac:dyDescent="0.25">
      <c r="A118" s="117">
        <v>115</v>
      </c>
      <c r="B118" s="118" t="s">
        <v>434</v>
      </c>
      <c r="C118" s="119" t="s">
        <v>435</v>
      </c>
      <c r="D118" s="120" t="s">
        <v>124</v>
      </c>
      <c r="E118" s="121">
        <v>48.9</v>
      </c>
      <c r="F118" s="118" t="s">
        <v>26</v>
      </c>
      <c r="G118" s="95" t="s">
        <v>478</v>
      </c>
      <c r="H118" s="118" t="s">
        <v>479</v>
      </c>
      <c r="I118" s="118" t="s">
        <v>480</v>
      </c>
      <c r="J118" s="31"/>
      <c r="K118" s="31"/>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c r="AI118" s="31"/>
      <c r="AJ118" s="31"/>
      <c r="AK118" s="31"/>
      <c r="AL118" s="31"/>
      <c r="AM118" s="31"/>
      <c r="AN118" s="31"/>
      <c r="AO118" s="31"/>
      <c r="AP118" s="31"/>
      <c r="AQ118" s="31"/>
      <c r="AR118" s="31"/>
      <c r="AS118" s="31"/>
      <c r="AT118" s="31"/>
      <c r="AU118" s="31"/>
      <c r="AV118" s="31"/>
      <c r="AW118" s="31"/>
      <c r="AX118" s="31"/>
      <c r="AY118" s="31"/>
      <c r="AZ118" s="31"/>
      <c r="BA118" s="31"/>
    </row>
    <row r="119" spans="1:53" s="32" customFormat="1" ht="15.75" hidden="1" customHeight="1" x14ac:dyDescent="0.25">
      <c r="A119" s="117">
        <v>116</v>
      </c>
      <c r="B119" s="118" t="s">
        <v>434</v>
      </c>
      <c r="C119" s="119" t="s">
        <v>435</v>
      </c>
      <c r="D119" s="120" t="s">
        <v>124</v>
      </c>
      <c r="E119" s="121">
        <v>14.94</v>
      </c>
      <c r="F119" s="118" t="s">
        <v>26</v>
      </c>
      <c r="G119" s="95" t="s">
        <v>481</v>
      </c>
      <c r="H119" s="118" t="s">
        <v>479</v>
      </c>
      <c r="I119" s="118" t="s">
        <v>482</v>
      </c>
      <c r="J119" s="31"/>
      <c r="K119" s="31"/>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c r="AI119" s="31"/>
      <c r="AJ119" s="31"/>
      <c r="AK119" s="31"/>
      <c r="AL119" s="31"/>
      <c r="AM119" s="31"/>
      <c r="AN119" s="31"/>
      <c r="AO119" s="31"/>
      <c r="AP119" s="31"/>
      <c r="AQ119" s="31"/>
      <c r="AR119" s="31"/>
      <c r="AS119" s="31"/>
      <c r="AT119" s="31"/>
      <c r="AU119" s="31"/>
      <c r="AV119" s="31"/>
      <c r="AW119" s="31"/>
      <c r="AX119" s="31"/>
      <c r="AY119" s="31"/>
      <c r="AZ119" s="31"/>
      <c r="BA119" s="31"/>
    </row>
    <row r="120" spans="1:53" s="32" customFormat="1" ht="15.75" hidden="1" customHeight="1" x14ac:dyDescent="0.25">
      <c r="A120" s="117">
        <v>117</v>
      </c>
      <c r="B120" s="118" t="s">
        <v>434</v>
      </c>
      <c r="C120" s="119" t="s">
        <v>435</v>
      </c>
      <c r="D120" s="120" t="s">
        <v>124</v>
      </c>
      <c r="E120" s="121">
        <v>13.95</v>
      </c>
      <c r="F120" s="118" t="s">
        <v>26</v>
      </c>
      <c r="G120" s="95" t="s">
        <v>483</v>
      </c>
      <c r="H120" s="118" t="s">
        <v>484</v>
      </c>
      <c r="I120" s="118" t="s">
        <v>485</v>
      </c>
      <c r="J120" s="31"/>
      <c r="K120" s="31"/>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c r="AI120" s="31"/>
      <c r="AJ120" s="31"/>
      <c r="AK120" s="31"/>
      <c r="AL120" s="31"/>
      <c r="AM120" s="31"/>
      <c r="AN120" s="31"/>
      <c r="AO120" s="31"/>
      <c r="AP120" s="31"/>
      <c r="AQ120" s="31"/>
      <c r="AR120" s="31"/>
      <c r="AS120" s="31"/>
      <c r="AT120" s="31"/>
      <c r="AU120" s="31"/>
      <c r="AV120" s="31"/>
      <c r="AW120" s="31"/>
      <c r="AX120" s="31"/>
      <c r="AY120" s="31"/>
      <c r="AZ120" s="31"/>
      <c r="BA120" s="31"/>
    </row>
    <row r="121" spans="1:53" s="32" customFormat="1" ht="15.75" hidden="1" customHeight="1" x14ac:dyDescent="0.25">
      <c r="A121" s="117">
        <v>118</v>
      </c>
      <c r="B121" s="118" t="s">
        <v>434</v>
      </c>
      <c r="C121" s="119" t="s">
        <v>435</v>
      </c>
      <c r="D121" s="120" t="s">
        <v>124</v>
      </c>
      <c r="E121" s="121">
        <v>53.51</v>
      </c>
      <c r="F121" s="118" t="s">
        <v>26</v>
      </c>
      <c r="G121" s="95" t="s">
        <v>486</v>
      </c>
      <c r="H121" s="118" t="s">
        <v>484</v>
      </c>
      <c r="I121" s="118" t="s">
        <v>487</v>
      </c>
      <c r="J121" s="31"/>
      <c r="K121" s="31"/>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c r="AI121" s="31"/>
      <c r="AJ121" s="31"/>
      <c r="AK121" s="31"/>
      <c r="AL121" s="31"/>
      <c r="AM121" s="31"/>
      <c r="AN121" s="31"/>
      <c r="AO121" s="31"/>
      <c r="AP121" s="31"/>
      <c r="AQ121" s="31"/>
      <c r="AR121" s="31"/>
      <c r="AS121" s="31"/>
      <c r="AT121" s="31"/>
      <c r="AU121" s="31"/>
      <c r="AV121" s="31"/>
      <c r="AW121" s="31"/>
      <c r="AX121" s="31"/>
      <c r="AY121" s="31"/>
      <c r="AZ121" s="31"/>
      <c r="BA121" s="31"/>
    </row>
    <row r="122" spans="1:53" s="32" customFormat="1" ht="15.75" hidden="1" customHeight="1" x14ac:dyDescent="0.25">
      <c r="A122" s="117">
        <v>119</v>
      </c>
      <c r="B122" s="118" t="s">
        <v>434</v>
      </c>
      <c r="C122" s="119" t="s">
        <v>435</v>
      </c>
      <c r="D122" s="120" t="s">
        <v>124</v>
      </c>
      <c r="E122" s="121">
        <v>33.53</v>
      </c>
      <c r="F122" s="118" t="s">
        <v>26</v>
      </c>
      <c r="G122" s="95" t="s">
        <v>488</v>
      </c>
      <c r="H122" s="118" t="s">
        <v>484</v>
      </c>
      <c r="I122" s="118" t="s">
        <v>489</v>
      </c>
      <c r="J122" s="31"/>
      <c r="K122" s="31"/>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c r="AI122" s="31"/>
      <c r="AJ122" s="31"/>
      <c r="AK122" s="31"/>
      <c r="AL122" s="31"/>
      <c r="AM122" s="31"/>
      <c r="AN122" s="31"/>
      <c r="AO122" s="31"/>
      <c r="AP122" s="31"/>
      <c r="AQ122" s="31"/>
      <c r="AR122" s="31"/>
      <c r="AS122" s="31"/>
      <c r="AT122" s="31"/>
      <c r="AU122" s="31"/>
      <c r="AV122" s="31"/>
      <c r="AW122" s="31"/>
      <c r="AX122" s="31"/>
      <c r="AY122" s="31"/>
      <c r="AZ122" s="31"/>
      <c r="BA122" s="31"/>
    </row>
    <row r="123" spans="1:53" s="32" customFormat="1" ht="15.75" hidden="1" customHeight="1" x14ac:dyDescent="0.25">
      <c r="A123" s="117">
        <v>120</v>
      </c>
      <c r="B123" s="118" t="s">
        <v>434</v>
      </c>
      <c r="C123" s="119" t="s">
        <v>435</v>
      </c>
      <c r="D123" s="120" t="s">
        <v>124</v>
      </c>
      <c r="E123" s="121">
        <v>18.98</v>
      </c>
      <c r="F123" s="118" t="s">
        <v>26</v>
      </c>
      <c r="G123" s="95" t="s">
        <v>490</v>
      </c>
      <c r="H123" s="118" t="s">
        <v>484</v>
      </c>
      <c r="I123" s="118" t="s">
        <v>491</v>
      </c>
      <c r="J123" s="31"/>
      <c r="K123" s="31"/>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c r="AI123" s="31"/>
      <c r="AJ123" s="31"/>
      <c r="AK123" s="31"/>
      <c r="AL123" s="31"/>
      <c r="AM123" s="31"/>
      <c r="AN123" s="31"/>
      <c r="AO123" s="31"/>
      <c r="AP123" s="31"/>
      <c r="AQ123" s="31"/>
      <c r="AR123" s="31"/>
      <c r="AS123" s="31"/>
      <c r="AT123" s="31"/>
      <c r="AU123" s="31"/>
      <c r="AV123" s="31"/>
      <c r="AW123" s="31"/>
      <c r="AX123" s="31"/>
      <c r="AY123" s="31"/>
      <c r="AZ123" s="31"/>
      <c r="BA123" s="31"/>
    </row>
    <row r="124" spans="1:53" s="32" customFormat="1" ht="15.75" hidden="1" customHeight="1" x14ac:dyDescent="0.25">
      <c r="A124" s="117">
        <v>121</v>
      </c>
      <c r="B124" s="118" t="s">
        <v>434</v>
      </c>
      <c r="C124" s="119" t="s">
        <v>435</v>
      </c>
      <c r="D124" s="120" t="s">
        <v>124</v>
      </c>
      <c r="E124" s="121">
        <v>20.98</v>
      </c>
      <c r="F124" s="118" t="s">
        <v>26</v>
      </c>
      <c r="G124" s="95" t="s">
        <v>492</v>
      </c>
      <c r="H124" s="118" t="s">
        <v>484</v>
      </c>
      <c r="I124" s="118" t="s">
        <v>493</v>
      </c>
      <c r="J124" s="31"/>
      <c r="K124" s="31"/>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c r="AI124" s="31"/>
      <c r="AJ124" s="31"/>
      <c r="AK124" s="31"/>
      <c r="AL124" s="31"/>
      <c r="AM124" s="31"/>
      <c r="AN124" s="31"/>
      <c r="AO124" s="31"/>
      <c r="AP124" s="31"/>
      <c r="AQ124" s="31"/>
      <c r="AR124" s="31"/>
      <c r="AS124" s="31"/>
      <c r="AT124" s="31"/>
      <c r="AU124" s="31"/>
      <c r="AV124" s="31"/>
      <c r="AW124" s="31"/>
      <c r="AX124" s="31"/>
      <c r="AY124" s="31"/>
      <c r="AZ124" s="31"/>
      <c r="BA124" s="31"/>
    </row>
    <row r="125" spans="1:53" s="32" customFormat="1" ht="15.75" hidden="1" customHeight="1" x14ac:dyDescent="0.25">
      <c r="A125" s="117">
        <v>122</v>
      </c>
      <c r="B125" s="118" t="s">
        <v>434</v>
      </c>
      <c r="C125" s="119" t="s">
        <v>435</v>
      </c>
      <c r="D125" s="120" t="s">
        <v>124</v>
      </c>
      <c r="E125" s="121">
        <v>11.69</v>
      </c>
      <c r="F125" s="118" t="s">
        <v>26</v>
      </c>
      <c r="G125" s="95" t="s">
        <v>494</v>
      </c>
      <c r="H125" s="118" t="s">
        <v>495</v>
      </c>
      <c r="I125" s="118" t="s">
        <v>496</v>
      </c>
      <c r="J125" s="31"/>
      <c r="K125" s="31"/>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c r="AI125" s="31"/>
      <c r="AJ125" s="31"/>
      <c r="AK125" s="31"/>
      <c r="AL125" s="31"/>
      <c r="AM125" s="31"/>
      <c r="AN125" s="31"/>
      <c r="AO125" s="31"/>
      <c r="AP125" s="31"/>
      <c r="AQ125" s="31"/>
      <c r="AR125" s="31"/>
      <c r="AS125" s="31"/>
      <c r="AT125" s="31"/>
      <c r="AU125" s="31"/>
      <c r="AV125" s="31"/>
      <c r="AW125" s="31"/>
      <c r="AX125" s="31"/>
      <c r="AY125" s="31"/>
      <c r="AZ125" s="31"/>
      <c r="BA125" s="31"/>
    </row>
    <row r="126" spans="1:53" s="32" customFormat="1" ht="15.75" hidden="1" customHeight="1" x14ac:dyDescent="0.25">
      <c r="A126" s="117">
        <v>123</v>
      </c>
      <c r="B126" s="118" t="s">
        <v>434</v>
      </c>
      <c r="C126" s="119" t="s">
        <v>435</v>
      </c>
      <c r="D126" s="120" t="s">
        <v>124</v>
      </c>
      <c r="E126" s="121">
        <v>10.96</v>
      </c>
      <c r="F126" s="118" t="s">
        <v>26</v>
      </c>
      <c r="G126" s="95" t="s">
        <v>497</v>
      </c>
      <c r="H126" s="118" t="s">
        <v>495</v>
      </c>
      <c r="I126" s="118" t="s">
        <v>498</v>
      </c>
      <c r="J126" s="31"/>
      <c r="K126" s="31"/>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c r="AI126" s="31"/>
      <c r="AJ126" s="31"/>
      <c r="AK126" s="31"/>
      <c r="AL126" s="31"/>
      <c r="AM126" s="31"/>
      <c r="AN126" s="31"/>
      <c r="AO126" s="31"/>
      <c r="AP126" s="31"/>
      <c r="AQ126" s="31"/>
      <c r="AR126" s="31"/>
      <c r="AS126" s="31"/>
      <c r="AT126" s="31"/>
      <c r="AU126" s="31"/>
      <c r="AV126" s="31"/>
      <c r="AW126" s="31"/>
      <c r="AX126" s="31"/>
      <c r="AY126" s="31"/>
      <c r="AZ126" s="31"/>
      <c r="BA126" s="31"/>
    </row>
    <row r="127" spans="1:53" s="32" customFormat="1" ht="15.75" hidden="1" customHeight="1" x14ac:dyDescent="0.25">
      <c r="A127" s="117">
        <v>124</v>
      </c>
      <c r="B127" s="118" t="s">
        <v>434</v>
      </c>
      <c r="C127" s="119" t="s">
        <v>435</v>
      </c>
      <c r="D127" s="120" t="s">
        <v>124</v>
      </c>
      <c r="E127" s="121">
        <v>16.57</v>
      </c>
      <c r="F127" s="118" t="s">
        <v>26</v>
      </c>
      <c r="G127" s="95" t="s">
        <v>499</v>
      </c>
      <c r="H127" s="118" t="s">
        <v>500</v>
      </c>
      <c r="I127" s="118" t="s">
        <v>501</v>
      </c>
      <c r="J127" s="31"/>
      <c r="K127" s="31"/>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c r="AI127" s="31"/>
      <c r="AJ127" s="31"/>
      <c r="AK127" s="31"/>
      <c r="AL127" s="31"/>
      <c r="AM127" s="31"/>
      <c r="AN127" s="31"/>
      <c r="AO127" s="31"/>
      <c r="AP127" s="31"/>
      <c r="AQ127" s="31"/>
      <c r="AR127" s="31"/>
      <c r="AS127" s="31"/>
      <c r="AT127" s="31"/>
      <c r="AU127" s="31"/>
      <c r="AV127" s="31"/>
      <c r="AW127" s="31"/>
      <c r="AX127" s="31"/>
      <c r="AY127" s="31"/>
      <c r="AZ127" s="31"/>
      <c r="BA127" s="31"/>
    </row>
    <row r="128" spans="1:53" s="32" customFormat="1" ht="15.75" hidden="1" customHeight="1" x14ac:dyDescent="0.25">
      <c r="A128" s="117">
        <v>125</v>
      </c>
      <c r="B128" s="118" t="s">
        <v>434</v>
      </c>
      <c r="C128" s="119" t="s">
        <v>435</v>
      </c>
      <c r="D128" s="120" t="s">
        <v>124</v>
      </c>
      <c r="E128" s="121">
        <v>23.52</v>
      </c>
      <c r="F128" s="118" t="s">
        <v>26</v>
      </c>
      <c r="G128" s="95" t="s">
        <v>502</v>
      </c>
      <c r="H128" s="118" t="s">
        <v>500</v>
      </c>
      <c r="I128" s="118" t="s">
        <v>503</v>
      </c>
      <c r="J128" s="31"/>
      <c r="K128" s="31"/>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c r="AI128" s="31"/>
      <c r="AJ128" s="31"/>
      <c r="AK128" s="31"/>
      <c r="AL128" s="31"/>
      <c r="AM128" s="31"/>
      <c r="AN128" s="31"/>
      <c r="AO128" s="31"/>
      <c r="AP128" s="31"/>
      <c r="AQ128" s="31"/>
      <c r="AR128" s="31"/>
      <c r="AS128" s="31"/>
      <c r="AT128" s="31"/>
      <c r="AU128" s="31"/>
      <c r="AV128" s="31"/>
      <c r="AW128" s="31"/>
      <c r="AX128" s="31"/>
      <c r="AY128" s="31"/>
      <c r="AZ128" s="31"/>
      <c r="BA128" s="31"/>
    </row>
    <row r="129" spans="1:53" s="32" customFormat="1" ht="15.75" hidden="1" customHeight="1" x14ac:dyDescent="0.25">
      <c r="A129" s="117">
        <v>126</v>
      </c>
      <c r="B129" s="118" t="s">
        <v>434</v>
      </c>
      <c r="C129" s="119" t="s">
        <v>435</v>
      </c>
      <c r="D129" s="120" t="s">
        <v>124</v>
      </c>
      <c r="E129" s="121">
        <v>27.38</v>
      </c>
      <c r="F129" s="118" t="s">
        <v>26</v>
      </c>
      <c r="G129" s="95" t="s">
        <v>504</v>
      </c>
      <c r="H129" s="118" t="s">
        <v>505</v>
      </c>
      <c r="I129" s="118" t="s">
        <v>506</v>
      </c>
      <c r="J129" s="31"/>
      <c r="K129" s="31"/>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c r="AI129" s="31"/>
      <c r="AJ129" s="31"/>
      <c r="AK129" s="31"/>
      <c r="AL129" s="31"/>
      <c r="AM129" s="31"/>
      <c r="AN129" s="31"/>
      <c r="AO129" s="31"/>
      <c r="AP129" s="31"/>
      <c r="AQ129" s="31"/>
      <c r="AR129" s="31"/>
      <c r="AS129" s="31"/>
      <c r="AT129" s="31"/>
      <c r="AU129" s="31"/>
      <c r="AV129" s="31"/>
      <c r="AW129" s="31"/>
      <c r="AX129" s="31"/>
      <c r="AY129" s="31"/>
      <c r="AZ129" s="31"/>
      <c r="BA129" s="31"/>
    </row>
    <row r="130" spans="1:53" s="32" customFormat="1" ht="15.75" hidden="1" customHeight="1" x14ac:dyDescent="0.25">
      <c r="A130" s="117">
        <v>127</v>
      </c>
      <c r="B130" s="118" t="s">
        <v>434</v>
      </c>
      <c r="C130" s="119" t="s">
        <v>435</v>
      </c>
      <c r="D130" s="120" t="s">
        <v>124</v>
      </c>
      <c r="E130" s="121">
        <v>23.9</v>
      </c>
      <c r="F130" s="118" t="s">
        <v>26</v>
      </c>
      <c r="G130" s="95" t="s">
        <v>507</v>
      </c>
      <c r="H130" s="118" t="s">
        <v>505</v>
      </c>
      <c r="I130" s="118" t="s">
        <v>508</v>
      </c>
      <c r="J130" s="31"/>
      <c r="K130" s="31"/>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c r="AI130" s="31"/>
      <c r="AJ130" s="31"/>
      <c r="AK130" s="31"/>
      <c r="AL130" s="31"/>
      <c r="AM130" s="31"/>
      <c r="AN130" s="31"/>
      <c r="AO130" s="31"/>
      <c r="AP130" s="31"/>
      <c r="AQ130" s="31"/>
      <c r="AR130" s="31"/>
      <c r="AS130" s="31"/>
      <c r="AT130" s="31"/>
      <c r="AU130" s="31"/>
      <c r="AV130" s="31"/>
      <c r="AW130" s="31"/>
      <c r="AX130" s="31"/>
      <c r="AY130" s="31"/>
      <c r="AZ130" s="31"/>
      <c r="BA130" s="31"/>
    </row>
    <row r="131" spans="1:53" s="32" customFormat="1" ht="15.75" hidden="1" customHeight="1" x14ac:dyDescent="0.25">
      <c r="A131" s="117">
        <v>128</v>
      </c>
      <c r="B131" s="118" t="s">
        <v>434</v>
      </c>
      <c r="C131" s="119" t="s">
        <v>435</v>
      </c>
      <c r="D131" s="120" t="s">
        <v>124</v>
      </c>
      <c r="E131" s="121">
        <v>8.94</v>
      </c>
      <c r="F131" s="118" t="s">
        <v>26</v>
      </c>
      <c r="G131" s="95" t="s">
        <v>509</v>
      </c>
      <c r="H131" s="118" t="s">
        <v>505</v>
      </c>
      <c r="I131" s="118" t="s">
        <v>510</v>
      </c>
      <c r="J131" s="31"/>
      <c r="K131" s="31"/>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c r="AI131" s="31"/>
      <c r="AJ131" s="31"/>
      <c r="AK131" s="31"/>
      <c r="AL131" s="31"/>
      <c r="AM131" s="31"/>
      <c r="AN131" s="31"/>
      <c r="AO131" s="31"/>
      <c r="AP131" s="31"/>
      <c r="AQ131" s="31"/>
      <c r="AR131" s="31"/>
      <c r="AS131" s="31"/>
      <c r="AT131" s="31"/>
      <c r="AU131" s="31"/>
      <c r="AV131" s="31"/>
      <c r="AW131" s="31"/>
      <c r="AX131" s="31"/>
      <c r="AY131" s="31"/>
      <c r="AZ131" s="31"/>
      <c r="BA131" s="31"/>
    </row>
    <row r="132" spans="1:53" s="32" customFormat="1" ht="15.75" hidden="1" customHeight="1" x14ac:dyDescent="0.25">
      <c r="A132" s="117">
        <v>129</v>
      </c>
      <c r="B132" s="118" t="s">
        <v>434</v>
      </c>
      <c r="C132" s="119" t="s">
        <v>435</v>
      </c>
      <c r="D132" s="120" t="s">
        <v>199</v>
      </c>
      <c r="E132" s="121">
        <v>13.98</v>
      </c>
      <c r="F132" s="118" t="s">
        <v>26</v>
      </c>
      <c r="G132" s="95" t="s">
        <v>511</v>
      </c>
      <c r="H132" s="118" t="s">
        <v>512</v>
      </c>
      <c r="I132" s="118" t="s">
        <v>513</v>
      </c>
      <c r="J132" s="31"/>
      <c r="K132" s="31"/>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c r="AI132" s="31"/>
      <c r="AJ132" s="31"/>
      <c r="AK132" s="31"/>
      <c r="AL132" s="31"/>
      <c r="AM132" s="31"/>
      <c r="AN132" s="31"/>
      <c r="AO132" s="31"/>
      <c r="AP132" s="31"/>
      <c r="AQ132" s="31"/>
      <c r="AR132" s="31"/>
      <c r="AS132" s="31"/>
      <c r="AT132" s="31"/>
      <c r="AU132" s="31"/>
      <c r="AV132" s="31"/>
      <c r="AW132" s="31"/>
      <c r="AX132" s="31"/>
      <c r="AY132" s="31"/>
      <c r="AZ132" s="31"/>
      <c r="BA132" s="31"/>
    </row>
    <row r="133" spans="1:53" s="32" customFormat="1" ht="15.75" hidden="1" customHeight="1" x14ac:dyDescent="0.25">
      <c r="A133" s="117">
        <v>130</v>
      </c>
      <c r="B133" s="118" t="s">
        <v>434</v>
      </c>
      <c r="C133" s="119" t="s">
        <v>435</v>
      </c>
      <c r="D133" s="120" t="s">
        <v>199</v>
      </c>
      <c r="E133" s="121">
        <v>32.36</v>
      </c>
      <c r="F133" s="118" t="s">
        <v>26</v>
      </c>
      <c r="G133" s="95" t="s">
        <v>514</v>
      </c>
      <c r="H133" s="118" t="s">
        <v>512</v>
      </c>
      <c r="I133" s="118" t="s">
        <v>515</v>
      </c>
      <c r="J133" s="31"/>
      <c r="K133" s="31"/>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row>
    <row r="134" spans="1:53" s="32" customFormat="1" ht="15.75" hidden="1" customHeight="1" x14ac:dyDescent="0.25">
      <c r="A134" s="117">
        <v>131</v>
      </c>
      <c r="B134" s="118" t="s">
        <v>434</v>
      </c>
      <c r="C134" s="119" t="s">
        <v>435</v>
      </c>
      <c r="D134" s="120" t="s">
        <v>199</v>
      </c>
      <c r="E134" s="121">
        <v>22.57</v>
      </c>
      <c r="F134" s="118" t="s">
        <v>26</v>
      </c>
      <c r="G134" s="95" t="s">
        <v>516</v>
      </c>
      <c r="H134" s="118" t="s">
        <v>512</v>
      </c>
      <c r="I134" s="118" t="s">
        <v>517</v>
      </c>
      <c r="J134" s="31"/>
      <c r="K134" s="31"/>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c r="AI134" s="31"/>
      <c r="AJ134" s="31"/>
      <c r="AK134" s="31"/>
      <c r="AL134" s="31"/>
      <c r="AM134" s="31"/>
      <c r="AN134" s="31"/>
      <c r="AO134" s="31"/>
      <c r="AP134" s="31"/>
      <c r="AQ134" s="31"/>
      <c r="AR134" s="31"/>
      <c r="AS134" s="31"/>
      <c r="AT134" s="31"/>
      <c r="AU134" s="31"/>
      <c r="AV134" s="31"/>
      <c r="AW134" s="31"/>
      <c r="AX134" s="31"/>
      <c r="AY134" s="31"/>
      <c r="AZ134" s="31"/>
      <c r="BA134" s="31"/>
    </row>
    <row r="135" spans="1:53" s="32" customFormat="1" ht="15.75" hidden="1" customHeight="1" x14ac:dyDescent="0.25">
      <c r="A135" s="117">
        <v>132</v>
      </c>
      <c r="B135" s="118" t="s">
        <v>434</v>
      </c>
      <c r="C135" s="119" t="s">
        <v>435</v>
      </c>
      <c r="D135" s="120" t="s">
        <v>199</v>
      </c>
      <c r="E135" s="121">
        <v>52.73</v>
      </c>
      <c r="F135" s="118" t="s">
        <v>26</v>
      </c>
      <c r="G135" s="95" t="s">
        <v>518</v>
      </c>
      <c r="H135" s="118" t="s">
        <v>519</v>
      </c>
      <c r="I135" s="118" t="s">
        <v>520</v>
      </c>
      <c r="J135" s="31"/>
      <c r="K135" s="31"/>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c r="AI135" s="31"/>
      <c r="AJ135" s="31"/>
      <c r="AK135" s="31"/>
      <c r="AL135" s="31"/>
      <c r="AM135" s="31"/>
      <c r="AN135" s="31"/>
      <c r="AO135" s="31"/>
      <c r="AP135" s="31"/>
      <c r="AQ135" s="31"/>
      <c r="AR135" s="31"/>
      <c r="AS135" s="31"/>
      <c r="AT135" s="31"/>
      <c r="AU135" s="31"/>
      <c r="AV135" s="31"/>
      <c r="AW135" s="31"/>
      <c r="AX135" s="31"/>
      <c r="AY135" s="31"/>
      <c r="AZ135" s="31"/>
      <c r="BA135" s="31"/>
    </row>
    <row r="136" spans="1:53" s="32" customFormat="1" ht="15.75" hidden="1" customHeight="1" x14ac:dyDescent="0.25">
      <c r="A136" s="117">
        <v>133</v>
      </c>
      <c r="B136" s="118" t="s">
        <v>434</v>
      </c>
      <c r="C136" s="119" t="s">
        <v>435</v>
      </c>
      <c r="D136" s="120" t="s">
        <v>199</v>
      </c>
      <c r="E136" s="121">
        <v>66.91</v>
      </c>
      <c r="F136" s="118" t="s">
        <v>26</v>
      </c>
      <c r="G136" s="95" t="s">
        <v>521</v>
      </c>
      <c r="H136" s="118" t="s">
        <v>522</v>
      </c>
      <c r="I136" s="118" t="s">
        <v>523</v>
      </c>
      <c r="J136" s="31"/>
      <c r="K136" s="31"/>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c r="AI136" s="31"/>
      <c r="AJ136" s="31"/>
      <c r="AK136" s="31"/>
      <c r="AL136" s="31"/>
      <c r="AM136" s="31"/>
      <c r="AN136" s="31"/>
      <c r="AO136" s="31"/>
      <c r="AP136" s="31"/>
      <c r="AQ136" s="31"/>
      <c r="AR136" s="31"/>
      <c r="AS136" s="31"/>
      <c r="AT136" s="31"/>
      <c r="AU136" s="31"/>
      <c r="AV136" s="31"/>
      <c r="AW136" s="31"/>
      <c r="AX136" s="31"/>
      <c r="AY136" s="31"/>
      <c r="AZ136" s="31"/>
      <c r="BA136" s="31"/>
    </row>
    <row r="137" spans="1:53" s="32" customFormat="1" ht="15.75" hidden="1" customHeight="1" x14ac:dyDescent="0.25">
      <c r="A137" s="117">
        <v>134</v>
      </c>
      <c r="B137" s="118" t="s">
        <v>434</v>
      </c>
      <c r="C137" s="119" t="s">
        <v>435</v>
      </c>
      <c r="D137" s="120" t="s">
        <v>199</v>
      </c>
      <c r="E137" s="121">
        <v>25.94</v>
      </c>
      <c r="F137" s="118" t="s">
        <v>26</v>
      </c>
      <c r="G137" s="95" t="s">
        <v>524</v>
      </c>
      <c r="H137" s="118" t="s">
        <v>525</v>
      </c>
      <c r="I137" s="118" t="s">
        <v>526</v>
      </c>
      <c r="J137" s="31"/>
      <c r="K137" s="31"/>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c r="AI137" s="31"/>
      <c r="AJ137" s="31"/>
      <c r="AK137" s="31"/>
      <c r="AL137" s="31"/>
      <c r="AM137" s="31"/>
      <c r="AN137" s="31"/>
      <c r="AO137" s="31"/>
      <c r="AP137" s="31"/>
      <c r="AQ137" s="31"/>
      <c r="AR137" s="31"/>
      <c r="AS137" s="31"/>
      <c r="AT137" s="31"/>
      <c r="AU137" s="31"/>
      <c r="AV137" s="31"/>
      <c r="AW137" s="31"/>
      <c r="AX137" s="31"/>
      <c r="AY137" s="31"/>
      <c r="AZ137" s="31"/>
      <c r="BA137" s="31"/>
    </row>
    <row r="138" spans="1:53" s="32" customFormat="1" ht="15.75" hidden="1" customHeight="1" x14ac:dyDescent="0.25">
      <c r="A138" s="117">
        <v>135</v>
      </c>
      <c r="B138" s="118" t="s">
        <v>434</v>
      </c>
      <c r="C138" s="119" t="s">
        <v>435</v>
      </c>
      <c r="D138" s="120" t="s">
        <v>199</v>
      </c>
      <c r="E138" s="121">
        <v>25.95</v>
      </c>
      <c r="F138" s="118" t="s">
        <v>26</v>
      </c>
      <c r="G138" s="95" t="s">
        <v>527</v>
      </c>
      <c r="H138" s="118" t="s">
        <v>525</v>
      </c>
      <c r="I138" s="118" t="s">
        <v>528</v>
      </c>
      <c r="J138" s="31"/>
      <c r="K138" s="31"/>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c r="AI138" s="31"/>
      <c r="AJ138" s="31"/>
      <c r="AK138" s="31"/>
      <c r="AL138" s="31"/>
      <c r="AM138" s="31"/>
      <c r="AN138" s="31"/>
      <c r="AO138" s="31"/>
      <c r="AP138" s="31"/>
      <c r="AQ138" s="31"/>
      <c r="AR138" s="31"/>
      <c r="AS138" s="31"/>
      <c r="AT138" s="31"/>
      <c r="AU138" s="31"/>
      <c r="AV138" s="31"/>
      <c r="AW138" s="31"/>
      <c r="AX138" s="31"/>
      <c r="AY138" s="31"/>
      <c r="AZ138" s="31"/>
      <c r="BA138" s="31"/>
    </row>
    <row r="139" spans="1:53" s="32" customFormat="1" ht="15.75" hidden="1" customHeight="1" x14ac:dyDescent="0.25">
      <c r="A139" s="117">
        <v>136</v>
      </c>
      <c r="B139" s="118" t="s">
        <v>434</v>
      </c>
      <c r="C139" s="119" t="s">
        <v>435</v>
      </c>
      <c r="D139" s="120" t="s">
        <v>199</v>
      </c>
      <c r="E139" s="121">
        <v>40.24</v>
      </c>
      <c r="F139" s="118" t="s">
        <v>26</v>
      </c>
      <c r="G139" s="95" t="s">
        <v>529</v>
      </c>
      <c r="H139" s="118" t="s">
        <v>530</v>
      </c>
      <c r="I139" s="118" t="s">
        <v>531</v>
      </c>
      <c r="J139" s="31"/>
      <c r="K139" s="31"/>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c r="AI139" s="31"/>
      <c r="AJ139" s="31"/>
      <c r="AK139" s="31"/>
      <c r="AL139" s="31"/>
      <c r="AM139" s="31"/>
      <c r="AN139" s="31"/>
      <c r="AO139" s="31"/>
      <c r="AP139" s="31"/>
      <c r="AQ139" s="31"/>
      <c r="AR139" s="31"/>
      <c r="AS139" s="31"/>
      <c r="AT139" s="31"/>
      <c r="AU139" s="31"/>
      <c r="AV139" s="31"/>
      <c r="AW139" s="31"/>
      <c r="AX139" s="31"/>
      <c r="AY139" s="31"/>
      <c r="AZ139" s="31"/>
      <c r="BA139" s="31"/>
    </row>
    <row r="140" spans="1:53" s="32" customFormat="1" ht="15.75" hidden="1" customHeight="1" x14ac:dyDescent="0.25">
      <c r="A140" s="117">
        <v>137</v>
      </c>
      <c r="B140" s="118" t="s">
        <v>434</v>
      </c>
      <c r="C140" s="119" t="s">
        <v>435</v>
      </c>
      <c r="D140" s="120" t="s">
        <v>199</v>
      </c>
      <c r="E140" s="121">
        <v>16.940000000000001</v>
      </c>
      <c r="F140" s="118" t="s">
        <v>26</v>
      </c>
      <c r="G140" s="95" t="s">
        <v>532</v>
      </c>
      <c r="H140" s="118" t="s">
        <v>530</v>
      </c>
      <c r="I140" s="118" t="s">
        <v>533</v>
      </c>
      <c r="J140" s="31"/>
      <c r="K140" s="31"/>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c r="AI140" s="31"/>
      <c r="AJ140" s="31"/>
      <c r="AK140" s="31"/>
      <c r="AL140" s="31"/>
      <c r="AM140" s="31"/>
      <c r="AN140" s="31"/>
      <c r="AO140" s="31"/>
      <c r="AP140" s="31"/>
      <c r="AQ140" s="31"/>
      <c r="AR140" s="31"/>
      <c r="AS140" s="31"/>
      <c r="AT140" s="31"/>
      <c r="AU140" s="31"/>
      <c r="AV140" s="31"/>
      <c r="AW140" s="31"/>
      <c r="AX140" s="31"/>
      <c r="AY140" s="31"/>
      <c r="AZ140" s="31"/>
      <c r="BA140" s="31"/>
    </row>
    <row r="141" spans="1:53" s="32" customFormat="1" ht="15.75" hidden="1" customHeight="1" x14ac:dyDescent="0.25">
      <c r="A141" s="117">
        <v>138</v>
      </c>
      <c r="B141" s="118" t="s">
        <v>434</v>
      </c>
      <c r="C141" s="119" t="s">
        <v>435</v>
      </c>
      <c r="D141" s="120" t="s">
        <v>199</v>
      </c>
      <c r="E141" s="121">
        <v>26.96</v>
      </c>
      <c r="F141" s="118" t="s">
        <v>26</v>
      </c>
      <c r="G141" s="95" t="s">
        <v>534</v>
      </c>
      <c r="H141" s="118" t="s">
        <v>530</v>
      </c>
      <c r="I141" s="118" t="s">
        <v>535</v>
      </c>
      <c r="J141" s="31"/>
      <c r="K141" s="31"/>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row>
    <row r="142" spans="1:53" s="32" customFormat="1" ht="15.75" hidden="1" customHeight="1" x14ac:dyDescent="0.25">
      <c r="A142" s="117">
        <v>139</v>
      </c>
      <c r="B142" s="118" t="s">
        <v>434</v>
      </c>
      <c r="C142" s="119" t="s">
        <v>435</v>
      </c>
      <c r="D142" s="120" t="s">
        <v>199</v>
      </c>
      <c r="E142" s="121">
        <v>27.94</v>
      </c>
      <c r="F142" s="118" t="s">
        <v>26</v>
      </c>
      <c r="G142" s="95" t="s">
        <v>536</v>
      </c>
      <c r="H142" s="118" t="s">
        <v>537</v>
      </c>
      <c r="I142" s="118" t="s">
        <v>538</v>
      </c>
      <c r="J142" s="31"/>
      <c r="K142" s="31"/>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row>
    <row r="143" spans="1:53" s="32" customFormat="1" ht="15.75" hidden="1" customHeight="1" x14ac:dyDescent="0.25">
      <c r="A143" s="117">
        <v>140</v>
      </c>
      <c r="B143" s="118" t="s">
        <v>434</v>
      </c>
      <c r="C143" s="119" t="s">
        <v>435</v>
      </c>
      <c r="D143" s="120" t="s">
        <v>199</v>
      </c>
      <c r="E143" s="121">
        <v>27.01</v>
      </c>
      <c r="F143" s="118" t="s">
        <v>26</v>
      </c>
      <c r="G143" s="95" t="s">
        <v>539</v>
      </c>
      <c r="H143" s="118" t="s">
        <v>540</v>
      </c>
      <c r="I143" s="118" t="s">
        <v>541</v>
      </c>
      <c r="J143" s="31"/>
      <c r="K143" s="31"/>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row>
    <row r="144" spans="1:53" s="32" customFormat="1" ht="15.75" hidden="1" customHeight="1" x14ac:dyDescent="0.25">
      <c r="A144" s="117">
        <v>141</v>
      </c>
      <c r="B144" s="118" t="s">
        <v>434</v>
      </c>
      <c r="C144" s="119" t="s">
        <v>435</v>
      </c>
      <c r="D144" s="120" t="s">
        <v>235</v>
      </c>
      <c r="E144" s="121">
        <v>25.6</v>
      </c>
      <c r="F144" s="118" t="s">
        <v>26</v>
      </c>
      <c r="G144" s="95" t="s">
        <v>542</v>
      </c>
      <c r="H144" s="118" t="s">
        <v>543</v>
      </c>
      <c r="I144" s="122" t="s">
        <v>544</v>
      </c>
      <c r="J144" s="31"/>
      <c r="K144" s="31"/>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row>
    <row r="145" spans="1:53" s="32" customFormat="1" ht="15.75" hidden="1" customHeight="1" x14ac:dyDescent="0.25">
      <c r="A145" s="117">
        <v>142</v>
      </c>
      <c r="B145" s="118" t="s">
        <v>434</v>
      </c>
      <c r="C145" s="119" t="s">
        <v>435</v>
      </c>
      <c r="D145" s="120" t="s">
        <v>235</v>
      </c>
      <c r="E145" s="121">
        <v>23.54</v>
      </c>
      <c r="F145" s="118" t="s">
        <v>26</v>
      </c>
      <c r="G145" s="95" t="s">
        <v>545</v>
      </c>
      <c r="H145" s="118" t="s">
        <v>546</v>
      </c>
      <c r="I145" s="118" t="s">
        <v>547</v>
      </c>
      <c r="J145" s="31"/>
      <c r="K145" s="31"/>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row>
    <row r="146" spans="1:53" s="32" customFormat="1" ht="15.75" hidden="1" customHeight="1" x14ac:dyDescent="0.25">
      <c r="A146" s="117">
        <v>143</v>
      </c>
      <c r="B146" s="118" t="s">
        <v>434</v>
      </c>
      <c r="C146" s="119" t="s">
        <v>435</v>
      </c>
      <c r="D146" s="120" t="s">
        <v>235</v>
      </c>
      <c r="E146" s="121">
        <v>38.22</v>
      </c>
      <c r="F146" s="118" t="s">
        <v>26</v>
      </c>
      <c r="G146" s="95" t="s">
        <v>548</v>
      </c>
      <c r="H146" s="118" t="s">
        <v>546</v>
      </c>
      <c r="I146" s="118" t="s">
        <v>549</v>
      </c>
      <c r="J146" s="31"/>
      <c r="K146" s="31"/>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row>
    <row r="147" spans="1:53" s="32" customFormat="1" ht="15.75" hidden="1" customHeight="1" x14ac:dyDescent="0.25">
      <c r="A147" s="117">
        <v>144</v>
      </c>
      <c r="B147" s="118" t="s">
        <v>434</v>
      </c>
      <c r="C147" s="119" t="s">
        <v>435</v>
      </c>
      <c r="D147" s="120" t="s">
        <v>235</v>
      </c>
      <c r="E147" s="121">
        <v>26.5</v>
      </c>
      <c r="F147" s="118" t="s">
        <v>26</v>
      </c>
      <c r="G147" s="95" t="s">
        <v>550</v>
      </c>
      <c r="H147" s="118" t="s">
        <v>551</v>
      </c>
      <c r="I147" s="118" t="s">
        <v>552</v>
      </c>
      <c r="J147" s="31"/>
      <c r="K147" s="31"/>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row>
    <row r="148" spans="1:53" s="32" customFormat="1" ht="15.75" hidden="1" customHeight="1" x14ac:dyDescent="0.25">
      <c r="A148" s="117">
        <v>145</v>
      </c>
      <c r="B148" s="118" t="s">
        <v>434</v>
      </c>
      <c r="C148" s="119" t="s">
        <v>435</v>
      </c>
      <c r="D148" s="120" t="s">
        <v>235</v>
      </c>
      <c r="E148" s="121">
        <v>31.65</v>
      </c>
      <c r="F148" s="118" t="s">
        <v>26</v>
      </c>
      <c r="G148" s="95" t="s">
        <v>553</v>
      </c>
      <c r="H148" s="118" t="s">
        <v>554</v>
      </c>
      <c r="I148" s="118" t="s">
        <v>555</v>
      </c>
      <c r="J148" s="31"/>
      <c r="K148" s="31"/>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row>
    <row r="149" spans="1:53" s="32" customFormat="1" ht="15.75" hidden="1" customHeight="1" x14ac:dyDescent="0.25">
      <c r="A149" s="117">
        <v>146</v>
      </c>
      <c r="B149" s="118" t="s">
        <v>434</v>
      </c>
      <c r="C149" s="119" t="s">
        <v>435</v>
      </c>
      <c r="D149" s="120" t="s">
        <v>235</v>
      </c>
      <c r="E149" s="121">
        <v>15.52</v>
      </c>
      <c r="F149" s="118" t="s">
        <v>26</v>
      </c>
      <c r="G149" s="95" t="s">
        <v>556</v>
      </c>
      <c r="H149" s="118" t="s">
        <v>554</v>
      </c>
      <c r="I149" s="118" t="s">
        <v>557</v>
      </c>
      <c r="J149" s="31"/>
      <c r="K149" s="31"/>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row>
    <row r="150" spans="1:53" s="32" customFormat="1" ht="15.75" hidden="1" customHeight="1" x14ac:dyDescent="0.25">
      <c r="A150" s="117">
        <v>147</v>
      </c>
      <c r="B150" s="118" t="s">
        <v>434</v>
      </c>
      <c r="C150" s="119" t="s">
        <v>435</v>
      </c>
      <c r="D150" s="120" t="s">
        <v>235</v>
      </c>
      <c r="E150" s="121">
        <v>27.25</v>
      </c>
      <c r="F150" s="118" t="s">
        <v>26</v>
      </c>
      <c r="G150" s="95" t="s">
        <v>558</v>
      </c>
      <c r="H150" s="118" t="s">
        <v>559</v>
      </c>
      <c r="I150" s="118" t="s">
        <v>560</v>
      </c>
      <c r="J150" s="31"/>
      <c r="K150" s="31"/>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row>
    <row r="151" spans="1:53" s="32" customFormat="1" ht="15.75" hidden="1" customHeight="1" x14ac:dyDescent="0.25">
      <c r="A151" s="117">
        <v>148</v>
      </c>
      <c r="B151" s="118" t="s">
        <v>434</v>
      </c>
      <c r="C151" s="119" t="s">
        <v>435</v>
      </c>
      <c r="D151" s="120" t="s">
        <v>235</v>
      </c>
      <c r="E151" s="121">
        <v>21.57</v>
      </c>
      <c r="F151" s="118" t="s">
        <v>26</v>
      </c>
      <c r="G151" s="95" t="s">
        <v>561</v>
      </c>
      <c r="H151" s="118" t="s">
        <v>559</v>
      </c>
      <c r="I151" s="118" t="s">
        <v>562</v>
      </c>
      <c r="J151" s="31"/>
      <c r="K151" s="31"/>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row>
    <row r="152" spans="1:53" s="32" customFormat="1" ht="15.75" hidden="1" customHeight="1" x14ac:dyDescent="0.25">
      <c r="A152" s="123">
        <v>149</v>
      </c>
      <c r="B152" s="124" t="s">
        <v>434</v>
      </c>
      <c r="C152" s="124" t="s">
        <v>435</v>
      </c>
      <c r="D152" s="125" t="s">
        <v>235</v>
      </c>
      <c r="E152" s="126">
        <v>35.86</v>
      </c>
      <c r="F152" s="124" t="s">
        <v>26</v>
      </c>
      <c r="G152" s="95" t="s">
        <v>563</v>
      </c>
      <c r="H152" s="124" t="s">
        <v>564</v>
      </c>
      <c r="I152" s="124" t="s">
        <v>565</v>
      </c>
      <c r="J152" s="31"/>
      <c r="K152" s="31"/>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row>
    <row r="153" spans="1:53" s="32" customFormat="1" ht="15.75" hidden="1" customHeight="1" x14ac:dyDescent="0.25">
      <c r="A153" s="117">
        <v>150</v>
      </c>
      <c r="B153" s="118" t="s">
        <v>434</v>
      </c>
      <c r="C153" s="118" t="s">
        <v>435</v>
      </c>
      <c r="D153" s="120" t="s">
        <v>235</v>
      </c>
      <c r="E153" s="121">
        <v>14.06</v>
      </c>
      <c r="F153" s="118" t="s">
        <v>26</v>
      </c>
      <c r="G153" s="95" t="s">
        <v>566</v>
      </c>
      <c r="H153" s="118" t="s">
        <v>567</v>
      </c>
      <c r="I153" s="118" t="s">
        <v>568</v>
      </c>
      <c r="J153" s="31"/>
      <c r="K153" s="31"/>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row>
    <row r="154" spans="1:53" s="32" customFormat="1" ht="15.75" hidden="1" customHeight="1" x14ac:dyDescent="0.25">
      <c r="A154" s="117">
        <v>151</v>
      </c>
      <c r="B154" s="118" t="s">
        <v>434</v>
      </c>
      <c r="C154" s="118" t="s">
        <v>435</v>
      </c>
      <c r="D154" s="120" t="s">
        <v>235</v>
      </c>
      <c r="E154" s="121">
        <v>19.899999999999999</v>
      </c>
      <c r="F154" s="118" t="s">
        <v>26</v>
      </c>
      <c r="G154" s="95" t="s">
        <v>569</v>
      </c>
      <c r="H154" s="118" t="s">
        <v>567</v>
      </c>
      <c r="I154" s="118" t="s">
        <v>570</v>
      </c>
      <c r="J154" s="31"/>
      <c r="K154" s="31"/>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row>
    <row r="155" spans="1:53" s="32" customFormat="1" ht="15.75" hidden="1" customHeight="1" x14ac:dyDescent="0.25">
      <c r="A155" s="117">
        <v>152</v>
      </c>
      <c r="B155" s="118" t="s">
        <v>434</v>
      </c>
      <c r="C155" s="118" t="s">
        <v>435</v>
      </c>
      <c r="D155" s="120" t="s">
        <v>235</v>
      </c>
      <c r="E155" s="121">
        <v>11.74</v>
      </c>
      <c r="F155" s="118" t="s">
        <v>26</v>
      </c>
      <c r="G155" s="95" t="s">
        <v>571</v>
      </c>
      <c r="H155" s="118" t="s">
        <v>567</v>
      </c>
      <c r="I155" s="118" t="s">
        <v>572</v>
      </c>
      <c r="J155" s="31"/>
      <c r="K155" s="31"/>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row>
    <row r="156" spans="1:53" s="32" customFormat="1" ht="15.75" hidden="1" customHeight="1" x14ac:dyDescent="0.25">
      <c r="A156" s="117">
        <v>153</v>
      </c>
      <c r="B156" s="118" t="s">
        <v>434</v>
      </c>
      <c r="C156" s="118" t="s">
        <v>435</v>
      </c>
      <c r="D156" s="120" t="s">
        <v>275</v>
      </c>
      <c r="E156" s="121">
        <v>24.78</v>
      </c>
      <c r="F156" s="118" t="s">
        <v>26</v>
      </c>
      <c r="G156" s="95" t="s">
        <v>573</v>
      </c>
      <c r="H156" s="118" t="s">
        <v>574</v>
      </c>
      <c r="I156" s="118" t="s">
        <v>575</v>
      </c>
      <c r="J156" s="31"/>
      <c r="K156" s="31"/>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row>
    <row r="157" spans="1:53" s="32" customFormat="1" ht="15.75" hidden="1" customHeight="1" x14ac:dyDescent="0.25">
      <c r="A157" s="117">
        <v>154</v>
      </c>
      <c r="B157" s="118" t="s">
        <v>434</v>
      </c>
      <c r="C157" s="118" t="s">
        <v>435</v>
      </c>
      <c r="D157" s="120" t="s">
        <v>275</v>
      </c>
      <c r="E157" s="121">
        <v>26.94</v>
      </c>
      <c r="F157" s="118" t="s">
        <v>26</v>
      </c>
      <c r="G157" s="95" t="s">
        <v>576</v>
      </c>
      <c r="H157" s="118" t="s">
        <v>577</v>
      </c>
      <c r="I157" s="118" t="s">
        <v>578</v>
      </c>
      <c r="J157" s="31"/>
      <c r="K157" s="31"/>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row>
    <row r="158" spans="1:53" s="32" customFormat="1" ht="15.75" hidden="1" customHeight="1" x14ac:dyDescent="0.25">
      <c r="A158" s="117">
        <v>155</v>
      </c>
      <c r="B158" s="118" t="s">
        <v>434</v>
      </c>
      <c r="C158" s="118" t="s">
        <v>435</v>
      </c>
      <c r="D158" s="120" t="s">
        <v>275</v>
      </c>
      <c r="E158" s="121">
        <v>24.44</v>
      </c>
      <c r="F158" s="118" t="s">
        <v>26</v>
      </c>
      <c r="G158" s="95" t="s">
        <v>579</v>
      </c>
      <c r="H158" s="118" t="s">
        <v>577</v>
      </c>
      <c r="I158" s="118" t="s">
        <v>580</v>
      </c>
      <c r="J158" s="31"/>
      <c r="K158" s="31"/>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row>
    <row r="159" spans="1:53" s="32" customFormat="1" ht="15.75" hidden="1" customHeight="1" x14ac:dyDescent="0.25">
      <c r="A159" s="117">
        <v>156</v>
      </c>
      <c r="B159" s="118" t="s">
        <v>434</v>
      </c>
      <c r="C159" s="118" t="s">
        <v>581</v>
      </c>
      <c r="D159" s="120" t="s">
        <v>275</v>
      </c>
      <c r="E159" s="121">
        <v>7.9</v>
      </c>
      <c r="F159" s="118" t="s">
        <v>26</v>
      </c>
      <c r="G159" s="95" t="s">
        <v>582</v>
      </c>
      <c r="H159" s="118" t="s">
        <v>583</v>
      </c>
      <c r="I159" s="118" t="s">
        <v>584</v>
      </c>
      <c r="J159" s="31"/>
      <c r="K159" s="31"/>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row>
    <row r="160" spans="1:53" s="32" customFormat="1" ht="15.75" hidden="1" customHeight="1" x14ac:dyDescent="0.25">
      <c r="A160" s="117">
        <v>157</v>
      </c>
      <c r="B160" s="118" t="s">
        <v>434</v>
      </c>
      <c r="C160" s="118" t="s">
        <v>435</v>
      </c>
      <c r="D160" s="120" t="s">
        <v>275</v>
      </c>
      <c r="E160" s="121">
        <v>19.989999999999998</v>
      </c>
      <c r="F160" s="118" t="s">
        <v>26</v>
      </c>
      <c r="G160" s="95" t="s">
        <v>585</v>
      </c>
      <c r="H160" s="118" t="s">
        <v>586</v>
      </c>
      <c r="I160" s="118" t="s">
        <v>587</v>
      </c>
      <c r="J160" s="31"/>
      <c r="K160" s="31"/>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row>
    <row r="161" spans="1:53" s="32" customFormat="1" ht="15.75" hidden="1" customHeight="1" x14ac:dyDescent="0.25">
      <c r="A161" s="117">
        <v>158</v>
      </c>
      <c r="B161" s="118" t="s">
        <v>434</v>
      </c>
      <c r="C161" s="118" t="s">
        <v>435</v>
      </c>
      <c r="D161" s="120" t="s">
        <v>275</v>
      </c>
      <c r="E161" s="121">
        <v>14.02</v>
      </c>
      <c r="F161" s="118" t="s">
        <v>26</v>
      </c>
      <c r="G161" s="95" t="s">
        <v>588</v>
      </c>
      <c r="H161" s="118" t="s">
        <v>586</v>
      </c>
      <c r="I161" s="118" t="s">
        <v>589</v>
      </c>
      <c r="J161" s="31"/>
      <c r="K161" s="31"/>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row>
    <row r="162" spans="1:53" s="32" customFormat="1" ht="15.75" hidden="1" customHeight="1" x14ac:dyDescent="0.25">
      <c r="A162" s="117">
        <v>159</v>
      </c>
      <c r="B162" s="118" t="s">
        <v>434</v>
      </c>
      <c r="C162" s="118" t="s">
        <v>435</v>
      </c>
      <c r="D162" s="120" t="s">
        <v>275</v>
      </c>
      <c r="E162" s="121">
        <v>25.93</v>
      </c>
      <c r="F162" s="118" t="s">
        <v>26</v>
      </c>
      <c r="G162" s="95" t="s">
        <v>590</v>
      </c>
      <c r="H162" s="118" t="s">
        <v>586</v>
      </c>
      <c r="I162" s="118" t="s">
        <v>591</v>
      </c>
      <c r="J162" s="31"/>
      <c r="K162" s="31"/>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row>
    <row r="163" spans="1:53" s="32" customFormat="1" ht="15.75" hidden="1" customHeight="1" x14ac:dyDescent="0.25">
      <c r="A163" s="117">
        <v>160</v>
      </c>
      <c r="B163" s="118" t="s">
        <v>434</v>
      </c>
      <c r="C163" s="118" t="s">
        <v>435</v>
      </c>
      <c r="D163" s="120" t="s">
        <v>275</v>
      </c>
      <c r="E163" s="121">
        <v>26.14</v>
      </c>
      <c r="F163" s="118" t="s">
        <v>26</v>
      </c>
      <c r="G163" s="95" t="s">
        <v>592</v>
      </c>
      <c r="H163" s="118" t="s">
        <v>593</v>
      </c>
      <c r="I163" s="118" t="s">
        <v>594</v>
      </c>
      <c r="J163" s="31"/>
      <c r="K163" s="31"/>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row>
    <row r="164" spans="1:53" s="32" customFormat="1" ht="15.75" hidden="1" customHeight="1" x14ac:dyDescent="0.25">
      <c r="A164" s="117">
        <v>161</v>
      </c>
      <c r="B164" s="118" t="s">
        <v>434</v>
      </c>
      <c r="C164" s="118" t="s">
        <v>435</v>
      </c>
      <c r="D164" s="120" t="s">
        <v>275</v>
      </c>
      <c r="E164" s="121">
        <v>25.96</v>
      </c>
      <c r="F164" s="118" t="s">
        <v>26</v>
      </c>
      <c r="G164" s="95" t="s">
        <v>595</v>
      </c>
      <c r="H164" s="118" t="s">
        <v>593</v>
      </c>
      <c r="I164" s="118" t="s">
        <v>596</v>
      </c>
      <c r="J164" s="31"/>
      <c r="K164" s="31"/>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row>
    <row r="165" spans="1:53" s="32" customFormat="1" ht="15.75" hidden="1" customHeight="1" x14ac:dyDescent="0.25">
      <c r="A165" s="117">
        <v>162</v>
      </c>
      <c r="B165" s="118" t="s">
        <v>434</v>
      </c>
      <c r="C165" s="118" t="s">
        <v>435</v>
      </c>
      <c r="D165" s="120" t="s">
        <v>275</v>
      </c>
      <c r="E165" s="121">
        <v>4.7300000000000004</v>
      </c>
      <c r="F165" s="118" t="s">
        <v>26</v>
      </c>
      <c r="G165" s="95" t="s">
        <v>597</v>
      </c>
      <c r="H165" s="118" t="s">
        <v>593</v>
      </c>
      <c r="I165" s="118" t="s">
        <v>598</v>
      </c>
      <c r="J165" s="31"/>
      <c r="K165" s="31"/>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row>
    <row r="166" spans="1:53" s="32" customFormat="1" ht="15.75" hidden="1" customHeight="1" x14ac:dyDescent="0.25">
      <c r="A166" s="117">
        <v>163</v>
      </c>
      <c r="B166" s="118" t="s">
        <v>434</v>
      </c>
      <c r="C166" s="118" t="s">
        <v>435</v>
      </c>
      <c r="D166" s="120" t="s">
        <v>275</v>
      </c>
      <c r="E166" s="121">
        <v>33.54</v>
      </c>
      <c r="F166" s="118" t="s">
        <v>26</v>
      </c>
      <c r="G166" s="95" t="s">
        <v>599</v>
      </c>
      <c r="H166" s="118" t="s">
        <v>593</v>
      </c>
      <c r="I166" s="118" t="s">
        <v>600</v>
      </c>
      <c r="J166" s="31"/>
      <c r="K166" s="31"/>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row>
    <row r="167" spans="1:53" s="32" customFormat="1" ht="15.75" hidden="1" customHeight="1" x14ac:dyDescent="0.25">
      <c r="A167" s="117">
        <v>164</v>
      </c>
      <c r="B167" s="118" t="s">
        <v>434</v>
      </c>
      <c r="C167" s="118" t="s">
        <v>435</v>
      </c>
      <c r="D167" s="120" t="s">
        <v>275</v>
      </c>
      <c r="E167" s="121">
        <v>24.94</v>
      </c>
      <c r="F167" s="118" t="s">
        <v>26</v>
      </c>
      <c r="G167" s="95" t="s">
        <v>601</v>
      </c>
      <c r="H167" s="118" t="s">
        <v>602</v>
      </c>
      <c r="I167" s="118" t="s">
        <v>603</v>
      </c>
      <c r="J167" s="31"/>
      <c r="K167" s="31"/>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row>
    <row r="168" spans="1:53" s="32" customFormat="1" ht="15.75" hidden="1" customHeight="1" x14ac:dyDescent="0.25">
      <c r="A168" s="117">
        <v>165</v>
      </c>
      <c r="B168" s="118" t="s">
        <v>434</v>
      </c>
      <c r="C168" s="118" t="s">
        <v>435</v>
      </c>
      <c r="D168" s="120" t="s">
        <v>275</v>
      </c>
      <c r="E168" s="121">
        <v>48.95</v>
      </c>
      <c r="F168" s="118" t="s">
        <v>26</v>
      </c>
      <c r="G168" s="95" t="s">
        <v>604</v>
      </c>
      <c r="H168" s="118" t="s">
        <v>602</v>
      </c>
      <c r="I168" s="118" t="s">
        <v>605</v>
      </c>
      <c r="J168" s="31"/>
      <c r="K168" s="31"/>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row>
    <row r="169" spans="1:53" s="32" customFormat="1" ht="15.75" hidden="1" customHeight="1" x14ac:dyDescent="0.25">
      <c r="A169" s="117">
        <v>166</v>
      </c>
      <c r="B169" s="118" t="s">
        <v>434</v>
      </c>
      <c r="C169" s="118" t="s">
        <v>435</v>
      </c>
      <c r="D169" s="120" t="s">
        <v>275</v>
      </c>
      <c r="E169" s="121">
        <v>27.95</v>
      </c>
      <c r="F169" s="118" t="s">
        <v>26</v>
      </c>
      <c r="G169" s="95" t="s">
        <v>606</v>
      </c>
      <c r="H169" s="118" t="s">
        <v>607</v>
      </c>
      <c r="I169" s="118" t="s">
        <v>608</v>
      </c>
      <c r="J169" s="31"/>
      <c r="K169" s="31"/>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row>
    <row r="170" spans="1:53" s="32" customFormat="1" ht="15.75" hidden="1" customHeight="1" x14ac:dyDescent="0.25">
      <c r="A170" s="117">
        <v>167</v>
      </c>
      <c r="B170" s="118" t="s">
        <v>434</v>
      </c>
      <c r="C170" s="118" t="s">
        <v>435</v>
      </c>
      <c r="D170" s="120" t="s">
        <v>275</v>
      </c>
      <c r="E170" s="121">
        <v>20.6</v>
      </c>
      <c r="F170" s="118" t="s">
        <v>26</v>
      </c>
      <c r="G170" s="95" t="s">
        <v>609</v>
      </c>
      <c r="H170" s="118" t="s">
        <v>607</v>
      </c>
      <c r="I170" s="118" t="s">
        <v>610</v>
      </c>
      <c r="J170" s="31"/>
      <c r="K170" s="31"/>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row>
    <row r="171" spans="1:53" s="32" customFormat="1" ht="15.75" hidden="1" customHeight="1" x14ac:dyDescent="0.25">
      <c r="A171" s="117">
        <v>168</v>
      </c>
      <c r="B171" s="118" t="s">
        <v>434</v>
      </c>
      <c r="C171" s="118" t="s">
        <v>435</v>
      </c>
      <c r="D171" s="120" t="s">
        <v>275</v>
      </c>
      <c r="E171" s="121">
        <v>18.649999999999999</v>
      </c>
      <c r="F171" s="118" t="s">
        <v>26</v>
      </c>
      <c r="G171" s="95" t="s">
        <v>611</v>
      </c>
      <c r="H171" s="118" t="s">
        <v>607</v>
      </c>
      <c r="I171" s="118" t="s">
        <v>612</v>
      </c>
      <c r="J171" s="31"/>
      <c r="K171" s="31"/>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row>
    <row r="172" spans="1:53" s="32" customFormat="1" ht="15.75" hidden="1" customHeight="1" x14ac:dyDescent="0.25">
      <c r="A172" s="117">
        <v>169</v>
      </c>
      <c r="B172" s="118" t="s">
        <v>434</v>
      </c>
      <c r="C172" s="118" t="s">
        <v>435</v>
      </c>
      <c r="D172" s="120" t="s">
        <v>275</v>
      </c>
      <c r="E172" s="121">
        <v>26.36</v>
      </c>
      <c r="F172" s="118" t="s">
        <v>26</v>
      </c>
      <c r="G172" s="95" t="s">
        <v>613</v>
      </c>
      <c r="H172" s="118" t="s">
        <v>614</v>
      </c>
      <c r="I172" s="118" t="s">
        <v>615</v>
      </c>
      <c r="J172" s="31"/>
      <c r="K172" s="31"/>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row>
    <row r="173" spans="1:53" s="32" customFormat="1" ht="15.75" hidden="1" customHeight="1" x14ac:dyDescent="0.25">
      <c r="A173" s="117">
        <v>170</v>
      </c>
      <c r="B173" s="118" t="s">
        <v>434</v>
      </c>
      <c r="C173" s="118" t="s">
        <v>435</v>
      </c>
      <c r="D173" s="120" t="s">
        <v>275</v>
      </c>
      <c r="E173" s="121">
        <v>33.64</v>
      </c>
      <c r="F173" s="118" t="s">
        <v>26</v>
      </c>
      <c r="G173" s="95" t="s">
        <v>616</v>
      </c>
      <c r="H173" s="118" t="s">
        <v>614</v>
      </c>
      <c r="I173" s="118" t="s">
        <v>617</v>
      </c>
      <c r="J173" s="31"/>
      <c r="K173" s="31"/>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row>
    <row r="174" spans="1:53" s="32" customFormat="1" ht="15.75" hidden="1" customHeight="1" x14ac:dyDescent="0.25">
      <c r="A174" s="117">
        <v>171</v>
      </c>
      <c r="B174" s="118" t="s">
        <v>434</v>
      </c>
      <c r="C174" s="118" t="s">
        <v>581</v>
      </c>
      <c r="D174" s="120" t="s">
        <v>275</v>
      </c>
      <c r="E174" s="121">
        <v>7.65</v>
      </c>
      <c r="F174" s="118" t="s">
        <v>26</v>
      </c>
      <c r="G174" s="95" t="s">
        <v>618</v>
      </c>
      <c r="H174" s="118" t="s">
        <v>619</v>
      </c>
      <c r="I174" s="118" t="s">
        <v>620</v>
      </c>
      <c r="J174" s="31"/>
      <c r="K174" s="31"/>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row>
    <row r="175" spans="1:53" s="32" customFormat="1" ht="15.75" hidden="1" customHeight="1" x14ac:dyDescent="0.25">
      <c r="A175" s="117">
        <v>172</v>
      </c>
      <c r="B175" s="118" t="s">
        <v>434</v>
      </c>
      <c r="C175" s="118" t="s">
        <v>435</v>
      </c>
      <c r="D175" s="120" t="s">
        <v>275</v>
      </c>
      <c r="E175" s="121">
        <v>29.58</v>
      </c>
      <c r="F175" s="118" t="s">
        <v>26</v>
      </c>
      <c r="G175" s="95" t="s">
        <v>621</v>
      </c>
      <c r="H175" s="118" t="s">
        <v>619</v>
      </c>
      <c r="I175" s="118" t="s">
        <v>622</v>
      </c>
      <c r="J175" s="31"/>
      <c r="K175" s="31"/>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row>
    <row r="176" spans="1:53" s="32" customFormat="1" ht="15.75" hidden="1" customHeight="1" x14ac:dyDescent="0.25">
      <c r="A176" s="117">
        <v>173</v>
      </c>
      <c r="B176" s="118" t="s">
        <v>434</v>
      </c>
      <c r="C176" s="118" t="s">
        <v>435</v>
      </c>
      <c r="D176" s="120" t="s">
        <v>337</v>
      </c>
      <c r="E176" s="121">
        <v>32.96</v>
      </c>
      <c r="F176" s="118" t="s">
        <v>26</v>
      </c>
      <c r="G176" s="95" t="s">
        <v>623</v>
      </c>
      <c r="H176" s="118" t="s">
        <v>624</v>
      </c>
      <c r="I176" s="118" t="s">
        <v>625</v>
      </c>
      <c r="J176" s="31"/>
      <c r="K176" s="31"/>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row>
    <row r="177" spans="1:53" s="32" customFormat="1" ht="15.75" hidden="1" customHeight="1" x14ac:dyDescent="0.25">
      <c r="A177" s="117">
        <v>174</v>
      </c>
      <c r="B177" s="118" t="s">
        <v>434</v>
      </c>
      <c r="C177" s="118" t="s">
        <v>435</v>
      </c>
      <c r="D177" s="120" t="s">
        <v>337</v>
      </c>
      <c r="E177" s="121">
        <v>25.95</v>
      </c>
      <c r="F177" s="118" t="s">
        <v>26</v>
      </c>
      <c r="G177" s="95" t="s">
        <v>626</v>
      </c>
      <c r="H177" s="118" t="s">
        <v>624</v>
      </c>
      <c r="I177" s="118" t="s">
        <v>627</v>
      </c>
      <c r="J177" s="31"/>
      <c r="K177" s="31"/>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row>
    <row r="178" spans="1:53" s="32" customFormat="1" ht="15.75" hidden="1" customHeight="1" x14ac:dyDescent="0.25">
      <c r="A178" s="117">
        <v>175</v>
      </c>
      <c r="B178" s="118" t="s">
        <v>434</v>
      </c>
      <c r="C178" s="118" t="s">
        <v>435</v>
      </c>
      <c r="D178" s="120" t="s">
        <v>337</v>
      </c>
      <c r="E178" s="121">
        <v>24.25</v>
      </c>
      <c r="F178" s="118" t="s">
        <v>26</v>
      </c>
      <c r="G178" s="95" t="s">
        <v>628</v>
      </c>
      <c r="H178" s="118" t="s">
        <v>624</v>
      </c>
      <c r="I178" s="118" t="s">
        <v>629</v>
      </c>
      <c r="J178" s="31"/>
      <c r="K178" s="31"/>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row>
    <row r="179" spans="1:53" s="32" customFormat="1" ht="15.75" hidden="1" customHeight="1" x14ac:dyDescent="0.25">
      <c r="A179" s="117">
        <v>176</v>
      </c>
      <c r="B179" s="118" t="s">
        <v>434</v>
      </c>
      <c r="C179" s="118" t="s">
        <v>435</v>
      </c>
      <c r="D179" s="120" t="s">
        <v>337</v>
      </c>
      <c r="E179" s="121">
        <v>22.86</v>
      </c>
      <c r="F179" s="118" t="s">
        <v>26</v>
      </c>
      <c r="G179" s="95" t="s">
        <v>630</v>
      </c>
      <c r="H179" s="118" t="s">
        <v>624</v>
      </c>
      <c r="I179" s="118" t="s">
        <v>631</v>
      </c>
      <c r="J179" s="31"/>
      <c r="K179" s="31"/>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row>
    <row r="180" spans="1:53" s="32" customFormat="1" ht="15.75" hidden="1" customHeight="1" x14ac:dyDescent="0.25">
      <c r="A180" s="117">
        <v>177</v>
      </c>
      <c r="B180" s="118" t="s">
        <v>434</v>
      </c>
      <c r="C180" s="118" t="s">
        <v>435</v>
      </c>
      <c r="D180" s="120" t="s">
        <v>337</v>
      </c>
      <c r="E180" s="121">
        <v>23.61</v>
      </c>
      <c r="F180" s="118" t="s">
        <v>26</v>
      </c>
      <c r="G180" s="95" t="s">
        <v>632</v>
      </c>
      <c r="H180" s="118" t="s">
        <v>633</v>
      </c>
      <c r="I180" s="118" t="s">
        <v>634</v>
      </c>
      <c r="J180" s="31"/>
      <c r="K180" s="31"/>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row>
    <row r="181" spans="1:53" s="32" customFormat="1" ht="15.75" hidden="1" customHeight="1" x14ac:dyDescent="0.25">
      <c r="A181" s="117">
        <v>178</v>
      </c>
      <c r="B181" s="118" t="s">
        <v>434</v>
      </c>
      <c r="C181" s="118" t="s">
        <v>581</v>
      </c>
      <c r="D181" s="120" t="s">
        <v>337</v>
      </c>
      <c r="E181" s="121">
        <v>7.4</v>
      </c>
      <c r="F181" s="118" t="s">
        <v>26</v>
      </c>
      <c r="G181" s="95" t="s">
        <v>635</v>
      </c>
      <c r="H181" s="118" t="s">
        <v>633</v>
      </c>
      <c r="I181" s="118" t="s">
        <v>636</v>
      </c>
      <c r="J181" s="31"/>
      <c r="K181" s="31"/>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row>
    <row r="182" spans="1:53" s="32" customFormat="1" ht="15.75" hidden="1" customHeight="1" x14ac:dyDescent="0.25">
      <c r="A182" s="117">
        <v>179</v>
      </c>
      <c r="B182" s="118" t="s">
        <v>434</v>
      </c>
      <c r="C182" s="118" t="s">
        <v>435</v>
      </c>
      <c r="D182" s="120" t="s">
        <v>337</v>
      </c>
      <c r="E182" s="121">
        <v>34.18</v>
      </c>
      <c r="F182" s="118" t="s">
        <v>26</v>
      </c>
      <c r="G182" s="95" t="s">
        <v>637</v>
      </c>
      <c r="H182" s="118" t="s">
        <v>633</v>
      </c>
      <c r="I182" s="118" t="s">
        <v>638</v>
      </c>
      <c r="J182" s="31"/>
      <c r="K182" s="31"/>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row>
    <row r="183" spans="1:53" s="32" customFormat="1" ht="15.75" hidden="1" customHeight="1" x14ac:dyDescent="0.25">
      <c r="A183" s="117">
        <v>180</v>
      </c>
      <c r="B183" s="118" t="s">
        <v>434</v>
      </c>
      <c r="C183" s="118" t="s">
        <v>435</v>
      </c>
      <c r="D183" s="120" t="s">
        <v>337</v>
      </c>
      <c r="E183" s="121">
        <v>11.99</v>
      </c>
      <c r="F183" s="118" t="s">
        <v>26</v>
      </c>
      <c r="G183" s="95" t="s">
        <v>639</v>
      </c>
      <c r="H183" s="118" t="s">
        <v>640</v>
      </c>
      <c r="I183" s="118" t="s">
        <v>641</v>
      </c>
      <c r="J183" s="31"/>
      <c r="K183" s="31"/>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row>
    <row r="184" spans="1:53" s="32" customFormat="1" ht="15.75" hidden="1" customHeight="1" x14ac:dyDescent="0.25">
      <c r="A184" s="117">
        <v>181</v>
      </c>
      <c r="B184" s="118" t="s">
        <v>434</v>
      </c>
      <c r="C184" s="118" t="s">
        <v>435</v>
      </c>
      <c r="D184" s="120" t="s">
        <v>337</v>
      </c>
      <c r="E184" s="121">
        <v>25.55</v>
      </c>
      <c r="F184" s="118" t="s">
        <v>26</v>
      </c>
      <c r="G184" s="95" t="s">
        <v>642</v>
      </c>
      <c r="H184" s="118" t="s">
        <v>640</v>
      </c>
      <c r="I184" s="118" t="s">
        <v>643</v>
      </c>
      <c r="J184" s="31"/>
      <c r="K184" s="31"/>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row>
    <row r="185" spans="1:53" s="32" customFormat="1" ht="15.75" hidden="1" customHeight="1" x14ac:dyDescent="0.25">
      <c r="A185" s="117">
        <v>182</v>
      </c>
      <c r="B185" s="118" t="s">
        <v>434</v>
      </c>
      <c r="C185" s="118" t="s">
        <v>435</v>
      </c>
      <c r="D185" s="120" t="s">
        <v>337</v>
      </c>
      <c r="E185" s="121">
        <v>26.1</v>
      </c>
      <c r="F185" s="118" t="s">
        <v>26</v>
      </c>
      <c r="G185" s="95" t="s">
        <v>644</v>
      </c>
      <c r="H185" s="118" t="s">
        <v>640</v>
      </c>
      <c r="I185" s="118" t="s">
        <v>645</v>
      </c>
      <c r="J185" s="31"/>
      <c r="K185" s="31"/>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row>
    <row r="186" spans="1:53" s="32" customFormat="1" ht="15.75" hidden="1" customHeight="1" x14ac:dyDescent="0.25">
      <c r="A186" s="117">
        <v>183</v>
      </c>
      <c r="B186" s="118" t="s">
        <v>434</v>
      </c>
      <c r="C186" s="118" t="s">
        <v>435</v>
      </c>
      <c r="D186" s="120" t="s">
        <v>337</v>
      </c>
      <c r="E186" s="121">
        <v>4.7300000000000004</v>
      </c>
      <c r="F186" s="118" t="s">
        <v>26</v>
      </c>
      <c r="G186" s="95" t="s">
        <v>646</v>
      </c>
      <c r="H186" s="118" t="s">
        <v>640</v>
      </c>
      <c r="I186" s="118" t="s">
        <v>647</v>
      </c>
      <c r="J186" s="31"/>
      <c r="K186" s="31"/>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row>
    <row r="187" spans="1:53" s="32" customFormat="1" ht="15.75" hidden="1" customHeight="1" x14ac:dyDescent="0.25">
      <c r="A187" s="117">
        <v>184</v>
      </c>
      <c r="B187" s="118" t="s">
        <v>434</v>
      </c>
      <c r="C187" s="118" t="s">
        <v>435</v>
      </c>
      <c r="D187" s="120" t="s">
        <v>337</v>
      </c>
      <c r="E187" s="121">
        <v>21.17</v>
      </c>
      <c r="F187" s="118" t="s">
        <v>26</v>
      </c>
      <c r="G187" s="95" t="s">
        <v>648</v>
      </c>
      <c r="H187" s="118" t="s">
        <v>649</v>
      </c>
      <c r="I187" s="118" t="s">
        <v>650</v>
      </c>
      <c r="J187" s="31"/>
      <c r="K187" s="31"/>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row>
    <row r="188" spans="1:53" s="32" customFormat="1" ht="15.75" hidden="1" customHeight="1" x14ac:dyDescent="0.25">
      <c r="A188" s="117">
        <v>185</v>
      </c>
      <c r="B188" s="118" t="s">
        <v>434</v>
      </c>
      <c r="C188" s="118" t="s">
        <v>435</v>
      </c>
      <c r="D188" s="120" t="s">
        <v>337</v>
      </c>
      <c r="E188" s="121">
        <v>30.61</v>
      </c>
      <c r="F188" s="118" t="s">
        <v>26</v>
      </c>
      <c r="G188" s="95" t="s">
        <v>651</v>
      </c>
      <c r="H188" s="118" t="s">
        <v>652</v>
      </c>
      <c r="I188" s="118" t="s">
        <v>653</v>
      </c>
      <c r="J188" s="31"/>
      <c r="K188" s="31"/>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row>
    <row r="189" spans="1:53" s="32" customFormat="1" ht="15.75" hidden="1" customHeight="1" x14ac:dyDescent="0.25">
      <c r="A189" s="117">
        <v>186</v>
      </c>
      <c r="B189" s="118" t="s">
        <v>434</v>
      </c>
      <c r="C189" s="118" t="s">
        <v>435</v>
      </c>
      <c r="D189" s="120" t="s">
        <v>337</v>
      </c>
      <c r="E189" s="121">
        <v>16.61</v>
      </c>
      <c r="F189" s="118" t="s">
        <v>26</v>
      </c>
      <c r="G189" s="95" t="s">
        <v>654</v>
      </c>
      <c r="H189" s="118" t="s">
        <v>652</v>
      </c>
      <c r="I189" s="118" t="s">
        <v>655</v>
      </c>
      <c r="J189" s="31"/>
      <c r="K189" s="31"/>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row>
    <row r="190" spans="1:53" s="32" customFormat="1" ht="15.75" hidden="1" customHeight="1" x14ac:dyDescent="0.25">
      <c r="A190" s="117">
        <v>187</v>
      </c>
      <c r="B190" s="118" t="s">
        <v>434</v>
      </c>
      <c r="C190" s="118" t="s">
        <v>435</v>
      </c>
      <c r="D190" s="120" t="s">
        <v>337</v>
      </c>
      <c r="E190" s="121">
        <v>22.06</v>
      </c>
      <c r="F190" s="118" t="s">
        <v>26</v>
      </c>
      <c r="G190" s="95" t="s">
        <v>656</v>
      </c>
      <c r="H190" s="118" t="s">
        <v>652</v>
      </c>
      <c r="I190" s="118" t="s">
        <v>657</v>
      </c>
      <c r="J190" s="31"/>
      <c r="K190" s="31"/>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row>
    <row r="191" spans="1:53" s="32" customFormat="1" ht="15.75" hidden="1" customHeight="1" x14ac:dyDescent="0.25">
      <c r="A191" s="117">
        <v>188</v>
      </c>
      <c r="B191" s="118" t="s">
        <v>434</v>
      </c>
      <c r="C191" s="118" t="s">
        <v>435</v>
      </c>
      <c r="D191" s="120" t="s">
        <v>337</v>
      </c>
      <c r="E191" s="121">
        <v>25.78</v>
      </c>
      <c r="F191" s="118" t="s">
        <v>26</v>
      </c>
      <c r="G191" s="95" t="s">
        <v>658</v>
      </c>
      <c r="H191" s="118" t="s">
        <v>652</v>
      </c>
      <c r="I191" s="118" t="s">
        <v>659</v>
      </c>
      <c r="J191" s="31"/>
      <c r="K191" s="31"/>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row>
    <row r="192" spans="1:53" s="32" customFormat="1" ht="15.75" hidden="1" customHeight="1" x14ac:dyDescent="0.25">
      <c r="A192" s="117">
        <v>189</v>
      </c>
      <c r="B192" s="118" t="s">
        <v>434</v>
      </c>
      <c r="C192" s="118" t="s">
        <v>435</v>
      </c>
      <c r="D192" s="120" t="s">
        <v>337</v>
      </c>
      <c r="E192" s="121">
        <v>27.98</v>
      </c>
      <c r="F192" s="118" t="s">
        <v>26</v>
      </c>
      <c r="G192" s="95" t="s">
        <v>660</v>
      </c>
      <c r="H192" s="118" t="s">
        <v>661</v>
      </c>
      <c r="I192" s="118" t="s">
        <v>662</v>
      </c>
      <c r="J192" s="31"/>
      <c r="K192" s="31"/>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row>
    <row r="193" spans="1:53" s="32" customFormat="1" ht="15.75" hidden="1" customHeight="1" x14ac:dyDescent="0.25">
      <c r="A193" s="117">
        <v>190</v>
      </c>
      <c r="B193" s="118" t="s">
        <v>434</v>
      </c>
      <c r="C193" s="118" t="s">
        <v>435</v>
      </c>
      <c r="D193" s="120" t="s">
        <v>337</v>
      </c>
      <c r="E193" s="121">
        <v>36.64</v>
      </c>
      <c r="F193" s="118" t="s">
        <v>26</v>
      </c>
      <c r="G193" s="95" t="s">
        <v>663</v>
      </c>
      <c r="H193" s="118" t="s">
        <v>661</v>
      </c>
      <c r="I193" s="118" t="s">
        <v>664</v>
      </c>
      <c r="J193" s="31"/>
      <c r="K193" s="31"/>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row>
    <row r="194" spans="1:53" s="32" customFormat="1" ht="15.75" hidden="1" customHeight="1" x14ac:dyDescent="0.25">
      <c r="A194" s="117">
        <v>191</v>
      </c>
      <c r="B194" s="118" t="s">
        <v>434</v>
      </c>
      <c r="C194" s="118" t="s">
        <v>435</v>
      </c>
      <c r="D194" s="120" t="s">
        <v>337</v>
      </c>
      <c r="E194" s="121">
        <v>37.880000000000003</v>
      </c>
      <c r="F194" s="118" t="s">
        <v>26</v>
      </c>
      <c r="G194" s="95" t="s">
        <v>665</v>
      </c>
      <c r="H194" s="118" t="s">
        <v>661</v>
      </c>
      <c r="I194" s="118" t="s">
        <v>666</v>
      </c>
      <c r="J194" s="31"/>
      <c r="K194" s="31"/>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row>
    <row r="195" spans="1:53" s="32" customFormat="1" ht="15.75" hidden="1" customHeight="1" x14ac:dyDescent="0.25">
      <c r="A195" s="117">
        <v>192</v>
      </c>
      <c r="B195" s="118" t="s">
        <v>434</v>
      </c>
      <c r="C195" s="118" t="s">
        <v>435</v>
      </c>
      <c r="D195" s="120" t="s">
        <v>337</v>
      </c>
      <c r="E195" s="121">
        <v>38.24</v>
      </c>
      <c r="F195" s="118" t="s">
        <v>26</v>
      </c>
      <c r="G195" s="95" t="s">
        <v>667</v>
      </c>
      <c r="H195" s="118" t="s">
        <v>668</v>
      </c>
      <c r="I195" s="118" t="s">
        <v>669</v>
      </c>
      <c r="J195" s="31"/>
      <c r="K195" s="31"/>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row>
    <row r="196" spans="1:53" s="32" customFormat="1" ht="15.75" hidden="1" customHeight="1" x14ac:dyDescent="0.25">
      <c r="A196" s="117">
        <v>193</v>
      </c>
      <c r="B196" s="118" t="s">
        <v>434</v>
      </c>
      <c r="C196" s="118" t="s">
        <v>435</v>
      </c>
      <c r="D196" s="120" t="s">
        <v>337</v>
      </c>
      <c r="E196" s="121">
        <v>4.7300000000000004</v>
      </c>
      <c r="F196" s="118" t="s">
        <v>26</v>
      </c>
      <c r="G196" s="95" t="s">
        <v>670</v>
      </c>
      <c r="H196" s="118" t="s">
        <v>668</v>
      </c>
      <c r="I196" s="118" t="s">
        <v>671</v>
      </c>
      <c r="J196" s="31"/>
      <c r="K196" s="31"/>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row>
    <row r="197" spans="1:53" s="32" customFormat="1" ht="15.75" hidden="1" customHeight="1" x14ac:dyDescent="0.25">
      <c r="A197" s="117">
        <v>194</v>
      </c>
      <c r="B197" s="118" t="s">
        <v>434</v>
      </c>
      <c r="C197" s="118" t="s">
        <v>435</v>
      </c>
      <c r="D197" s="120" t="s">
        <v>337</v>
      </c>
      <c r="E197" s="121">
        <v>22.94</v>
      </c>
      <c r="F197" s="118" t="s">
        <v>26</v>
      </c>
      <c r="G197" s="95" t="s">
        <v>672</v>
      </c>
      <c r="H197" s="118" t="s">
        <v>668</v>
      </c>
      <c r="I197" s="118" t="s">
        <v>673</v>
      </c>
      <c r="J197" s="31"/>
      <c r="K197" s="31"/>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row>
    <row r="198" spans="1:53" s="32" customFormat="1" ht="15.75" hidden="1" customHeight="1" x14ac:dyDescent="0.25">
      <c r="A198" s="117">
        <v>195</v>
      </c>
      <c r="B198" s="118" t="s">
        <v>434</v>
      </c>
      <c r="C198" s="118" t="s">
        <v>435</v>
      </c>
      <c r="D198" s="120" t="s">
        <v>337</v>
      </c>
      <c r="E198" s="121">
        <v>12.97</v>
      </c>
      <c r="F198" s="118" t="s">
        <v>26</v>
      </c>
      <c r="G198" s="95" t="s">
        <v>674</v>
      </c>
      <c r="H198" s="118" t="s">
        <v>668</v>
      </c>
      <c r="I198" s="118" t="s">
        <v>675</v>
      </c>
      <c r="J198" s="31"/>
      <c r="K198" s="31"/>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row>
    <row r="199" spans="1:53" s="32" customFormat="1" ht="15.75" hidden="1" customHeight="1" x14ac:dyDescent="0.25">
      <c r="A199" s="117">
        <v>196</v>
      </c>
      <c r="B199" s="118" t="s">
        <v>434</v>
      </c>
      <c r="C199" s="118" t="s">
        <v>435</v>
      </c>
      <c r="D199" s="120" t="s">
        <v>337</v>
      </c>
      <c r="E199" s="121">
        <v>21.98</v>
      </c>
      <c r="F199" s="118" t="s">
        <v>26</v>
      </c>
      <c r="G199" s="95" t="s">
        <v>676</v>
      </c>
      <c r="H199" s="118" t="s">
        <v>677</v>
      </c>
      <c r="I199" s="118" t="s">
        <v>678</v>
      </c>
      <c r="J199" s="31"/>
      <c r="K199" s="31"/>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row>
    <row r="200" spans="1:53" s="32" customFormat="1" ht="15.75" hidden="1" customHeight="1" x14ac:dyDescent="0.25">
      <c r="A200" s="117">
        <v>197</v>
      </c>
      <c r="B200" s="118" t="s">
        <v>434</v>
      </c>
      <c r="C200" s="118" t="s">
        <v>435</v>
      </c>
      <c r="D200" s="120" t="s">
        <v>337</v>
      </c>
      <c r="E200" s="121">
        <v>16.2</v>
      </c>
      <c r="F200" s="118" t="s">
        <v>26</v>
      </c>
      <c r="G200" s="95" t="s">
        <v>679</v>
      </c>
      <c r="H200" s="118" t="s">
        <v>677</v>
      </c>
      <c r="I200" s="118" t="s">
        <v>680</v>
      </c>
      <c r="J200" s="31"/>
      <c r="K200" s="31"/>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row>
    <row r="201" spans="1:53" s="32" customFormat="1" ht="15.75" hidden="1" customHeight="1" x14ac:dyDescent="0.25">
      <c r="A201" s="117">
        <v>198</v>
      </c>
      <c r="B201" s="118" t="s">
        <v>434</v>
      </c>
      <c r="C201" s="118" t="s">
        <v>435</v>
      </c>
      <c r="D201" s="120" t="s">
        <v>337</v>
      </c>
      <c r="E201" s="121">
        <v>14.49</v>
      </c>
      <c r="F201" s="118" t="s">
        <v>26</v>
      </c>
      <c r="G201" s="95" t="s">
        <v>681</v>
      </c>
      <c r="H201" s="118" t="s">
        <v>677</v>
      </c>
      <c r="I201" s="118" t="s">
        <v>682</v>
      </c>
      <c r="J201" s="31"/>
      <c r="K201" s="31"/>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c r="AI201" s="31"/>
      <c r="AJ201" s="31"/>
      <c r="AK201" s="31"/>
      <c r="AL201" s="31"/>
      <c r="AM201" s="31"/>
      <c r="AN201" s="31"/>
      <c r="AO201" s="31"/>
      <c r="AP201" s="31"/>
      <c r="AQ201" s="31"/>
      <c r="AR201" s="31"/>
      <c r="AS201" s="31"/>
      <c r="AT201" s="31"/>
      <c r="AU201" s="31"/>
      <c r="AV201" s="31"/>
      <c r="AW201" s="31"/>
      <c r="AX201" s="31"/>
      <c r="AY201" s="31"/>
      <c r="AZ201" s="31"/>
      <c r="BA201" s="31"/>
    </row>
    <row r="202" spans="1:53" s="32" customFormat="1" ht="15.75" hidden="1" customHeight="1" x14ac:dyDescent="0.25">
      <c r="A202" s="117">
        <v>199</v>
      </c>
      <c r="B202" s="118" t="s">
        <v>434</v>
      </c>
      <c r="C202" s="118" t="s">
        <v>435</v>
      </c>
      <c r="D202" s="120" t="s">
        <v>337</v>
      </c>
      <c r="E202" s="121">
        <v>32.94</v>
      </c>
      <c r="F202" s="118" t="s">
        <v>26</v>
      </c>
      <c r="G202" s="95" t="s">
        <v>683</v>
      </c>
      <c r="H202" s="118" t="s">
        <v>677</v>
      </c>
      <c r="I202" s="118" t="s">
        <v>684</v>
      </c>
      <c r="J202" s="31"/>
      <c r="K202" s="31"/>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c r="AI202" s="31"/>
      <c r="AJ202" s="31"/>
      <c r="AK202" s="31"/>
      <c r="AL202" s="31"/>
      <c r="AM202" s="31"/>
      <c r="AN202" s="31"/>
      <c r="AO202" s="31"/>
      <c r="AP202" s="31"/>
      <c r="AQ202" s="31"/>
      <c r="AR202" s="31"/>
      <c r="AS202" s="31"/>
      <c r="AT202" s="31"/>
      <c r="AU202" s="31"/>
      <c r="AV202" s="31"/>
      <c r="AW202" s="31"/>
      <c r="AX202" s="31"/>
      <c r="AY202" s="31"/>
      <c r="AZ202" s="31"/>
      <c r="BA202" s="31"/>
    </row>
    <row r="203" spans="1:53" s="32" customFormat="1" ht="15.75" hidden="1" customHeight="1" x14ac:dyDescent="0.25">
      <c r="A203" s="117">
        <v>200</v>
      </c>
      <c r="B203" s="118" t="s">
        <v>434</v>
      </c>
      <c r="C203" s="118" t="s">
        <v>435</v>
      </c>
      <c r="D203" s="120" t="s">
        <v>337</v>
      </c>
      <c r="E203" s="121">
        <v>17.940000000000001</v>
      </c>
      <c r="F203" s="118" t="s">
        <v>26</v>
      </c>
      <c r="G203" s="95" t="s">
        <v>685</v>
      </c>
      <c r="H203" s="118" t="s">
        <v>686</v>
      </c>
      <c r="I203" s="118" t="s">
        <v>687</v>
      </c>
      <c r="J203" s="31"/>
      <c r="K203" s="31"/>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c r="AI203" s="31"/>
      <c r="AJ203" s="31"/>
      <c r="AK203" s="31"/>
      <c r="AL203" s="31"/>
      <c r="AM203" s="31"/>
      <c r="AN203" s="31"/>
      <c r="AO203" s="31"/>
      <c r="AP203" s="31"/>
      <c r="AQ203" s="31"/>
      <c r="AR203" s="31"/>
      <c r="AS203" s="31"/>
      <c r="AT203" s="31"/>
      <c r="AU203" s="31"/>
      <c r="AV203" s="31"/>
      <c r="AW203" s="31"/>
      <c r="AX203" s="31"/>
      <c r="AY203" s="31"/>
      <c r="AZ203" s="31"/>
      <c r="BA203" s="31"/>
    </row>
    <row r="204" spans="1:53" s="32" customFormat="1" ht="15.75" hidden="1" customHeight="1" x14ac:dyDescent="0.25">
      <c r="A204" s="117">
        <v>201</v>
      </c>
      <c r="B204" s="118" t="s">
        <v>434</v>
      </c>
      <c r="C204" s="118" t="s">
        <v>435</v>
      </c>
      <c r="D204" s="120" t="s">
        <v>337</v>
      </c>
      <c r="E204" s="121">
        <v>22.99</v>
      </c>
      <c r="F204" s="118" t="s">
        <v>26</v>
      </c>
      <c r="G204" s="95" t="s">
        <v>688</v>
      </c>
      <c r="H204" s="118" t="s">
        <v>686</v>
      </c>
      <c r="I204" s="118" t="s">
        <v>689</v>
      </c>
      <c r="J204" s="31"/>
      <c r="K204" s="31"/>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c r="AI204" s="31"/>
      <c r="AJ204" s="31"/>
      <c r="AK204" s="31"/>
      <c r="AL204" s="31"/>
      <c r="AM204" s="31"/>
      <c r="AN204" s="31"/>
      <c r="AO204" s="31"/>
      <c r="AP204" s="31"/>
      <c r="AQ204" s="31"/>
      <c r="AR204" s="31"/>
      <c r="AS204" s="31"/>
      <c r="AT204" s="31"/>
      <c r="AU204" s="31"/>
      <c r="AV204" s="31"/>
      <c r="AW204" s="31"/>
      <c r="AX204" s="31"/>
      <c r="AY204" s="31"/>
      <c r="AZ204" s="31"/>
      <c r="BA204" s="31"/>
    </row>
    <row r="205" spans="1:53" s="32" customFormat="1" ht="15.75" hidden="1" customHeight="1" x14ac:dyDescent="0.25">
      <c r="A205" s="117">
        <v>202</v>
      </c>
      <c r="B205" s="118" t="s">
        <v>434</v>
      </c>
      <c r="C205" s="118" t="s">
        <v>435</v>
      </c>
      <c r="D205" s="120" t="s">
        <v>337</v>
      </c>
      <c r="E205" s="121">
        <v>22.98</v>
      </c>
      <c r="F205" s="118" t="s">
        <v>26</v>
      </c>
      <c r="G205" s="95" t="s">
        <v>690</v>
      </c>
      <c r="H205" s="118" t="s">
        <v>686</v>
      </c>
      <c r="I205" s="118" t="s">
        <v>691</v>
      </c>
      <c r="J205" s="31"/>
      <c r="K205" s="31"/>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c r="AI205" s="31"/>
      <c r="AJ205" s="31"/>
      <c r="AK205" s="31"/>
      <c r="AL205" s="31"/>
      <c r="AM205" s="31"/>
      <c r="AN205" s="31"/>
      <c r="AO205" s="31"/>
      <c r="AP205" s="31"/>
      <c r="AQ205" s="31"/>
      <c r="AR205" s="31"/>
      <c r="AS205" s="31"/>
      <c r="AT205" s="31"/>
      <c r="AU205" s="31"/>
      <c r="AV205" s="31"/>
      <c r="AW205" s="31"/>
      <c r="AX205" s="31"/>
      <c r="AY205" s="31"/>
      <c r="AZ205" s="31"/>
      <c r="BA205" s="31"/>
    </row>
    <row r="206" spans="1:53" s="32" customFormat="1" ht="15.75" hidden="1" customHeight="1" x14ac:dyDescent="0.25">
      <c r="A206" s="117">
        <v>203</v>
      </c>
      <c r="B206" s="118" t="s">
        <v>434</v>
      </c>
      <c r="C206" s="118" t="s">
        <v>435</v>
      </c>
      <c r="D206" s="120" t="s">
        <v>337</v>
      </c>
      <c r="E206" s="121">
        <v>60.99</v>
      </c>
      <c r="F206" s="118" t="s">
        <v>26</v>
      </c>
      <c r="G206" s="95" t="s">
        <v>692</v>
      </c>
      <c r="H206" s="118" t="s">
        <v>693</v>
      </c>
      <c r="I206" s="118" t="s">
        <v>694</v>
      </c>
      <c r="J206" s="31"/>
      <c r="K206" s="31"/>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c r="AI206" s="31"/>
      <c r="AJ206" s="31"/>
      <c r="AK206" s="31"/>
      <c r="AL206" s="31"/>
      <c r="AM206" s="31"/>
      <c r="AN206" s="31"/>
      <c r="AO206" s="31"/>
      <c r="AP206" s="31"/>
      <c r="AQ206" s="31"/>
      <c r="AR206" s="31"/>
      <c r="AS206" s="31"/>
      <c r="AT206" s="31"/>
      <c r="AU206" s="31"/>
      <c r="AV206" s="31"/>
      <c r="AW206" s="31"/>
      <c r="AX206" s="31"/>
      <c r="AY206" s="31"/>
      <c r="AZ206" s="31"/>
      <c r="BA206" s="31"/>
    </row>
    <row r="207" spans="1:53" s="32" customFormat="1" ht="15.75" hidden="1" customHeight="1" x14ac:dyDescent="0.25">
      <c r="A207" s="117">
        <v>204</v>
      </c>
      <c r="B207" s="118" t="s">
        <v>434</v>
      </c>
      <c r="C207" s="118" t="s">
        <v>581</v>
      </c>
      <c r="D207" s="120" t="s">
        <v>337</v>
      </c>
      <c r="E207" s="121">
        <v>22.9</v>
      </c>
      <c r="F207" s="118" t="s">
        <v>26</v>
      </c>
      <c r="G207" s="95" t="s">
        <v>695</v>
      </c>
      <c r="H207" s="118" t="s">
        <v>693</v>
      </c>
      <c r="I207" s="118" t="s">
        <v>696</v>
      </c>
      <c r="J207" s="31"/>
      <c r="K207" s="31"/>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c r="AI207" s="31"/>
      <c r="AJ207" s="31"/>
      <c r="AK207" s="31"/>
      <c r="AL207" s="31"/>
      <c r="AM207" s="31"/>
      <c r="AN207" s="31"/>
      <c r="AO207" s="31"/>
      <c r="AP207" s="31"/>
      <c r="AQ207" s="31"/>
      <c r="AR207" s="31"/>
      <c r="AS207" s="31"/>
      <c r="AT207" s="31"/>
      <c r="AU207" s="31"/>
      <c r="AV207" s="31"/>
      <c r="AW207" s="31"/>
      <c r="AX207" s="31"/>
      <c r="AY207" s="31"/>
      <c r="AZ207" s="31"/>
      <c r="BA207" s="31"/>
    </row>
    <row r="208" spans="1:53" s="32" customFormat="1" ht="15.75" hidden="1" customHeight="1" x14ac:dyDescent="0.25">
      <c r="A208" s="117">
        <v>205</v>
      </c>
      <c r="B208" s="118" t="s">
        <v>434</v>
      </c>
      <c r="C208" s="118" t="s">
        <v>435</v>
      </c>
      <c r="D208" s="120" t="s">
        <v>337</v>
      </c>
      <c r="E208" s="121">
        <v>11.63</v>
      </c>
      <c r="F208" s="118" t="s">
        <v>26</v>
      </c>
      <c r="G208" s="95" t="s">
        <v>697</v>
      </c>
      <c r="H208" s="118" t="s">
        <v>698</v>
      </c>
      <c r="I208" s="118" t="s">
        <v>699</v>
      </c>
      <c r="J208" s="31"/>
      <c r="K208" s="31"/>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c r="AI208" s="31"/>
      <c r="AJ208" s="31"/>
      <c r="AK208" s="31"/>
      <c r="AL208" s="31"/>
      <c r="AM208" s="31"/>
      <c r="AN208" s="31"/>
      <c r="AO208" s="31"/>
      <c r="AP208" s="31"/>
      <c r="AQ208" s="31"/>
      <c r="AR208" s="31"/>
      <c r="AS208" s="31"/>
      <c r="AT208" s="31"/>
      <c r="AU208" s="31"/>
      <c r="AV208" s="31"/>
      <c r="AW208" s="31"/>
      <c r="AX208" s="31"/>
      <c r="AY208" s="31"/>
      <c r="AZ208" s="31"/>
      <c r="BA208" s="31"/>
    </row>
    <row r="209" spans="1:53" s="32" customFormat="1" ht="15.75" hidden="1" customHeight="1" x14ac:dyDescent="0.25">
      <c r="A209" s="117">
        <v>206</v>
      </c>
      <c r="B209" s="118" t="s">
        <v>434</v>
      </c>
      <c r="C209" s="118" t="s">
        <v>435</v>
      </c>
      <c r="D209" s="120" t="s">
        <v>337</v>
      </c>
      <c r="E209" s="121">
        <v>12.65</v>
      </c>
      <c r="F209" s="118" t="s">
        <v>26</v>
      </c>
      <c r="G209" s="95" t="s">
        <v>700</v>
      </c>
      <c r="H209" s="118" t="s">
        <v>698</v>
      </c>
      <c r="I209" s="118" t="s">
        <v>701</v>
      </c>
      <c r="J209" s="31"/>
      <c r="K209" s="31"/>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c r="AI209" s="31"/>
      <c r="AJ209" s="31"/>
      <c r="AK209" s="31"/>
      <c r="AL209" s="31"/>
      <c r="AM209" s="31"/>
      <c r="AN209" s="31"/>
      <c r="AO209" s="31"/>
      <c r="AP209" s="31"/>
      <c r="AQ209" s="31"/>
      <c r="AR209" s="31"/>
      <c r="AS209" s="31"/>
      <c r="AT209" s="31"/>
      <c r="AU209" s="31"/>
      <c r="AV209" s="31"/>
      <c r="AW209" s="31"/>
      <c r="AX209" s="31"/>
      <c r="AY209" s="31"/>
      <c r="AZ209" s="31"/>
      <c r="BA209" s="31"/>
    </row>
    <row r="210" spans="1:53" s="32" customFormat="1" ht="15.75" hidden="1" customHeight="1" x14ac:dyDescent="0.25">
      <c r="A210" s="117">
        <v>207</v>
      </c>
      <c r="B210" s="118" t="s">
        <v>434</v>
      </c>
      <c r="C210" s="118" t="s">
        <v>581</v>
      </c>
      <c r="D210" s="120" t="s">
        <v>337</v>
      </c>
      <c r="E210" s="121">
        <v>8.1999999999999993</v>
      </c>
      <c r="F210" s="118" t="s">
        <v>26</v>
      </c>
      <c r="G210" s="95" t="s">
        <v>702</v>
      </c>
      <c r="H210" s="118" t="s">
        <v>703</v>
      </c>
      <c r="I210" s="118" t="s">
        <v>704</v>
      </c>
      <c r="J210" s="31"/>
      <c r="K210" s="31"/>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c r="AI210" s="31"/>
      <c r="AJ210" s="31"/>
      <c r="AK210" s="31"/>
      <c r="AL210" s="31"/>
      <c r="AM210" s="31"/>
      <c r="AN210" s="31"/>
      <c r="AO210" s="31"/>
      <c r="AP210" s="31"/>
      <c r="AQ210" s="31"/>
      <c r="AR210" s="31"/>
      <c r="AS210" s="31"/>
      <c r="AT210" s="31"/>
      <c r="AU210" s="31"/>
      <c r="AV210" s="31"/>
      <c r="AW210" s="31"/>
      <c r="AX210" s="31"/>
      <c r="AY210" s="31"/>
      <c r="AZ210" s="31"/>
      <c r="BA210" s="31"/>
    </row>
    <row r="211" spans="1:53" s="32" customFormat="1" ht="15.75" hidden="1" customHeight="1" x14ac:dyDescent="0.25">
      <c r="A211" s="117">
        <v>208</v>
      </c>
      <c r="B211" s="118" t="s">
        <v>434</v>
      </c>
      <c r="C211" s="118" t="s">
        <v>435</v>
      </c>
      <c r="D211" s="120" t="s">
        <v>337</v>
      </c>
      <c r="E211" s="121">
        <v>8.89</v>
      </c>
      <c r="F211" s="118" t="s">
        <v>26</v>
      </c>
      <c r="G211" s="95" t="s">
        <v>705</v>
      </c>
      <c r="H211" s="118" t="s">
        <v>703</v>
      </c>
      <c r="I211" s="118" t="s">
        <v>706</v>
      </c>
      <c r="J211" s="31"/>
      <c r="K211" s="31"/>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c r="AI211" s="31"/>
      <c r="AJ211" s="31"/>
      <c r="AK211" s="31"/>
      <c r="AL211" s="31"/>
      <c r="AM211" s="31"/>
      <c r="AN211" s="31"/>
      <c r="AO211" s="31"/>
      <c r="AP211" s="31"/>
      <c r="AQ211" s="31"/>
      <c r="AR211" s="31"/>
      <c r="AS211" s="31"/>
      <c r="AT211" s="31"/>
      <c r="AU211" s="31"/>
      <c r="AV211" s="31"/>
      <c r="AW211" s="31"/>
      <c r="AX211" s="31"/>
      <c r="AY211" s="31"/>
      <c r="AZ211" s="31"/>
      <c r="BA211" s="31"/>
    </row>
    <row r="212" spans="1:53" s="32" customFormat="1" ht="15.75" hidden="1" customHeight="1" x14ac:dyDescent="0.25">
      <c r="A212" s="117">
        <v>209</v>
      </c>
      <c r="B212" s="118" t="s">
        <v>434</v>
      </c>
      <c r="C212" s="118" t="s">
        <v>435</v>
      </c>
      <c r="D212" s="120" t="s">
        <v>337</v>
      </c>
      <c r="E212" s="121">
        <v>19.98</v>
      </c>
      <c r="F212" s="118" t="s">
        <v>26</v>
      </c>
      <c r="G212" s="95" t="s">
        <v>707</v>
      </c>
      <c r="H212" s="118" t="s">
        <v>703</v>
      </c>
      <c r="I212" s="118" t="s">
        <v>708</v>
      </c>
      <c r="J212" s="31"/>
      <c r="K212" s="31"/>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c r="AI212" s="31"/>
      <c r="AJ212" s="31"/>
      <c r="AK212" s="31"/>
      <c r="AL212" s="31"/>
      <c r="AM212" s="31"/>
      <c r="AN212" s="31"/>
      <c r="AO212" s="31"/>
      <c r="AP212" s="31"/>
      <c r="AQ212" s="31"/>
      <c r="AR212" s="31"/>
      <c r="AS212" s="31"/>
      <c r="AT212" s="31"/>
      <c r="AU212" s="31"/>
      <c r="AV212" s="31"/>
      <c r="AW212" s="31"/>
      <c r="AX212" s="31"/>
      <c r="AY212" s="31"/>
      <c r="AZ212" s="31"/>
      <c r="BA212" s="31"/>
    </row>
    <row r="213" spans="1:53" s="32" customFormat="1" ht="15.75" hidden="1" customHeight="1" x14ac:dyDescent="0.25">
      <c r="A213" s="117">
        <v>210</v>
      </c>
      <c r="B213" s="118" t="s">
        <v>434</v>
      </c>
      <c r="C213" s="118" t="s">
        <v>435</v>
      </c>
      <c r="D213" s="120" t="s">
        <v>337</v>
      </c>
      <c r="E213" s="121">
        <v>7.84</v>
      </c>
      <c r="F213" s="118" t="s">
        <v>26</v>
      </c>
      <c r="G213" s="95" t="s">
        <v>709</v>
      </c>
      <c r="H213" s="118" t="s">
        <v>710</v>
      </c>
      <c r="I213" s="118" t="s">
        <v>711</v>
      </c>
      <c r="J213" s="31"/>
      <c r="K213" s="31"/>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c r="AI213" s="31"/>
      <c r="AJ213" s="31"/>
      <c r="AK213" s="31"/>
      <c r="AL213" s="31"/>
      <c r="AM213" s="31"/>
      <c r="AN213" s="31"/>
      <c r="AO213" s="31"/>
      <c r="AP213" s="31"/>
      <c r="AQ213" s="31"/>
      <c r="AR213" s="31"/>
      <c r="AS213" s="31"/>
      <c r="AT213" s="31"/>
      <c r="AU213" s="31"/>
      <c r="AV213" s="31"/>
      <c r="AW213" s="31"/>
      <c r="AX213" s="31"/>
      <c r="AY213" s="31"/>
      <c r="AZ213" s="31"/>
      <c r="BA213" s="31"/>
    </row>
    <row r="214" spans="1:53" s="32" customFormat="1" ht="15.75" hidden="1" customHeight="1" x14ac:dyDescent="0.25">
      <c r="A214" s="127">
        <v>211</v>
      </c>
      <c r="B214" s="128" t="s">
        <v>712</v>
      </c>
      <c r="C214" s="128" t="s">
        <v>713</v>
      </c>
      <c r="D214" s="129" t="s">
        <v>714</v>
      </c>
      <c r="E214" s="130">
        <v>180</v>
      </c>
      <c r="F214" s="128" t="s">
        <v>26</v>
      </c>
      <c r="G214" s="94" t="s">
        <v>715</v>
      </c>
      <c r="H214" s="128" t="s">
        <v>716</v>
      </c>
      <c r="I214" s="128" t="s">
        <v>717</v>
      </c>
      <c r="J214" s="31"/>
      <c r="K214" s="31"/>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c r="AI214" s="31"/>
      <c r="AJ214" s="31"/>
      <c r="AK214" s="31"/>
      <c r="AL214" s="31"/>
      <c r="AM214" s="31"/>
      <c r="AN214" s="31"/>
      <c r="AO214" s="31"/>
      <c r="AP214" s="31"/>
      <c r="AQ214" s="31"/>
      <c r="AR214" s="31"/>
      <c r="AS214" s="31"/>
      <c r="AT214" s="31"/>
      <c r="AU214" s="31"/>
      <c r="AV214" s="31"/>
      <c r="AW214" s="31"/>
      <c r="AX214" s="31"/>
      <c r="AY214" s="31"/>
      <c r="AZ214" s="31"/>
      <c r="BA214" s="31"/>
    </row>
    <row r="215" spans="1:53" s="32" customFormat="1" ht="15.75" hidden="1" customHeight="1" x14ac:dyDescent="0.25">
      <c r="A215" s="127">
        <v>212</v>
      </c>
      <c r="B215" s="128" t="s">
        <v>712</v>
      </c>
      <c r="C215" s="128" t="s">
        <v>718</v>
      </c>
      <c r="D215" s="129" t="s">
        <v>386</v>
      </c>
      <c r="E215" s="130">
        <v>155</v>
      </c>
      <c r="F215" s="128" t="s">
        <v>26</v>
      </c>
      <c r="G215" s="94" t="s">
        <v>719</v>
      </c>
      <c r="H215" s="128" t="s">
        <v>720</v>
      </c>
      <c r="I215" s="128" t="s">
        <v>721</v>
      </c>
      <c r="J215" s="31"/>
      <c r="K215" s="31"/>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c r="AI215" s="31"/>
      <c r="AJ215" s="31"/>
      <c r="AK215" s="31"/>
      <c r="AL215" s="31"/>
      <c r="AM215" s="31"/>
      <c r="AN215" s="31"/>
      <c r="AO215" s="31"/>
      <c r="AP215" s="31"/>
      <c r="AQ215" s="31"/>
      <c r="AR215" s="31"/>
      <c r="AS215" s="31"/>
      <c r="AT215" s="31"/>
      <c r="AU215" s="31"/>
      <c r="AV215" s="31"/>
      <c r="AW215" s="31"/>
      <c r="AX215" s="31"/>
      <c r="AY215" s="31"/>
      <c r="AZ215" s="31"/>
      <c r="BA215" s="31"/>
    </row>
    <row r="216" spans="1:53" s="32" customFormat="1" ht="15.75" hidden="1" customHeight="1" x14ac:dyDescent="0.25">
      <c r="A216" s="127">
        <v>213</v>
      </c>
      <c r="B216" s="128" t="s">
        <v>712</v>
      </c>
      <c r="C216" s="128" t="s">
        <v>722</v>
      </c>
      <c r="D216" s="129" t="s">
        <v>124</v>
      </c>
      <c r="E216" s="130">
        <v>33.4</v>
      </c>
      <c r="F216" s="128" t="s">
        <v>26</v>
      </c>
      <c r="G216" s="94" t="s">
        <v>723</v>
      </c>
      <c r="H216" s="128" t="s">
        <v>724</v>
      </c>
      <c r="I216" s="128" t="s">
        <v>725</v>
      </c>
      <c r="J216" s="31"/>
      <c r="K216" s="31"/>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c r="AI216" s="31"/>
      <c r="AJ216" s="31"/>
      <c r="AK216" s="31"/>
      <c r="AL216" s="31"/>
      <c r="AM216" s="31"/>
      <c r="AN216" s="31"/>
      <c r="AO216" s="31"/>
      <c r="AP216" s="31"/>
      <c r="AQ216" s="31"/>
      <c r="AR216" s="31"/>
      <c r="AS216" s="31"/>
      <c r="AT216" s="31"/>
      <c r="AU216" s="31"/>
      <c r="AV216" s="31"/>
      <c r="AW216" s="31"/>
      <c r="AX216" s="31"/>
      <c r="AY216" s="31"/>
      <c r="AZ216" s="31"/>
      <c r="BA216" s="31"/>
    </row>
    <row r="217" spans="1:53" s="32" customFormat="1" ht="15.75" hidden="1" customHeight="1" x14ac:dyDescent="0.25">
      <c r="A217" s="127">
        <v>214</v>
      </c>
      <c r="B217" s="128" t="s">
        <v>712</v>
      </c>
      <c r="C217" s="128" t="s">
        <v>726</v>
      </c>
      <c r="D217" s="129" t="s">
        <v>124</v>
      </c>
      <c r="E217" s="130">
        <v>40.67</v>
      </c>
      <c r="F217" s="128" t="s">
        <v>26</v>
      </c>
      <c r="G217" s="94" t="s">
        <v>727</v>
      </c>
      <c r="H217" s="128" t="s">
        <v>149</v>
      </c>
      <c r="I217" s="128" t="s">
        <v>728</v>
      </c>
      <c r="J217" s="31"/>
      <c r="K217" s="31"/>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c r="AI217" s="31"/>
      <c r="AJ217" s="31"/>
      <c r="AK217" s="31"/>
      <c r="AL217" s="31"/>
      <c r="AM217" s="31"/>
      <c r="AN217" s="31"/>
      <c r="AO217" s="31"/>
      <c r="AP217" s="31"/>
      <c r="AQ217" s="31"/>
      <c r="AR217" s="31"/>
      <c r="AS217" s="31"/>
      <c r="AT217" s="31"/>
      <c r="AU217" s="31"/>
      <c r="AV217" s="31"/>
      <c r="AW217" s="31"/>
      <c r="AX217" s="31"/>
      <c r="AY217" s="31"/>
      <c r="AZ217" s="31"/>
      <c r="BA217" s="31"/>
    </row>
    <row r="218" spans="1:53" s="32" customFormat="1" ht="15.75" hidden="1" customHeight="1" x14ac:dyDescent="0.25">
      <c r="A218" s="127">
        <v>215</v>
      </c>
      <c r="B218" s="128" t="s">
        <v>712</v>
      </c>
      <c r="C218" s="128" t="s">
        <v>729</v>
      </c>
      <c r="D218" s="129" t="s">
        <v>124</v>
      </c>
      <c r="E218" s="130">
        <v>32.85</v>
      </c>
      <c r="F218" s="128" t="s">
        <v>26</v>
      </c>
      <c r="G218" s="94" t="s">
        <v>730</v>
      </c>
      <c r="H218" s="128" t="s">
        <v>731</v>
      </c>
      <c r="I218" s="128" t="s">
        <v>732</v>
      </c>
      <c r="J218" s="31"/>
      <c r="K218" s="31"/>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c r="AI218" s="31"/>
      <c r="AJ218" s="31"/>
      <c r="AK218" s="31"/>
      <c r="AL218" s="31"/>
      <c r="AM218" s="31"/>
      <c r="AN218" s="31"/>
      <c r="AO218" s="31"/>
      <c r="AP218" s="31"/>
      <c r="AQ218" s="31"/>
      <c r="AR218" s="31"/>
      <c r="AS218" s="31"/>
      <c r="AT218" s="31"/>
      <c r="AU218" s="31"/>
      <c r="AV218" s="31"/>
      <c r="AW218" s="31"/>
      <c r="AX218" s="31"/>
      <c r="AY218" s="31"/>
      <c r="AZ218" s="31"/>
      <c r="BA218" s="31"/>
    </row>
    <row r="219" spans="1:53" s="32" customFormat="1" ht="15.75" hidden="1" customHeight="1" x14ac:dyDescent="0.25">
      <c r="A219" s="127">
        <v>216</v>
      </c>
      <c r="B219" s="128" t="s">
        <v>712</v>
      </c>
      <c r="C219" s="128" t="s">
        <v>733</v>
      </c>
      <c r="D219" s="129" t="s">
        <v>124</v>
      </c>
      <c r="E219" s="130">
        <v>31.08</v>
      </c>
      <c r="F219" s="128" t="s">
        <v>26</v>
      </c>
      <c r="G219" s="94" t="s">
        <v>734</v>
      </c>
      <c r="H219" s="128" t="s">
        <v>157</v>
      </c>
      <c r="I219" s="128" t="s">
        <v>735</v>
      </c>
      <c r="J219" s="31"/>
      <c r="K219" s="31"/>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c r="AI219" s="31"/>
      <c r="AJ219" s="31"/>
      <c r="AK219" s="31"/>
      <c r="AL219" s="31"/>
      <c r="AM219" s="31"/>
      <c r="AN219" s="31"/>
      <c r="AO219" s="31"/>
      <c r="AP219" s="31"/>
      <c r="AQ219" s="31"/>
      <c r="AR219" s="31"/>
      <c r="AS219" s="31"/>
      <c r="AT219" s="31"/>
      <c r="AU219" s="31"/>
      <c r="AV219" s="31"/>
      <c r="AW219" s="31"/>
      <c r="AX219" s="31"/>
      <c r="AY219" s="31"/>
      <c r="AZ219" s="31"/>
      <c r="BA219" s="31"/>
    </row>
    <row r="220" spans="1:53" s="32" customFormat="1" ht="15.75" hidden="1" customHeight="1" x14ac:dyDescent="0.25">
      <c r="A220" s="127">
        <v>217</v>
      </c>
      <c r="B220" s="128" t="s">
        <v>712</v>
      </c>
      <c r="C220" s="128" t="s">
        <v>736</v>
      </c>
      <c r="D220" s="129" t="s">
        <v>124</v>
      </c>
      <c r="E220" s="130">
        <v>50.58</v>
      </c>
      <c r="F220" s="128" t="s">
        <v>26</v>
      </c>
      <c r="G220" s="94" t="s">
        <v>737</v>
      </c>
      <c r="H220" s="128" t="s">
        <v>738</v>
      </c>
      <c r="I220" s="128" t="s">
        <v>739</v>
      </c>
      <c r="J220" s="31"/>
      <c r="K220" s="31"/>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c r="AI220" s="31"/>
      <c r="AJ220" s="31"/>
      <c r="AK220" s="31"/>
      <c r="AL220" s="31"/>
      <c r="AM220" s="31"/>
      <c r="AN220" s="31"/>
      <c r="AO220" s="31"/>
      <c r="AP220" s="31"/>
      <c r="AQ220" s="31"/>
      <c r="AR220" s="31"/>
      <c r="AS220" s="31"/>
      <c r="AT220" s="31"/>
      <c r="AU220" s="31"/>
      <c r="AV220" s="31"/>
      <c r="AW220" s="31"/>
      <c r="AX220" s="31"/>
      <c r="AY220" s="31"/>
      <c r="AZ220" s="31"/>
      <c r="BA220" s="31"/>
    </row>
    <row r="221" spans="1:53" s="32" customFormat="1" ht="15.75" hidden="1" customHeight="1" x14ac:dyDescent="0.25">
      <c r="A221" s="127">
        <v>218</v>
      </c>
      <c r="B221" s="128" t="s">
        <v>712</v>
      </c>
      <c r="C221" s="128" t="s">
        <v>718</v>
      </c>
      <c r="D221" s="129" t="s">
        <v>124</v>
      </c>
      <c r="E221" s="130">
        <v>375</v>
      </c>
      <c r="F221" s="128" t="s">
        <v>26</v>
      </c>
      <c r="G221" s="94" t="s">
        <v>740</v>
      </c>
      <c r="H221" s="128" t="s">
        <v>741</v>
      </c>
      <c r="I221" s="128" t="s">
        <v>742</v>
      </c>
      <c r="J221" s="31"/>
      <c r="K221" s="31"/>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c r="AI221" s="31"/>
      <c r="AJ221" s="31"/>
      <c r="AK221" s="31"/>
      <c r="AL221" s="31"/>
      <c r="AM221" s="31"/>
      <c r="AN221" s="31"/>
      <c r="AO221" s="31"/>
      <c r="AP221" s="31"/>
      <c r="AQ221" s="31"/>
      <c r="AR221" s="31"/>
      <c r="AS221" s="31"/>
      <c r="AT221" s="31"/>
      <c r="AU221" s="31"/>
      <c r="AV221" s="31"/>
      <c r="AW221" s="31"/>
      <c r="AX221" s="31"/>
      <c r="AY221" s="31"/>
      <c r="AZ221" s="31"/>
      <c r="BA221" s="31"/>
    </row>
    <row r="222" spans="1:53" s="32" customFormat="1" ht="15.75" hidden="1" customHeight="1" x14ac:dyDescent="0.25">
      <c r="A222" s="127">
        <v>219</v>
      </c>
      <c r="B222" s="128" t="s">
        <v>712</v>
      </c>
      <c r="C222" s="128" t="s">
        <v>743</v>
      </c>
      <c r="D222" s="129" t="s">
        <v>199</v>
      </c>
      <c r="E222" s="130">
        <v>33.4</v>
      </c>
      <c r="F222" s="128" t="s">
        <v>26</v>
      </c>
      <c r="G222" s="94" t="s">
        <v>744</v>
      </c>
      <c r="H222" s="128" t="s">
        <v>745</v>
      </c>
      <c r="I222" s="128" t="s">
        <v>746</v>
      </c>
    </row>
    <row r="223" spans="1:53" s="32" customFormat="1" ht="15.75" hidden="1" customHeight="1" x14ac:dyDescent="0.25">
      <c r="A223" s="127">
        <v>220</v>
      </c>
      <c r="B223" s="128" t="s">
        <v>712</v>
      </c>
      <c r="C223" s="128" t="s">
        <v>718</v>
      </c>
      <c r="D223" s="129" t="s">
        <v>199</v>
      </c>
      <c r="E223" s="130">
        <v>155</v>
      </c>
      <c r="F223" s="128" t="s">
        <v>26</v>
      </c>
      <c r="G223" s="94" t="s">
        <v>747</v>
      </c>
      <c r="H223" s="128" t="s">
        <v>748</v>
      </c>
      <c r="I223" s="128" t="s">
        <v>749</v>
      </c>
    </row>
    <row r="224" spans="1:53" s="32" customFormat="1" ht="15.75" hidden="1" customHeight="1" x14ac:dyDescent="0.25">
      <c r="A224" s="127">
        <v>221</v>
      </c>
      <c r="B224" s="128" t="s">
        <v>712</v>
      </c>
      <c r="C224" s="128" t="s">
        <v>736</v>
      </c>
      <c r="D224" s="129" t="s">
        <v>199</v>
      </c>
      <c r="E224" s="130">
        <v>59.77</v>
      </c>
      <c r="F224" s="128" t="s">
        <v>26</v>
      </c>
      <c r="G224" s="94" t="s">
        <v>750</v>
      </c>
      <c r="H224" s="128" t="s">
        <v>751</v>
      </c>
      <c r="I224" s="128" t="s">
        <v>752</v>
      </c>
    </row>
    <row r="225" spans="1:9" s="32" customFormat="1" ht="15.75" hidden="1" customHeight="1" x14ac:dyDescent="0.25">
      <c r="A225" s="127">
        <v>222</v>
      </c>
      <c r="B225" s="128" t="s">
        <v>712</v>
      </c>
      <c r="C225" s="128" t="s">
        <v>726</v>
      </c>
      <c r="D225" s="129" t="s">
        <v>199</v>
      </c>
      <c r="E225" s="130">
        <v>75.25</v>
      </c>
      <c r="F225" s="128" t="s">
        <v>26</v>
      </c>
      <c r="G225" s="94" t="s">
        <v>753</v>
      </c>
      <c r="H225" s="128" t="s">
        <v>216</v>
      </c>
      <c r="I225" s="128" t="s">
        <v>754</v>
      </c>
    </row>
    <row r="226" spans="1:9" s="32" customFormat="1" ht="15.75" hidden="1" customHeight="1" x14ac:dyDescent="0.25">
      <c r="A226" s="127">
        <v>223</v>
      </c>
      <c r="B226" s="128" t="s">
        <v>712</v>
      </c>
      <c r="C226" s="128" t="s">
        <v>755</v>
      </c>
      <c r="D226" s="129" t="s">
        <v>199</v>
      </c>
      <c r="E226" s="130">
        <v>220</v>
      </c>
      <c r="F226" s="128" t="s">
        <v>26</v>
      </c>
      <c r="G226" s="94" t="s">
        <v>756</v>
      </c>
      <c r="H226" s="128" t="s">
        <v>757</v>
      </c>
      <c r="I226" s="128" t="s">
        <v>758</v>
      </c>
    </row>
    <row r="227" spans="1:9" s="32" customFormat="1" ht="15.75" hidden="1" customHeight="1" x14ac:dyDescent="0.25">
      <c r="A227" s="127">
        <v>224</v>
      </c>
      <c r="B227" s="128" t="s">
        <v>712</v>
      </c>
      <c r="C227" s="128" t="s">
        <v>736</v>
      </c>
      <c r="D227" s="129" t="s">
        <v>199</v>
      </c>
      <c r="E227" s="130">
        <v>26.58</v>
      </c>
      <c r="F227" s="128" t="s">
        <v>26</v>
      </c>
      <c r="G227" s="94" t="s">
        <v>759</v>
      </c>
      <c r="H227" s="128" t="s">
        <v>760</v>
      </c>
      <c r="I227" s="128" t="s">
        <v>761</v>
      </c>
    </row>
    <row r="228" spans="1:9" s="32" customFormat="1" ht="15.75" hidden="1" customHeight="1" x14ac:dyDescent="0.25">
      <c r="A228" s="127">
        <v>225</v>
      </c>
      <c r="B228" s="128" t="s">
        <v>712</v>
      </c>
      <c r="C228" s="128"/>
      <c r="D228" s="129" t="s">
        <v>199</v>
      </c>
      <c r="E228" s="130">
        <v>11.99</v>
      </c>
      <c r="F228" s="128" t="s">
        <v>26</v>
      </c>
      <c r="G228" s="94" t="s">
        <v>762</v>
      </c>
      <c r="H228" s="128" t="s">
        <v>763</v>
      </c>
      <c r="I228" s="128" t="s">
        <v>764</v>
      </c>
    </row>
    <row r="229" spans="1:9" s="32" customFormat="1" ht="15.75" hidden="1" customHeight="1" x14ac:dyDescent="0.25">
      <c r="A229" s="127">
        <v>226</v>
      </c>
      <c r="B229" s="128" t="s">
        <v>712</v>
      </c>
      <c r="C229" s="128" t="s">
        <v>765</v>
      </c>
      <c r="D229" s="129" t="s">
        <v>235</v>
      </c>
      <c r="E229" s="130">
        <v>33.4</v>
      </c>
      <c r="F229" s="128" t="s">
        <v>26</v>
      </c>
      <c r="G229" s="94" t="s">
        <v>766</v>
      </c>
      <c r="H229" s="128" t="s">
        <v>767</v>
      </c>
      <c r="I229" s="128" t="s">
        <v>768</v>
      </c>
    </row>
    <row r="230" spans="1:9" s="32" customFormat="1" ht="15.75" hidden="1" customHeight="1" x14ac:dyDescent="0.25">
      <c r="A230" s="127">
        <v>227</v>
      </c>
      <c r="B230" s="128" t="s">
        <v>712</v>
      </c>
      <c r="C230" s="128" t="s">
        <v>736</v>
      </c>
      <c r="D230" s="129" t="s">
        <v>235</v>
      </c>
      <c r="E230" s="130">
        <v>25.43</v>
      </c>
      <c r="F230" s="128" t="s">
        <v>26</v>
      </c>
      <c r="G230" s="94" t="s">
        <v>769</v>
      </c>
      <c r="H230" s="128" t="s">
        <v>770</v>
      </c>
      <c r="I230" s="128" t="s">
        <v>771</v>
      </c>
    </row>
    <row r="231" spans="1:9" s="32" customFormat="1" ht="15.75" hidden="1" customHeight="1" x14ac:dyDescent="0.25">
      <c r="A231" s="127">
        <v>228</v>
      </c>
      <c r="B231" s="128" t="s">
        <v>712</v>
      </c>
      <c r="C231" s="128" t="s">
        <v>726</v>
      </c>
      <c r="D231" s="129" t="s">
        <v>235</v>
      </c>
      <c r="E231" s="130">
        <v>7.99</v>
      </c>
      <c r="F231" s="128" t="s">
        <v>26</v>
      </c>
      <c r="G231" s="94" t="s">
        <v>772</v>
      </c>
      <c r="H231" s="128" t="s">
        <v>773</v>
      </c>
      <c r="I231" s="128" t="s">
        <v>774</v>
      </c>
    </row>
    <row r="232" spans="1:9" s="32" customFormat="1" ht="15.75" hidden="1" customHeight="1" x14ac:dyDescent="0.25">
      <c r="A232" s="127">
        <v>229</v>
      </c>
      <c r="B232" s="128" t="s">
        <v>712</v>
      </c>
      <c r="C232" s="128" t="s">
        <v>733</v>
      </c>
      <c r="D232" s="129" t="s">
        <v>235</v>
      </c>
      <c r="E232" s="130">
        <v>7.99</v>
      </c>
      <c r="F232" s="128" t="s">
        <v>26</v>
      </c>
      <c r="G232" s="94" t="s">
        <v>775</v>
      </c>
      <c r="H232" s="128" t="s">
        <v>253</v>
      </c>
      <c r="I232" s="128" t="s">
        <v>776</v>
      </c>
    </row>
    <row r="233" spans="1:9" s="32" customFormat="1" ht="15.75" hidden="1" customHeight="1" x14ac:dyDescent="0.25">
      <c r="A233" s="127">
        <v>230</v>
      </c>
      <c r="B233" s="128" t="s">
        <v>712</v>
      </c>
      <c r="C233" s="128" t="s">
        <v>726</v>
      </c>
      <c r="D233" s="129" t="s">
        <v>235</v>
      </c>
      <c r="E233" s="130">
        <v>12.57</v>
      </c>
      <c r="F233" s="128" t="s">
        <v>26</v>
      </c>
      <c r="G233" s="94" t="s">
        <v>777</v>
      </c>
      <c r="H233" s="128" t="s">
        <v>778</v>
      </c>
      <c r="I233" s="128" t="s">
        <v>779</v>
      </c>
    </row>
    <row r="234" spans="1:9" s="32" customFormat="1" ht="15.75" hidden="1" customHeight="1" x14ac:dyDescent="0.25">
      <c r="A234" s="127">
        <v>231</v>
      </c>
      <c r="B234" s="128" t="s">
        <v>712</v>
      </c>
      <c r="C234" s="128" t="s">
        <v>780</v>
      </c>
      <c r="D234" s="129" t="s">
        <v>275</v>
      </c>
      <c r="E234" s="130">
        <v>8.9</v>
      </c>
      <c r="F234" s="128" t="s">
        <v>26</v>
      </c>
      <c r="G234" s="94" t="s">
        <v>781</v>
      </c>
      <c r="H234" s="128" t="s">
        <v>280</v>
      </c>
      <c r="I234" s="128" t="s">
        <v>782</v>
      </c>
    </row>
    <row r="235" spans="1:9" s="32" customFormat="1" ht="15.75" hidden="1" customHeight="1" x14ac:dyDescent="0.25">
      <c r="A235" s="127">
        <v>232</v>
      </c>
      <c r="B235" s="128" t="s">
        <v>712</v>
      </c>
      <c r="C235" s="128" t="s">
        <v>783</v>
      </c>
      <c r="D235" s="129" t="s">
        <v>275</v>
      </c>
      <c r="E235" s="130">
        <v>33.4</v>
      </c>
      <c r="F235" s="128" t="s">
        <v>26</v>
      </c>
      <c r="G235" s="94" t="s">
        <v>784</v>
      </c>
      <c r="H235" s="128" t="s">
        <v>785</v>
      </c>
      <c r="I235" s="128" t="s">
        <v>786</v>
      </c>
    </row>
    <row r="236" spans="1:9" s="32" customFormat="1" ht="15.75" hidden="1" customHeight="1" x14ac:dyDescent="0.25">
      <c r="A236" s="127">
        <v>233</v>
      </c>
      <c r="B236" s="128" t="s">
        <v>712</v>
      </c>
      <c r="C236" s="128" t="s">
        <v>736</v>
      </c>
      <c r="D236" s="129" t="s">
        <v>275</v>
      </c>
      <c r="E236" s="130">
        <v>50.59</v>
      </c>
      <c r="F236" s="128" t="s">
        <v>26</v>
      </c>
      <c r="G236" s="94" t="s">
        <v>787</v>
      </c>
      <c r="H236" s="128" t="s">
        <v>788</v>
      </c>
      <c r="I236" s="128" t="s">
        <v>789</v>
      </c>
    </row>
    <row r="237" spans="1:9" s="32" customFormat="1" ht="15.75" hidden="1" customHeight="1" x14ac:dyDescent="0.25">
      <c r="A237" s="127">
        <v>234</v>
      </c>
      <c r="B237" s="128" t="s">
        <v>712</v>
      </c>
      <c r="C237" s="128" t="s">
        <v>790</v>
      </c>
      <c r="D237" s="129" t="s">
        <v>275</v>
      </c>
      <c r="E237" s="130">
        <v>52.2</v>
      </c>
      <c r="F237" s="128" t="s">
        <v>26</v>
      </c>
      <c r="G237" s="94" t="s">
        <v>791</v>
      </c>
      <c r="H237" s="128" t="s">
        <v>792</v>
      </c>
      <c r="I237" s="128" t="s">
        <v>793</v>
      </c>
    </row>
    <row r="238" spans="1:9" s="32" customFormat="1" ht="15.75" hidden="1" customHeight="1" x14ac:dyDescent="0.25">
      <c r="A238" s="127">
        <v>235</v>
      </c>
      <c r="B238" s="128" t="s">
        <v>712</v>
      </c>
      <c r="C238" s="128" t="s">
        <v>794</v>
      </c>
      <c r="D238" s="129" t="s">
        <v>275</v>
      </c>
      <c r="E238" s="130">
        <v>210</v>
      </c>
      <c r="F238" s="128" t="s">
        <v>26</v>
      </c>
      <c r="G238" s="94" t="s">
        <v>795</v>
      </c>
      <c r="H238" s="128" t="s">
        <v>792</v>
      </c>
      <c r="I238" s="128" t="s">
        <v>796</v>
      </c>
    </row>
    <row r="239" spans="1:9" s="32" customFormat="1" ht="15.75" hidden="1" customHeight="1" x14ac:dyDescent="0.25">
      <c r="A239" s="127">
        <v>236</v>
      </c>
      <c r="B239" s="128" t="s">
        <v>712</v>
      </c>
      <c r="C239" s="128" t="s">
        <v>726</v>
      </c>
      <c r="D239" s="129" t="s">
        <v>275</v>
      </c>
      <c r="E239" s="130">
        <v>27.82</v>
      </c>
      <c r="F239" s="128" t="s">
        <v>26</v>
      </c>
      <c r="G239" s="94" t="s">
        <v>797</v>
      </c>
      <c r="H239" s="128" t="s">
        <v>315</v>
      </c>
      <c r="I239" s="128" t="s">
        <v>798</v>
      </c>
    </row>
    <row r="240" spans="1:9" s="32" customFormat="1" ht="15.75" hidden="1" customHeight="1" x14ac:dyDescent="0.25">
      <c r="A240" s="127">
        <v>237</v>
      </c>
      <c r="B240" s="128" t="s">
        <v>712</v>
      </c>
      <c r="C240" s="128" t="s">
        <v>733</v>
      </c>
      <c r="D240" s="129" t="s">
        <v>275</v>
      </c>
      <c r="E240" s="130">
        <v>27.98</v>
      </c>
      <c r="F240" s="128" t="s">
        <v>26</v>
      </c>
      <c r="G240" s="94" t="s">
        <v>799</v>
      </c>
      <c r="H240" s="128" t="s">
        <v>325</v>
      </c>
      <c r="I240" s="128" t="s">
        <v>800</v>
      </c>
    </row>
    <row r="241" spans="1:9" s="32" customFormat="1" ht="15.75" hidden="1" customHeight="1" x14ac:dyDescent="0.25">
      <c r="A241" s="127">
        <v>238</v>
      </c>
      <c r="B241" s="128" t="s">
        <v>712</v>
      </c>
      <c r="C241" s="128" t="s">
        <v>801</v>
      </c>
      <c r="D241" s="129" t="s">
        <v>337</v>
      </c>
      <c r="E241" s="130">
        <v>33.4</v>
      </c>
      <c r="F241" s="128" t="s">
        <v>26</v>
      </c>
      <c r="G241" s="94" t="s">
        <v>802</v>
      </c>
      <c r="H241" s="128" t="s">
        <v>339</v>
      </c>
      <c r="I241" s="128" t="s">
        <v>803</v>
      </c>
    </row>
    <row r="242" spans="1:9" s="32" customFormat="1" ht="15.75" hidden="1" customHeight="1" x14ac:dyDescent="0.25">
      <c r="A242" s="127">
        <v>239</v>
      </c>
      <c r="B242" s="128" t="s">
        <v>712</v>
      </c>
      <c r="C242" s="128" t="s">
        <v>736</v>
      </c>
      <c r="D242" s="129" t="s">
        <v>337</v>
      </c>
      <c r="E242" s="130">
        <v>38.53</v>
      </c>
      <c r="F242" s="128" t="s">
        <v>26</v>
      </c>
      <c r="G242" s="94" t="s">
        <v>804</v>
      </c>
      <c r="H242" s="128" t="s">
        <v>805</v>
      </c>
      <c r="I242" s="128" t="s">
        <v>806</v>
      </c>
    </row>
    <row r="243" spans="1:9" s="32" customFormat="1" ht="15.75" hidden="1" customHeight="1" x14ac:dyDescent="0.25">
      <c r="A243" s="127">
        <v>240</v>
      </c>
      <c r="B243" s="128" t="s">
        <v>712</v>
      </c>
      <c r="C243" s="128" t="s">
        <v>726</v>
      </c>
      <c r="D243" s="129" t="s">
        <v>337</v>
      </c>
      <c r="E243" s="130">
        <v>46.45</v>
      </c>
      <c r="F243" s="128" t="s">
        <v>26</v>
      </c>
      <c r="G243" s="94" t="s">
        <v>807</v>
      </c>
      <c r="H243" s="128" t="s">
        <v>359</v>
      </c>
      <c r="I243" s="128" t="s">
        <v>808</v>
      </c>
    </row>
    <row r="244" spans="1:9" s="32" customFormat="1" ht="15.75" hidden="1" customHeight="1" x14ac:dyDescent="0.25">
      <c r="A244" s="127">
        <v>241</v>
      </c>
      <c r="B244" s="128" t="s">
        <v>712</v>
      </c>
      <c r="C244" s="128" t="s">
        <v>726</v>
      </c>
      <c r="D244" s="129" t="s">
        <v>337</v>
      </c>
      <c r="E244" s="130">
        <v>7</v>
      </c>
      <c r="F244" s="128" t="s">
        <v>26</v>
      </c>
      <c r="G244" s="94" t="s">
        <v>809</v>
      </c>
      <c r="H244" s="128" t="s">
        <v>810</v>
      </c>
      <c r="I244" s="128" t="s">
        <v>811</v>
      </c>
    </row>
    <row r="245" spans="1:9" s="32" customFormat="1" ht="15.75" hidden="1" customHeight="1" x14ac:dyDescent="0.25">
      <c r="A245" s="127">
        <v>242</v>
      </c>
      <c r="B245" s="128" t="s">
        <v>712</v>
      </c>
      <c r="C245" s="128" t="s">
        <v>726</v>
      </c>
      <c r="D245" s="129" t="s">
        <v>337</v>
      </c>
      <c r="E245" s="130">
        <v>19.89</v>
      </c>
      <c r="F245" s="128" t="s">
        <v>26</v>
      </c>
      <c r="G245" s="94" t="s">
        <v>812</v>
      </c>
      <c r="H245" s="128" t="s">
        <v>810</v>
      </c>
      <c r="I245" s="128" t="s">
        <v>813</v>
      </c>
    </row>
    <row r="246" spans="1:9" s="32" customFormat="1" ht="15.75" hidden="1" customHeight="1" x14ac:dyDescent="0.25">
      <c r="A246" s="127">
        <v>243</v>
      </c>
      <c r="B246" s="128" t="s">
        <v>712</v>
      </c>
      <c r="C246" s="128" t="s">
        <v>736</v>
      </c>
      <c r="D246" s="129" t="s">
        <v>337</v>
      </c>
      <c r="E246" s="130">
        <v>98.22</v>
      </c>
      <c r="F246" s="128" t="s">
        <v>26</v>
      </c>
      <c r="G246" s="94" t="s">
        <v>814</v>
      </c>
      <c r="H246" s="128" t="s">
        <v>815</v>
      </c>
      <c r="I246" s="128" t="s">
        <v>816</v>
      </c>
    </row>
    <row r="247" spans="1:9" s="32" customFormat="1" ht="15.75" hidden="1" customHeight="1" x14ac:dyDescent="0.25">
      <c r="A247" s="127">
        <v>244</v>
      </c>
      <c r="B247" s="128" t="s">
        <v>712</v>
      </c>
      <c r="C247" s="128" t="s">
        <v>817</v>
      </c>
      <c r="D247" s="129" t="s">
        <v>337</v>
      </c>
      <c r="E247" s="130">
        <v>150</v>
      </c>
      <c r="F247" s="128" t="s">
        <v>26</v>
      </c>
      <c r="G247" s="94" t="s">
        <v>818</v>
      </c>
      <c r="H247" s="128" t="s">
        <v>819</v>
      </c>
      <c r="I247" s="128" t="s">
        <v>820</v>
      </c>
    </row>
    <row r="248" spans="1:9" s="32" customFormat="1" ht="15.75" hidden="1" customHeight="1" x14ac:dyDescent="0.25">
      <c r="A248" s="127">
        <v>245</v>
      </c>
      <c r="B248" s="128" t="s">
        <v>712</v>
      </c>
      <c r="C248" s="128" t="s">
        <v>736</v>
      </c>
      <c r="D248" s="129" t="s">
        <v>337</v>
      </c>
      <c r="E248" s="130">
        <v>167.28</v>
      </c>
      <c r="F248" s="128" t="s">
        <v>26</v>
      </c>
      <c r="G248" s="94" t="s">
        <v>821</v>
      </c>
      <c r="H248" s="128" t="s">
        <v>822</v>
      </c>
      <c r="I248" s="128" t="s">
        <v>823</v>
      </c>
    </row>
    <row r="249" spans="1:9" s="32" customFormat="1" ht="15.75" hidden="1" customHeight="1" x14ac:dyDescent="0.25">
      <c r="A249" s="127">
        <v>246</v>
      </c>
      <c r="B249" s="128" t="s">
        <v>712</v>
      </c>
      <c r="C249" s="128" t="s">
        <v>231</v>
      </c>
      <c r="D249" s="129" t="s">
        <v>337</v>
      </c>
      <c r="E249" s="130">
        <v>36.119999999999997</v>
      </c>
      <c r="F249" s="128" t="s">
        <v>26</v>
      </c>
      <c r="G249" s="94" t="s">
        <v>824</v>
      </c>
      <c r="H249" s="128" t="s">
        <v>822</v>
      </c>
      <c r="I249" s="128" t="s">
        <v>825</v>
      </c>
    </row>
    <row r="250" spans="1:9" s="32" customFormat="1" ht="15.75" hidden="1" customHeight="1" x14ac:dyDescent="0.25">
      <c r="A250" s="127">
        <v>247</v>
      </c>
      <c r="B250" s="128" t="s">
        <v>712</v>
      </c>
      <c r="C250" s="128" t="s">
        <v>826</v>
      </c>
      <c r="D250" s="129" t="s">
        <v>827</v>
      </c>
      <c r="E250" s="130">
        <v>200</v>
      </c>
      <c r="F250" s="128" t="s">
        <v>26</v>
      </c>
      <c r="G250" s="94" t="s">
        <v>828</v>
      </c>
      <c r="H250" s="128" t="s">
        <v>829</v>
      </c>
      <c r="I250" s="128" t="s">
        <v>830</v>
      </c>
    </row>
    <row r="251" spans="1:9" s="32" customFormat="1" ht="15.75" hidden="1" customHeight="1" x14ac:dyDescent="0.25">
      <c r="A251" s="131">
        <v>248</v>
      </c>
      <c r="B251" s="132" t="s">
        <v>831</v>
      </c>
      <c r="C251" s="132" t="s">
        <v>832</v>
      </c>
      <c r="D251" s="133" t="s">
        <v>386</v>
      </c>
      <c r="E251" s="134">
        <v>99</v>
      </c>
      <c r="F251" s="132" t="s">
        <v>26</v>
      </c>
      <c r="G251" s="92" t="s">
        <v>833</v>
      </c>
      <c r="H251" s="132" t="s">
        <v>834</v>
      </c>
      <c r="I251" s="132" t="s">
        <v>835</v>
      </c>
    </row>
    <row r="252" spans="1:9" s="32" customFormat="1" ht="15.75" hidden="1" customHeight="1" x14ac:dyDescent="0.25">
      <c r="A252" s="131">
        <v>249</v>
      </c>
      <c r="B252" s="132" t="s">
        <v>831</v>
      </c>
      <c r="C252" s="132" t="s">
        <v>836</v>
      </c>
      <c r="D252" s="133" t="s">
        <v>386</v>
      </c>
      <c r="E252" s="134">
        <v>660</v>
      </c>
      <c r="F252" s="132" t="s">
        <v>26</v>
      </c>
      <c r="G252" s="92" t="s">
        <v>837</v>
      </c>
      <c r="H252" s="132" t="s">
        <v>838</v>
      </c>
      <c r="I252" s="132" t="s">
        <v>839</v>
      </c>
    </row>
    <row r="253" spans="1:9" s="32" customFormat="1" ht="15.75" hidden="1" customHeight="1" x14ac:dyDescent="0.25">
      <c r="A253" s="131">
        <v>250</v>
      </c>
      <c r="B253" s="132" t="s">
        <v>831</v>
      </c>
      <c r="C253" s="132" t="s">
        <v>840</v>
      </c>
      <c r="D253" s="133" t="s">
        <v>386</v>
      </c>
      <c r="E253" s="134">
        <v>132.51</v>
      </c>
      <c r="F253" s="132" t="s">
        <v>26</v>
      </c>
      <c r="G253" s="92" t="s">
        <v>841</v>
      </c>
      <c r="H253" s="132" t="s">
        <v>842</v>
      </c>
      <c r="I253" s="132" t="s">
        <v>843</v>
      </c>
    </row>
    <row r="254" spans="1:9" s="32" customFormat="1" ht="15.75" hidden="1" customHeight="1" x14ac:dyDescent="0.25">
      <c r="A254" s="131">
        <v>251</v>
      </c>
      <c r="B254" s="132" t="s">
        <v>831</v>
      </c>
      <c r="C254" s="132" t="s">
        <v>844</v>
      </c>
      <c r="D254" s="133" t="s">
        <v>124</v>
      </c>
      <c r="E254" s="134">
        <v>327.98</v>
      </c>
      <c r="F254" s="132" t="s">
        <v>26</v>
      </c>
      <c r="G254" s="92" t="s">
        <v>845</v>
      </c>
      <c r="H254" s="132" t="s">
        <v>846</v>
      </c>
      <c r="I254" s="132" t="s">
        <v>847</v>
      </c>
    </row>
    <row r="255" spans="1:9" s="32" customFormat="1" ht="15.75" hidden="1" customHeight="1" x14ac:dyDescent="0.25">
      <c r="A255" s="131">
        <v>252</v>
      </c>
      <c r="B255" s="132" t="s">
        <v>831</v>
      </c>
      <c r="C255" s="132" t="s">
        <v>832</v>
      </c>
      <c r="D255" s="133" t="s">
        <v>124</v>
      </c>
      <c r="E255" s="134">
        <v>99</v>
      </c>
      <c r="F255" s="132" t="s">
        <v>26</v>
      </c>
      <c r="G255" s="92" t="s">
        <v>848</v>
      </c>
      <c r="H255" s="132" t="s">
        <v>849</v>
      </c>
      <c r="I255" s="132" t="s">
        <v>850</v>
      </c>
    </row>
    <row r="256" spans="1:9" s="32" customFormat="1" ht="15.75" hidden="1" customHeight="1" x14ac:dyDescent="0.25">
      <c r="A256" s="131">
        <v>253</v>
      </c>
      <c r="B256" s="132" t="s">
        <v>831</v>
      </c>
      <c r="C256" s="132" t="s">
        <v>836</v>
      </c>
      <c r="D256" s="133" t="s">
        <v>124</v>
      </c>
      <c r="E256" s="134">
        <v>660</v>
      </c>
      <c r="F256" s="132" t="s">
        <v>26</v>
      </c>
      <c r="G256" s="92" t="s">
        <v>851</v>
      </c>
      <c r="H256" s="132" t="s">
        <v>852</v>
      </c>
      <c r="I256" s="132" t="s">
        <v>853</v>
      </c>
    </row>
    <row r="257" spans="1:9" s="32" customFormat="1" ht="15.75" hidden="1" customHeight="1" x14ac:dyDescent="0.25">
      <c r="A257" s="131">
        <v>254</v>
      </c>
      <c r="B257" s="132" t="s">
        <v>831</v>
      </c>
      <c r="C257" s="132" t="s">
        <v>840</v>
      </c>
      <c r="D257" s="133" t="s">
        <v>124</v>
      </c>
      <c r="E257" s="134">
        <v>121.7</v>
      </c>
      <c r="F257" s="132" t="s">
        <v>26</v>
      </c>
      <c r="G257" s="92" t="s">
        <v>854</v>
      </c>
      <c r="H257" s="132" t="s">
        <v>855</v>
      </c>
      <c r="I257" s="132" t="s">
        <v>856</v>
      </c>
    </row>
    <row r="258" spans="1:9" s="32" customFormat="1" ht="15.75" hidden="1" customHeight="1" x14ac:dyDescent="0.25">
      <c r="A258" s="131">
        <v>255</v>
      </c>
      <c r="B258" s="132" t="s">
        <v>831</v>
      </c>
      <c r="C258" s="132" t="s">
        <v>857</v>
      </c>
      <c r="D258" s="133" t="s">
        <v>124</v>
      </c>
      <c r="E258" s="134">
        <v>107</v>
      </c>
      <c r="F258" s="132" t="s">
        <v>26</v>
      </c>
      <c r="G258" s="92" t="s">
        <v>858</v>
      </c>
      <c r="H258" s="132" t="s">
        <v>859</v>
      </c>
      <c r="I258" s="132" t="s">
        <v>860</v>
      </c>
    </row>
    <row r="259" spans="1:9" s="32" customFormat="1" ht="15.75" hidden="1" customHeight="1" x14ac:dyDescent="0.25">
      <c r="A259" s="131">
        <v>256</v>
      </c>
      <c r="B259" s="132" t="s">
        <v>831</v>
      </c>
      <c r="C259" s="132" t="s">
        <v>832</v>
      </c>
      <c r="D259" s="133" t="s">
        <v>199</v>
      </c>
      <c r="E259" s="134">
        <v>99</v>
      </c>
      <c r="F259" s="132" t="s">
        <v>26</v>
      </c>
      <c r="G259" s="92" t="s">
        <v>861</v>
      </c>
      <c r="H259" s="132" t="s">
        <v>862</v>
      </c>
      <c r="I259" s="132" t="s">
        <v>863</v>
      </c>
    </row>
    <row r="260" spans="1:9" s="32" customFormat="1" ht="15.75" hidden="1" customHeight="1" x14ac:dyDescent="0.25">
      <c r="A260" s="131">
        <v>257</v>
      </c>
      <c r="B260" s="132" t="s">
        <v>831</v>
      </c>
      <c r="C260" s="132" t="s">
        <v>844</v>
      </c>
      <c r="D260" s="133" t="s">
        <v>199</v>
      </c>
      <c r="E260" s="134">
        <v>283.67</v>
      </c>
      <c r="F260" s="132" t="s">
        <v>26</v>
      </c>
      <c r="G260" s="92" t="s">
        <v>864</v>
      </c>
      <c r="H260" s="132" t="s">
        <v>865</v>
      </c>
      <c r="I260" s="132" t="s">
        <v>866</v>
      </c>
    </row>
    <row r="261" spans="1:9" s="32" customFormat="1" ht="15.75" hidden="1" customHeight="1" x14ac:dyDescent="0.25">
      <c r="A261" s="131">
        <v>258</v>
      </c>
      <c r="B261" s="132" t="s">
        <v>831</v>
      </c>
      <c r="C261" s="132" t="s">
        <v>836</v>
      </c>
      <c r="D261" s="133" t="s">
        <v>199</v>
      </c>
      <c r="E261" s="134">
        <v>596.04</v>
      </c>
      <c r="F261" s="132" t="s">
        <v>26</v>
      </c>
      <c r="G261" s="92" t="s">
        <v>867</v>
      </c>
      <c r="H261" s="132" t="s">
        <v>868</v>
      </c>
      <c r="I261" s="132" t="s">
        <v>869</v>
      </c>
    </row>
    <row r="262" spans="1:9" s="32" customFormat="1" ht="15.75" hidden="1" customHeight="1" x14ac:dyDescent="0.25">
      <c r="A262" s="131">
        <v>259</v>
      </c>
      <c r="B262" s="132" t="s">
        <v>831</v>
      </c>
      <c r="C262" s="132" t="s">
        <v>832</v>
      </c>
      <c r="D262" s="133" t="s">
        <v>235</v>
      </c>
      <c r="E262" s="134">
        <v>99</v>
      </c>
      <c r="F262" s="132" t="s">
        <v>26</v>
      </c>
      <c r="G262" s="92" t="s">
        <v>870</v>
      </c>
      <c r="H262" s="132" t="s">
        <v>871</v>
      </c>
      <c r="I262" s="132" t="s">
        <v>872</v>
      </c>
    </row>
    <row r="263" spans="1:9" s="32" customFormat="1" ht="15.75" hidden="1" customHeight="1" x14ac:dyDescent="0.25">
      <c r="A263" s="131">
        <v>260</v>
      </c>
      <c r="B263" s="132" t="s">
        <v>831</v>
      </c>
      <c r="C263" s="132" t="s">
        <v>836</v>
      </c>
      <c r="D263" s="133" t="s">
        <v>235</v>
      </c>
      <c r="E263" s="134">
        <v>596.04</v>
      </c>
      <c r="F263" s="132" t="s">
        <v>26</v>
      </c>
      <c r="G263" s="92" t="s">
        <v>873</v>
      </c>
      <c r="H263" s="132" t="s">
        <v>874</v>
      </c>
      <c r="I263" s="132" t="s">
        <v>875</v>
      </c>
    </row>
    <row r="264" spans="1:9" s="32" customFormat="1" ht="15.75" hidden="1" customHeight="1" x14ac:dyDescent="0.25">
      <c r="A264" s="131">
        <v>261</v>
      </c>
      <c r="B264" s="132" t="s">
        <v>831</v>
      </c>
      <c r="C264" s="132" t="s">
        <v>832</v>
      </c>
      <c r="D264" s="133" t="s">
        <v>275</v>
      </c>
      <c r="E264" s="134">
        <v>99</v>
      </c>
      <c r="F264" s="132" t="s">
        <v>26</v>
      </c>
      <c r="G264" s="92" t="s">
        <v>876</v>
      </c>
      <c r="H264" s="132" t="s">
        <v>877</v>
      </c>
      <c r="I264" s="132" t="s">
        <v>878</v>
      </c>
    </row>
    <row r="265" spans="1:9" s="32" customFormat="1" ht="15.75" hidden="1" customHeight="1" x14ac:dyDescent="0.25">
      <c r="A265" s="131">
        <v>262</v>
      </c>
      <c r="B265" s="132" t="s">
        <v>831</v>
      </c>
      <c r="C265" s="132" t="s">
        <v>844</v>
      </c>
      <c r="D265" s="133" t="s">
        <v>275</v>
      </c>
      <c r="E265" s="134">
        <v>257.20999999999998</v>
      </c>
      <c r="F265" s="132" t="s">
        <v>26</v>
      </c>
      <c r="G265" s="92" t="s">
        <v>879</v>
      </c>
      <c r="H265" s="132" t="s">
        <v>880</v>
      </c>
      <c r="I265" s="132" t="s">
        <v>881</v>
      </c>
    </row>
    <row r="266" spans="1:9" s="32" customFormat="1" ht="15.75" hidden="1" customHeight="1" x14ac:dyDescent="0.25">
      <c r="A266" s="131">
        <v>263</v>
      </c>
      <c r="B266" s="132" t="s">
        <v>831</v>
      </c>
      <c r="C266" s="132" t="s">
        <v>836</v>
      </c>
      <c r="D266" s="133" t="s">
        <v>275</v>
      </c>
      <c r="E266" s="134">
        <v>596.04</v>
      </c>
      <c r="F266" s="132" t="s">
        <v>26</v>
      </c>
      <c r="G266" s="92" t="s">
        <v>882</v>
      </c>
      <c r="H266" s="132" t="s">
        <v>883</v>
      </c>
      <c r="I266" s="132" t="s">
        <v>884</v>
      </c>
    </row>
    <row r="267" spans="1:9" s="32" customFormat="1" ht="15.75" hidden="1" customHeight="1" x14ac:dyDescent="0.25">
      <c r="A267" s="131">
        <v>264</v>
      </c>
      <c r="B267" s="132" t="s">
        <v>831</v>
      </c>
      <c r="C267" s="132" t="s">
        <v>885</v>
      </c>
      <c r="D267" s="133" t="s">
        <v>275</v>
      </c>
      <c r="E267" s="134">
        <v>109.99</v>
      </c>
      <c r="F267" s="132" t="s">
        <v>26</v>
      </c>
      <c r="G267" s="92" t="s">
        <v>886</v>
      </c>
      <c r="H267" s="132" t="s">
        <v>887</v>
      </c>
      <c r="I267" s="132" t="s">
        <v>888</v>
      </c>
    </row>
    <row r="268" spans="1:9" s="32" customFormat="1" ht="15.75" hidden="1" customHeight="1" x14ac:dyDescent="0.25">
      <c r="A268" s="131">
        <v>265</v>
      </c>
      <c r="B268" s="132" t="s">
        <v>831</v>
      </c>
      <c r="C268" s="132" t="s">
        <v>889</v>
      </c>
      <c r="D268" s="133" t="s">
        <v>275</v>
      </c>
      <c r="E268" s="134">
        <v>109.99</v>
      </c>
      <c r="F268" s="132" t="s">
        <v>26</v>
      </c>
      <c r="G268" s="92" t="s">
        <v>890</v>
      </c>
      <c r="H268" s="132" t="s">
        <v>891</v>
      </c>
      <c r="I268" s="132" t="s">
        <v>892</v>
      </c>
    </row>
    <row r="269" spans="1:9" s="32" customFormat="1" ht="15.75" hidden="1" customHeight="1" x14ac:dyDescent="0.25">
      <c r="A269" s="131">
        <v>266</v>
      </c>
      <c r="B269" s="132" t="s">
        <v>831</v>
      </c>
      <c r="C269" s="132" t="s">
        <v>840</v>
      </c>
      <c r="D269" s="133" t="s">
        <v>275</v>
      </c>
      <c r="E269" s="134">
        <v>150.81</v>
      </c>
      <c r="F269" s="132" t="s">
        <v>26</v>
      </c>
      <c r="G269" s="92" t="s">
        <v>893</v>
      </c>
      <c r="H269" s="132" t="s">
        <v>894</v>
      </c>
      <c r="I269" s="132" t="s">
        <v>895</v>
      </c>
    </row>
    <row r="270" spans="1:9" s="32" customFormat="1" ht="15.75" hidden="1" customHeight="1" x14ac:dyDescent="0.25">
      <c r="A270" s="131">
        <v>267</v>
      </c>
      <c r="B270" s="132" t="s">
        <v>831</v>
      </c>
      <c r="C270" s="132" t="s">
        <v>832</v>
      </c>
      <c r="D270" s="133" t="s">
        <v>337</v>
      </c>
      <c r="E270" s="134">
        <v>99</v>
      </c>
      <c r="F270" s="132" t="s">
        <v>26</v>
      </c>
      <c r="G270" s="92" t="s">
        <v>896</v>
      </c>
      <c r="H270" s="132" t="s">
        <v>897</v>
      </c>
      <c r="I270" s="132" t="s">
        <v>898</v>
      </c>
    </row>
    <row r="271" spans="1:9" s="32" customFormat="1" ht="15.75" hidden="1" customHeight="1" x14ac:dyDescent="0.25">
      <c r="A271" s="131">
        <v>268</v>
      </c>
      <c r="B271" s="132" t="s">
        <v>831</v>
      </c>
      <c r="C271" s="132" t="s">
        <v>836</v>
      </c>
      <c r="D271" s="133" t="s">
        <v>337</v>
      </c>
      <c r="E271" s="134">
        <v>596.04</v>
      </c>
      <c r="F271" s="132" t="s">
        <v>26</v>
      </c>
      <c r="G271" s="92" t="s">
        <v>899</v>
      </c>
      <c r="H271" s="132" t="s">
        <v>900</v>
      </c>
      <c r="I271" s="132" t="s">
        <v>901</v>
      </c>
    </row>
    <row r="272" spans="1:9" s="32" customFormat="1" ht="15.75" hidden="1" customHeight="1" x14ac:dyDescent="0.25">
      <c r="A272" s="131">
        <v>269</v>
      </c>
      <c r="B272" s="132" t="s">
        <v>831</v>
      </c>
      <c r="C272" s="132" t="s">
        <v>902</v>
      </c>
      <c r="D272" s="133" t="s">
        <v>337</v>
      </c>
      <c r="E272" s="134">
        <v>242.75</v>
      </c>
      <c r="F272" s="132" t="s">
        <v>26</v>
      </c>
      <c r="G272" s="92" t="s">
        <v>903</v>
      </c>
      <c r="H272" s="132" t="s">
        <v>374</v>
      </c>
      <c r="I272" s="132" t="s">
        <v>904</v>
      </c>
    </row>
    <row r="273" spans="1:9" s="32" customFormat="1" ht="15.75" hidden="1" customHeight="1" x14ac:dyDescent="0.25">
      <c r="A273" s="131">
        <v>270</v>
      </c>
      <c r="B273" s="132" t="s">
        <v>831</v>
      </c>
      <c r="C273" s="132" t="s">
        <v>905</v>
      </c>
      <c r="D273" s="133" t="s">
        <v>337</v>
      </c>
      <c r="E273" s="134">
        <v>760.15</v>
      </c>
      <c r="F273" s="132" t="s">
        <v>26</v>
      </c>
      <c r="G273" s="92" t="s">
        <v>906</v>
      </c>
      <c r="H273" s="132" t="s">
        <v>907</v>
      </c>
      <c r="I273" s="132" t="s">
        <v>908</v>
      </c>
    </row>
    <row r="274" spans="1:9" s="32" customFormat="1" ht="15.75" hidden="1" customHeight="1" x14ac:dyDescent="0.25">
      <c r="A274" s="131">
        <v>271</v>
      </c>
      <c r="B274" s="132" t="s">
        <v>831</v>
      </c>
      <c r="C274" s="132" t="s">
        <v>840</v>
      </c>
      <c r="D274" s="133" t="s">
        <v>337</v>
      </c>
      <c r="E274" s="134">
        <v>144.11000000000001</v>
      </c>
      <c r="F274" s="132" t="s">
        <v>26</v>
      </c>
      <c r="G274" s="92" t="s">
        <v>909</v>
      </c>
      <c r="H274" s="132" t="s">
        <v>910</v>
      </c>
      <c r="I274" s="132" t="s">
        <v>911</v>
      </c>
    </row>
    <row r="275" spans="1:9" s="32" customFormat="1" ht="15.75" hidden="1" customHeight="1" x14ac:dyDescent="0.25">
      <c r="A275" s="135">
        <v>272</v>
      </c>
      <c r="B275" s="136" t="s">
        <v>912</v>
      </c>
      <c r="C275" s="136" t="s">
        <v>913</v>
      </c>
      <c r="D275" s="137" t="s">
        <v>386</v>
      </c>
      <c r="E275" s="138">
        <v>35.9</v>
      </c>
      <c r="F275" s="136" t="s">
        <v>26</v>
      </c>
      <c r="G275" s="98" t="s">
        <v>914</v>
      </c>
      <c r="H275" s="136" t="s">
        <v>915</v>
      </c>
      <c r="I275" s="136" t="s">
        <v>916</v>
      </c>
    </row>
    <row r="276" spans="1:9" s="32" customFormat="1" ht="15.75" hidden="1" customHeight="1" x14ac:dyDescent="0.25">
      <c r="A276" s="135">
        <v>273</v>
      </c>
      <c r="B276" s="136" t="s">
        <v>912</v>
      </c>
      <c r="C276" s="136" t="s">
        <v>917</v>
      </c>
      <c r="D276" s="137" t="s">
        <v>124</v>
      </c>
      <c r="E276" s="138">
        <v>7.95</v>
      </c>
      <c r="F276" s="136" t="s">
        <v>26</v>
      </c>
      <c r="G276" s="98" t="s">
        <v>918</v>
      </c>
      <c r="H276" s="136" t="s">
        <v>919</v>
      </c>
      <c r="I276" s="136" t="s">
        <v>920</v>
      </c>
    </row>
    <row r="277" spans="1:9" s="32" customFormat="1" ht="15.75" hidden="1" customHeight="1" x14ac:dyDescent="0.25">
      <c r="A277" s="135">
        <v>274</v>
      </c>
      <c r="B277" s="136" t="s">
        <v>912</v>
      </c>
      <c r="C277" s="136" t="s">
        <v>921</v>
      </c>
      <c r="D277" s="137" t="s">
        <v>124</v>
      </c>
      <c r="E277" s="138">
        <v>19.899999999999999</v>
      </c>
      <c r="F277" s="136" t="s">
        <v>26</v>
      </c>
      <c r="G277" s="98" t="s">
        <v>922</v>
      </c>
      <c r="H277" s="136" t="s">
        <v>923</v>
      </c>
      <c r="I277" s="136" t="s">
        <v>924</v>
      </c>
    </row>
    <row r="278" spans="1:9" s="32" customFormat="1" ht="15.75" hidden="1" customHeight="1" x14ac:dyDescent="0.25">
      <c r="A278" s="135">
        <v>275</v>
      </c>
      <c r="B278" s="136" t="s">
        <v>912</v>
      </c>
      <c r="C278" s="136" t="s">
        <v>925</v>
      </c>
      <c r="D278" s="137" t="s">
        <v>124</v>
      </c>
      <c r="E278" s="138">
        <v>35.9</v>
      </c>
      <c r="F278" s="136" t="s">
        <v>26</v>
      </c>
      <c r="G278" s="98" t="s">
        <v>926</v>
      </c>
      <c r="H278" s="136" t="s">
        <v>927</v>
      </c>
      <c r="I278" s="136" t="s">
        <v>928</v>
      </c>
    </row>
    <row r="279" spans="1:9" ht="15.75" customHeight="1" x14ac:dyDescent="0.25">
      <c r="A279" s="139">
        <v>276</v>
      </c>
      <c r="B279" s="97" t="s">
        <v>912</v>
      </c>
      <c r="C279" s="97" t="s">
        <v>929</v>
      </c>
      <c r="D279" s="140" t="s">
        <v>199</v>
      </c>
      <c r="E279" s="238">
        <v>60.7</v>
      </c>
      <c r="F279" s="97" t="s">
        <v>26</v>
      </c>
      <c r="G279" s="173" t="s">
        <v>930</v>
      </c>
      <c r="H279" s="97" t="s">
        <v>222</v>
      </c>
      <c r="I279" s="97" t="s">
        <v>931</v>
      </c>
    </row>
    <row r="280" spans="1:9" s="32" customFormat="1" ht="15.75" hidden="1" customHeight="1" x14ac:dyDescent="0.25">
      <c r="A280" s="135">
        <v>277</v>
      </c>
      <c r="B280" s="136" t="s">
        <v>912</v>
      </c>
      <c r="C280" s="136" t="s">
        <v>917</v>
      </c>
      <c r="D280" s="137" t="s">
        <v>199</v>
      </c>
      <c r="E280" s="138">
        <v>7.95</v>
      </c>
      <c r="F280" s="136" t="s">
        <v>26</v>
      </c>
      <c r="G280" s="98" t="s">
        <v>932</v>
      </c>
      <c r="H280" s="136" t="s">
        <v>933</v>
      </c>
      <c r="I280" s="136" t="s">
        <v>934</v>
      </c>
    </row>
    <row r="281" spans="1:9" s="32" customFormat="1" ht="15.75" hidden="1" customHeight="1" x14ac:dyDescent="0.25">
      <c r="A281" s="135">
        <v>278</v>
      </c>
      <c r="B281" s="136" t="s">
        <v>912</v>
      </c>
      <c r="C281" s="136" t="s">
        <v>935</v>
      </c>
      <c r="D281" s="137" t="s">
        <v>199</v>
      </c>
      <c r="E281" s="138">
        <v>20.9</v>
      </c>
      <c r="F281" s="136" t="s">
        <v>26</v>
      </c>
      <c r="G281" s="98" t="s">
        <v>936</v>
      </c>
      <c r="H281" s="136" t="s">
        <v>937</v>
      </c>
      <c r="I281" s="136" t="s">
        <v>938</v>
      </c>
    </row>
    <row r="282" spans="1:9" s="32" customFormat="1" ht="15.75" hidden="1" customHeight="1" x14ac:dyDescent="0.25">
      <c r="A282" s="135">
        <v>279</v>
      </c>
      <c r="B282" s="136" t="s">
        <v>912</v>
      </c>
      <c r="C282" s="136" t="s">
        <v>921</v>
      </c>
      <c r="D282" s="137" t="s">
        <v>199</v>
      </c>
      <c r="E282" s="138">
        <v>19.899999999999999</v>
      </c>
      <c r="F282" s="136" t="s">
        <v>26</v>
      </c>
      <c r="G282" s="98" t="s">
        <v>939</v>
      </c>
      <c r="H282" s="136" t="s">
        <v>940</v>
      </c>
      <c r="I282" s="136" t="s">
        <v>941</v>
      </c>
    </row>
    <row r="283" spans="1:9" s="32" customFormat="1" ht="15.75" hidden="1" customHeight="1" x14ac:dyDescent="0.25">
      <c r="A283" s="135">
        <v>280</v>
      </c>
      <c r="B283" s="136" t="s">
        <v>912</v>
      </c>
      <c r="C283" s="136" t="s">
        <v>942</v>
      </c>
      <c r="D283" s="137" t="s">
        <v>199</v>
      </c>
      <c r="E283" s="138">
        <v>35.9</v>
      </c>
      <c r="F283" s="136" t="s">
        <v>26</v>
      </c>
      <c r="G283" s="98" t="s">
        <v>943</v>
      </c>
      <c r="H283" s="136" t="s">
        <v>944</v>
      </c>
      <c r="I283" s="136" t="s">
        <v>945</v>
      </c>
    </row>
    <row r="284" spans="1:9" ht="15.75" customHeight="1" x14ac:dyDescent="0.25">
      <c r="A284" s="139">
        <v>281</v>
      </c>
      <c r="B284" s="97" t="s">
        <v>912</v>
      </c>
      <c r="C284" s="97" t="s">
        <v>946</v>
      </c>
      <c r="D284" s="140" t="s">
        <v>235</v>
      </c>
      <c r="E284" s="238">
        <v>35.99</v>
      </c>
      <c r="F284" s="97" t="s">
        <v>26</v>
      </c>
      <c r="G284" s="173" t="s">
        <v>947</v>
      </c>
      <c r="H284" s="97" t="s">
        <v>948</v>
      </c>
      <c r="I284" s="97" t="s">
        <v>949</v>
      </c>
    </row>
    <row r="285" spans="1:9" s="32" customFormat="1" ht="15.75" hidden="1" customHeight="1" x14ac:dyDescent="0.25">
      <c r="A285" s="135">
        <v>282</v>
      </c>
      <c r="B285" s="136" t="s">
        <v>912</v>
      </c>
      <c r="C285" s="136" t="s">
        <v>917</v>
      </c>
      <c r="D285" s="137" t="s">
        <v>235</v>
      </c>
      <c r="E285" s="138">
        <v>7.95</v>
      </c>
      <c r="F285" s="136" t="s">
        <v>26</v>
      </c>
      <c r="G285" s="98" t="s">
        <v>950</v>
      </c>
      <c r="H285" s="136" t="s">
        <v>951</v>
      </c>
      <c r="I285" s="136" t="s">
        <v>952</v>
      </c>
    </row>
    <row r="286" spans="1:9" s="32" customFormat="1" ht="15.75" hidden="1" customHeight="1" x14ac:dyDescent="0.25">
      <c r="A286" s="135">
        <v>283</v>
      </c>
      <c r="B286" s="136" t="s">
        <v>912</v>
      </c>
      <c r="C286" s="136" t="s">
        <v>953</v>
      </c>
      <c r="D286" s="137" t="s">
        <v>235</v>
      </c>
      <c r="E286" s="138">
        <v>20.9</v>
      </c>
      <c r="F286" s="136" t="s">
        <v>26</v>
      </c>
      <c r="G286" s="98" t="s">
        <v>954</v>
      </c>
      <c r="H286" s="136" t="s">
        <v>955</v>
      </c>
      <c r="I286" s="136" t="s">
        <v>956</v>
      </c>
    </row>
    <row r="287" spans="1:9" s="32" customFormat="1" ht="15.75" hidden="1" customHeight="1" x14ac:dyDescent="0.25">
      <c r="A287" s="135">
        <v>284</v>
      </c>
      <c r="B287" s="136" t="s">
        <v>912</v>
      </c>
      <c r="C287" s="136" t="s">
        <v>957</v>
      </c>
      <c r="D287" s="137" t="s">
        <v>235</v>
      </c>
      <c r="E287" s="138">
        <v>35.9</v>
      </c>
      <c r="F287" s="136" t="s">
        <v>26</v>
      </c>
      <c r="G287" s="98" t="s">
        <v>958</v>
      </c>
      <c r="H287" s="136" t="s">
        <v>959</v>
      </c>
      <c r="I287" s="136" t="s">
        <v>960</v>
      </c>
    </row>
    <row r="288" spans="1:9" ht="15.75" customHeight="1" x14ac:dyDescent="0.25">
      <c r="A288" s="139">
        <v>285</v>
      </c>
      <c r="B288" s="97" t="s">
        <v>912</v>
      </c>
      <c r="C288" s="97" t="s">
        <v>961</v>
      </c>
      <c r="D288" s="140" t="s">
        <v>275</v>
      </c>
      <c r="E288" s="238">
        <v>32.369999999999997</v>
      </c>
      <c r="F288" s="97" t="s">
        <v>26</v>
      </c>
      <c r="G288" s="173" t="s">
        <v>962</v>
      </c>
      <c r="H288" s="97" t="s">
        <v>291</v>
      </c>
      <c r="I288" s="97" t="s">
        <v>963</v>
      </c>
    </row>
    <row r="289" spans="1:9" ht="15.75" customHeight="1" x14ac:dyDescent="0.25">
      <c r="A289" s="139">
        <v>286</v>
      </c>
      <c r="B289" s="97" t="s">
        <v>912</v>
      </c>
      <c r="C289" s="97" t="s">
        <v>964</v>
      </c>
      <c r="D289" s="140" t="s">
        <v>275</v>
      </c>
      <c r="E289" s="238">
        <v>78.400000000000006</v>
      </c>
      <c r="F289" s="97" t="s">
        <v>26</v>
      </c>
      <c r="G289" s="173" t="s">
        <v>965</v>
      </c>
      <c r="H289" s="97" t="s">
        <v>291</v>
      </c>
      <c r="I289" s="97" t="s">
        <v>966</v>
      </c>
    </row>
    <row r="290" spans="1:9" s="32" customFormat="1" ht="15.75" hidden="1" customHeight="1" x14ac:dyDescent="0.25">
      <c r="A290" s="135">
        <v>287</v>
      </c>
      <c r="B290" s="136" t="s">
        <v>912</v>
      </c>
      <c r="C290" s="136" t="s">
        <v>917</v>
      </c>
      <c r="D290" s="137" t="s">
        <v>275</v>
      </c>
      <c r="E290" s="138">
        <v>7.95</v>
      </c>
      <c r="F290" s="136" t="s">
        <v>26</v>
      </c>
      <c r="G290" s="98" t="s">
        <v>967</v>
      </c>
      <c r="H290" s="136" t="s">
        <v>968</v>
      </c>
      <c r="I290" s="136" t="s">
        <v>969</v>
      </c>
    </row>
    <row r="291" spans="1:9" ht="15.75" customHeight="1" x14ac:dyDescent="0.25">
      <c r="A291" s="139">
        <v>288</v>
      </c>
      <c r="B291" s="97" t="s">
        <v>912</v>
      </c>
      <c r="C291" s="97" t="s">
        <v>970</v>
      </c>
      <c r="D291" s="140" t="s">
        <v>275</v>
      </c>
      <c r="E291" s="238">
        <v>10</v>
      </c>
      <c r="F291" s="97" t="s">
        <v>26</v>
      </c>
      <c r="G291" s="173" t="s">
        <v>971</v>
      </c>
      <c r="H291" s="97" t="s">
        <v>302</v>
      </c>
      <c r="I291" s="97" t="s">
        <v>972</v>
      </c>
    </row>
    <row r="292" spans="1:9" s="32" customFormat="1" ht="15.75" hidden="1" customHeight="1" x14ac:dyDescent="0.25">
      <c r="A292" s="135">
        <v>289</v>
      </c>
      <c r="B292" s="136" t="s">
        <v>912</v>
      </c>
      <c r="C292" s="136" t="s">
        <v>953</v>
      </c>
      <c r="D292" s="137" t="s">
        <v>275</v>
      </c>
      <c r="E292" s="138">
        <v>20.9</v>
      </c>
      <c r="F292" s="136" t="s">
        <v>26</v>
      </c>
      <c r="G292" s="98" t="s">
        <v>973</v>
      </c>
      <c r="H292" s="136" t="s">
        <v>974</v>
      </c>
      <c r="I292" s="136" t="s">
        <v>975</v>
      </c>
    </row>
    <row r="293" spans="1:9" ht="15.75" customHeight="1" x14ac:dyDescent="0.25">
      <c r="A293" s="139">
        <v>290</v>
      </c>
      <c r="B293" s="97" t="s">
        <v>912</v>
      </c>
      <c r="C293" s="97" t="s">
        <v>976</v>
      </c>
      <c r="D293" s="140" t="s">
        <v>275</v>
      </c>
      <c r="E293" s="238">
        <v>105.9</v>
      </c>
      <c r="F293" s="97" t="s">
        <v>26</v>
      </c>
      <c r="G293" s="173" t="s">
        <v>977</v>
      </c>
      <c r="H293" s="97" t="s">
        <v>792</v>
      </c>
      <c r="I293" s="97" t="s">
        <v>978</v>
      </c>
    </row>
    <row r="294" spans="1:9" ht="15.75" customHeight="1" x14ac:dyDescent="0.25">
      <c r="A294" s="139">
        <v>291</v>
      </c>
      <c r="B294" s="97" t="s">
        <v>912</v>
      </c>
      <c r="C294" s="97" t="s">
        <v>979</v>
      </c>
      <c r="D294" s="140" t="s">
        <v>275</v>
      </c>
      <c r="E294" s="238">
        <v>42.5</v>
      </c>
      <c r="F294" s="97" t="s">
        <v>26</v>
      </c>
      <c r="G294" s="173" t="s">
        <v>980</v>
      </c>
      <c r="H294" s="97" t="s">
        <v>315</v>
      </c>
      <c r="I294" s="97" t="s">
        <v>981</v>
      </c>
    </row>
    <row r="295" spans="1:9" ht="15.75" customHeight="1" x14ac:dyDescent="0.25">
      <c r="A295" s="139">
        <v>292</v>
      </c>
      <c r="B295" s="97" t="s">
        <v>912</v>
      </c>
      <c r="C295" s="97" t="s">
        <v>982</v>
      </c>
      <c r="D295" s="140" t="s">
        <v>275</v>
      </c>
      <c r="E295" s="238">
        <v>108.69</v>
      </c>
      <c r="F295" s="97" t="s">
        <v>26</v>
      </c>
      <c r="G295" s="173" t="s">
        <v>983</v>
      </c>
      <c r="H295" s="97" t="s">
        <v>325</v>
      </c>
      <c r="I295" s="97" t="s">
        <v>984</v>
      </c>
    </row>
    <row r="296" spans="1:9" s="32" customFormat="1" ht="15.75" hidden="1" customHeight="1" x14ac:dyDescent="0.25">
      <c r="A296" s="135">
        <v>293</v>
      </c>
      <c r="B296" s="136" t="s">
        <v>912</v>
      </c>
      <c r="C296" s="136" t="s">
        <v>913</v>
      </c>
      <c r="D296" s="137" t="s">
        <v>275</v>
      </c>
      <c r="E296" s="138">
        <v>35.9</v>
      </c>
      <c r="F296" s="136" t="s">
        <v>26</v>
      </c>
      <c r="G296" s="98" t="s">
        <v>985</v>
      </c>
      <c r="H296" s="136" t="s">
        <v>986</v>
      </c>
      <c r="I296" s="136" t="s">
        <v>987</v>
      </c>
    </row>
    <row r="297" spans="1:9" s="32" customFormat="1" ht="15.75" hidden="1" customHeight="1" x14ac:dyDescent="0.25">
      <c r="A297" s="135">
        <v>294</v>
      </c>
      <c r="B297" s="136" t="s">
        <v>912</v>
      </c>
      <c r="C297" s="136" t="s">
        <v>921</v>
      </c>
      <c r="D297" s="137" t="s">
        <v>275</v>
      </c>
      <c r="E297" s="138">
        <v>19.899999999999999</v>
      </c>
      <c r="F297" s="136" t="s">
        <v>26</v>
      </c>
      <c r="G297" s="98" t="s">
        <v>988</v>
      </c>
      <c r="H297" s="136" t="s">
        <v>989</v>
      </c>
      <c r="I297" s="136" t="s">
        <v>990</v>
      </c>
    </row>
    <row r="298" spans="1:9" ht="15.75" customHeight="1" x14ac:dyDescent="0.25">
      <c r="A298" s="139">
        <v>295</v>
      </c>
      <c r="B298" s="97" t="s">
        <v>912</v>
      </c>
      <c r="C298" s="97" t="s">
        <v>964</v>
      </c>
      <c r="D298" s="140" t="s">
        <v>337</v>
      </c>
      <c r="E298" s="238">
        <v>17.97</v>
      </c>
      <c r="F298" s="97" t="s">
        <v>26</v>
      </c>
      <c r="G298" s="173" t="s">
        <v>991</v>
      </c>
      <c r="H298" s="97" t="s">
        <v>339</v>
      </c>
      <c r="I298" s="97" t="s">
        <v>992</v>
      </c>
    </row>
    <row r="299" spans="1:9" s="32" customFormat="1" ht="15.75" hidden="1" customHeight="1" x14ac:dyDescent="0.25">
      <c r="A299" s="135">
        <v>296</v>
      </c>
      <c r="B299" s="136" t="s">
        <v>912</v>
      </c>
      <c r="C299" s="136" t="s">
        <v>917</v>
      </c>
      <c r="D299" s="137" t="s">
        <v>337</v>
      </c>
      <c r="E299" s="138">
        <v>7.95</v>
      </c>
      <c r="F299" s="136" t="s">
        <v>26</v>
      </c>
      <c r="G299" s="98" t="s">
        <v>993</v>
      </c>
      <c r="H299" s="136" t="s">
        <v>994</v>
      </c>
      <c r="I299" s="136" t="s">
        <v>995</v>
      </c>
    </row>
    <row r="300" spans="1:9" ht="15.75" customHeight="1" x14ac:dyDescent="0.25">
      <c r="A300" s="139">
        <v>297</v>
      </c>
      <c r="B300" s="97" t="s">
        <v>912</v>
      </c>
      <c r="C300" s="97" t="s">
        <v>187</v>
      </c>
      <c r="D300" s="140" t="s">
        <v>337</v>
      </c>
      <c r="E300" s="238">
        <v>113.93</v>
      </c>
      <c r="F300" s="97" t="s">
        <v>26</v>
      </c>
      <c r="G300" s="173" t="s">
        <v>996</v>
      </c>
      <c r="H300" s="97" t="s">
        <v>994</v>
      </c>
      <c r="I300" s="97" t="s">
        <v>997</v>
      </c>
    </row>
    <row r="301" spans="1:9" ht="15.75" customHeight="1" x14ac:dyDescent="0.25">
      <c r="A301" s="139">
        <v>298</v>
      </c>
      <c r="B301" s="97" t="s">
        <v>912</v>
      </c>
      <c r="C301" s="97" t="s">
        <v>998</v>
      </c>
      <c r="D301" s="140" t="s">
        <v>337</v>
      </c>
      <c r="E301" s="238">
        <v>54.9</v>
      </c>
      <c r="F301" s="97" t="s">
        <v>26</v>
      </c>
      <c r="G301" s="173" t="s">
        <v>999</v>
      </c>
      <c r="H301" s="97" t="s">
        <v>1000</v>
      </c>
      <c r="I301" s="97" t="s">
        <v>1001</v>
      </c>
    </row>
    <row r="302" spans="1:9" ht="15.75" customHeight="1" x14ac:dyDescent="0.25">
      <c r="A302" s="139">
        <v>299</v>
      </c>
      <c r="B302" s="97" t="s">
        <v>912</v>
      </c>
      <c r="C302" s="97" t="s">
        <v>1002</v>
      </c>
      <c r="D302" s="140" t="s">
        <v>337</v>
      </c>
      <c r="E302" s="238">
        <v>20.420000000000002</v>
      </c>
      <c r="F302" s="97" t="s">
        <v>26</v>
      </c>
      <c r="G302" s="173" t="s">
        <v>1003</v>
      </c>
      <c r="H302" s="97" t="s">
        <v>810</v>
      </c>
      <c r="I302" s="97" t="s">
        <v>1004</v>
      </c>
    </row>
    <row r="303" spans="1:9" s="32" customFormat="1" ht="15.75" hidden="1" customHeight="1" x14ac:dyDescent="0.25">
      <c r="A303" s="135">
        <v>300</v>
      </c>
      <c r="B303" s="136" t="s">
        <v>912</v>
      </c>
      <c r="C303" s="136" t="s">
        <v>935</v>
      </c>
      <c r="D303" s="137" t="s">
        <v>337</v>
      </c>
      <c r="E303" s="138">
        <v>20.9</v>
      </c>
      <c r="F303" s="136" t="s">
        <v>26</v>
      </c>
      <c r="G303" s="98" t="s">
        <v>1005</v>
      </c>
      <c r="H303" s="136" t="s">
        <v>1006</v>
      </c>
      <c r="I303" s="136" t="s">
        <v>1007</v>
      </c>
    </row>
    <row r="304" spans="1:9" s="32" customFormat="1" ht="15.75" hidden="1" customHeight="1" x14ac:dyDescent="0.25">
      <c r="A304" s="135">
        <v>301</v>
      </c>
      <c r="B304" s="136" t="s">
        <v>912</v>
      </c>
      <c r="C304" s="136" t="s">
        <v>925</v>
      </c>
      <c r="D304" s="137" t="s">
        <v>337</v>
      </c>
      <c r="E304" s="138">
        <v>35.9</v>
      </c>
      <c r="F304" s="136" t="s">
        <v>26</v>
      </c>
      <c r="G304" s="98" t="s">
        <v>1008</v>
      </c>
      <c r="H304" s="136" t="s">
        <v>1009</v>
      </c>
      <c r="I304" s="136" t="s">
        <v>1010</v>
      </c>
    </row>
    <row r="305" spans="1:9" ht="15.75" customHeight="1" x14ac:dyDescent="0.25">
      <c r="A305" s="139">
        <v>302</v>
      </c>
      <c r="B305" s="97" t="s">
        <v>912</v>
      </c>
      <c r="C305" s="97" t="s">
        <v>1011</v>
      </c>
      <c r="D305" s="140" t="s">
        <v>337</v>
      </c>
      <c r="E305" s="238">
        <v>35.799999999999997</v>
      </c>
      <c r="F305" s="97" t="s">
        <v>26</v>
      </c>
      <c r="G305" s="173" t="s">
        <v>1012</v>
      </c>
      <c r="H305" s="97" t="s">
        <v>377</v>
      </c>
      <c r="I305" s="97" t="s">
        <v>1013</v>
      </c>
    </row>
    <row r="306" spans="1:9" s="32" customFormat="1" ht="15.75" customHeight="1" x14ac:dyDescent="0.25">
      <c r="A306" s="239" t="s">
        <v>1028</v>
      </c>
      <c r="B306" s="240"/>
      <c r="C306" s="240"/>
      <c r="D306" s="241" t="s">
        <v>1029</v>
      </c>
      <c r="E306" s="242">
        <f>SUBTOTAL(109,E4:E305)</f>
        <v>717.56999999999994</v>
      </c>
      <c r="F306" s="240">
        <f>SUBTOTAL(103,A4:A305)</f>
        <v>13</v>
      </c>
      <c r="G306" s="256"/>
      <c r="H306" s="240"/>
      <c r="I306" s="240"/>
    </row>
    <row r="307" spans="1:9" s="32" customFormat="1" ht="15.75" hidden="1" customHeight="1" x14ac:dyDescent="0.25">
      <c r="A307" s="3">
        <v>304</v>
      </c>
      <c r="B307" s="2" t="s">
        <v>1014</v>
      </c>
      <c r="C307" s="2" t="s">
        <v>1015</v>
      </c>
      <c r="D307" s="4" t="s">
        <v>199</v>
      </c>
      <c r="E307" s="64">
        <v>62.26</v>
      </c>
      <c r="F307" s="2" t="s">
        <v>26</v>
      </c>
      <c r="G307" s="63" t="s">
        <v>1016</v>
      </c>
      <c r="H307" s="2" t="s">
        <v>1017</v>
      </c>
      <c r="I307" s="2" t="s">
        <v>1018</v>
      </c>
    </row>
    <row r="308" spans="1:9" s="32" customFormat="1" ht="15.75" hidden="1" customHeight="1" x14ac:dyDescent="0.25">
      <c r="A308" s="3">
        <v>305</v>
      </c>
      <c r="B308" s="2" t="s">
        <v>1014</v>
      </c>
      <c r="C308" s="2" t="s">
        <v>1015</v>
      </c>
      <c r="D308" s="4" t="s">
        <v>235</v>
      </c>
      <c r="E308" s="64">
        <v>61.7</v>
      </c>
      <c r="F308" s="2" t="s">
        <v>26</v>
      </c>
      <c r="G308" s="63" t="s">
        <v>1019</v>
      </c>
      <c r="H308" s="2" t="s">
        <v>1020</v>
      </c>
      <c r="I308" s="2" t="s">
        <v>1021</v>
      </c>
    </row>
    <row r="309" spans="1:9" s="32" customFormat="1" ht="15.75" hidden="1" customHeight="1" x14ac:dyDescent="0.25">
      <c r="A309" s="3">
        <v>306</v>
      </c>
      <c r="B309" s="2" t="s">
        <v>1014</v>
      </c>
      <c r="C309" s="2" t="s">
        <v>1015</v>
      </c>
      <c r="D309" s="4" t="s">
        <v>275</v>
      </c>
      <c r="E309" s="64">
        <v>62.02</v>
      </c>
      <c r="F309" s="2" t="s">
        <v>26</v>
      </c>
      <c r="G309" s="63" t="s">
        <v>1022</v>
      </c>
      <c r="H309" s="2" t="s">
        <v>1023</v>
      </c>
      <c r="I309" s="2" t="s">
        <v>1024</v>
      </c>
    </row>
    <row r="310" spans="1:9" s="32" customFormat="1" ht="15.75" hidden="1" customHeight="1" x14ac:dyDescent="0.25">
      <c r="A310" s="3">
        <v>307</v>
      </c>
      <c r="B310" s="2" t="s">
        <v>1014</v>
      </c>
      <c r="C310" s="2" t="s">
        <v>1015</v>
      </c>
      <c r="D310" s="4" t="s">
        <v>337</v>
      </c>
      <c r="E310" s="64">
        <v>71.400000000000006</v>
      </c>
      <c r="F310" s="2" t="s">
        <v>26</v>
      </c>
      <c r="G310" s="63" t="s">
        <v>1025</v>
      </c>
      <c r="H310" s="2" t="s">
        <v>1026</v>
      </c>
      <c r="I310" s="2" t="s">
        <v>1027</v>
      </c>
    </row>
    <row r="311" spans="1:9" x14ac:dyDescent="0.25">
      <c r="A311" s="75"/>
      <c r="B311" s="70"/>
      <c r="C311" s="70"/>
      <c r="D311" s="76"/>
      <c r="E311" s="235"/>
      <c r="F311" s="70"/>
      <c r="G311" s="70"/>
      <c r="H311" s="70"/>
      <c r="I311" s="70"/>
    </row>
  </sheetData>
  <autoFilter ref="A3:I310">
    <filterColumn colId="0">
      <filters>
        <filter val="276"/>
        <filter val="281"/>
        <filter val="285"/>
        <filter val="286"/>
        <filter val="288"/>
        <filter val="290"/>
        <filter val="291"/>
        <filter val="292"/>
        <filter val="295"/>
        <filter val="297"/>
        <filter val="298"/>
        <filter val="299"/>
        <filter val="302"/>
      </filters>
    </filterColumn>
  </autoFilter>
  <hyperlinks>
    <hyperlink ref="G4" r:id="rId1"/>
    <hyperlink ref="G5" r:id="rId2"/>
    <hyperlink ref="G6" r:id="rId3"/>
    <hyperlink ref="G7" r:id="rId4"/>
    <hyperlink ref="G8" r:id="rId5"/>
    <hyperlink ref="G9" r:id="rId6"/>
    <hyperlink ref="G10" r:id="rId7"/>
    <hyperlink ref="G11" r:id="rId8"/>
    <hyperlink ref="G12" r:id="rId9"/>
    <hyperlink ref="G13" r:id="rId10"/>
    <hyperlink ref="G14" r:id="rId11"/>
    <hyperlink ref="G15" r:id="rId12"/>
    <hyperlink ref="G16" r:id="rId13"/>
    <hyperlink ref="G17" r:id="rId14"/>
    <hyperlink ref="G18" r:id="rId15"/>
    <hyperlink ref="G19" r:id="rId16"/>
    <hyperlink ref="G20" r:id="rId17"/>
    <hyperlink ref="G21" r:id="rId18"/>
    <hyperlink ref="G22" r:id="rId19"/>
    <hyperlink ref="G23" r:id="rId20"/>
    <hyperlink ref="G24" r:id="rId21"/>
    <hyperlink ref="G25" r:id="rId22"/>
    <hyperlink ref="G26" r:id="rId23"/>
    <hyperlink ref="G27" r:id="rId24"/>
    <hyperlink ref="G28" r:id="rId25"/>
    <hyperlink ref="G29" r:id="rId26"/>
    <hyperlink ref="G30" r:id="rId27"/>
    <hyperlink ref="G31" r:id="rId28"/>
    <hyperlink ref="G32" r:id="rId29"/>
    <hyperlink ref="G33" r:id="rId30"/>
    <hyperlink ref="G34" r:id="rId31"/>
    <hyperlink ref="G35" r:id="rId32"/>
    <hyperlink ref="G36" r:id="rId33"/>
    <hyperlink ref="G37" r:id="rId34"/>
    <hyperlink ref="G38" r:id="rId35"/>
    <hyperlink ref="G39" r:id="rId36"/>
    <hyperlink ref="G40" r:id="rId37"/>
    <hyperlink ref="G41" r:id="rId38"/>
    <hyperlink ref="G42" r:id="rId39"/>
    <hyperlink ref="G43" r:id="rId40"/>
    <hyperlink ref="G44" r:id="rId41"/>
    <hyperlink ref="G45" r:id="rId42"/>
    <hyperlink ref="G46" r:id="rId43"/>
    <hyperlink ref="G47" r:id="rId44"/>
    <hyperlink ref="G48" r:id="rId45"/>
    <hyperlink ref="G49" r:id="rId46"/>
    <hyperlink ref="G50" r:id="rId47"/>
    <hyperlink ref="G51" r:id="rId48"/>
    <hyperlink ref="G52" r:id="rId49"/>
    <hyperlink ref="G53" r:id="rId50"/>
    <hyperlink ref="G54" r:id="rId51"/>
    <hyperlink ref="G55" r:id="rId52"/>
    <hyperlink ref="G56" r:id="rId53"/>
    <hyperlink ref="G57" r:id="rId54"/>
    <hyperlink ref="G58" r:id="rId55"/>
    <hyperlink ref="G59" r:id="rId56"/>
    <hyperlink ref="G60" r:id="rId57"/>
    <hyperlink ref="G61" r:id="rId58"/>
    <hyperlink ref="G62" r:id="rId59"/>
    <hyperlink ref="G63" r:id="rId60"/>
    <hyperlink ref="G64" r:id="rId61"/>
    <hyperlink ref="G65" r:id="rId62"/>
    <hyperlink ref="G66" r:id="rId63"/>
    <hyperlink ref="G67" r:id="rId64"/>
    <hyperlink ref="G68" r:id="rId65"/>
    <hyperlink ref="G69" r:id="rId66"/>
    <hyperlink ref="G70" r:id="rId67"/>
    <hyperlink ref="G71" r:id="rId68"/>
    <hyperlink ref="G72" r:id="rId69"/>
    <hyperlink ref="G73" r:id="rId70"/>
    <hyperlink ref="G74" r:id="rId71"/>
    <hyperlink ref="G75" r:id="rId72"/>
    <hyperlink ref="G76" r:id="rId73"/>
    <hyperlink ref="G77" r:id="rId74"/>
    <hyperlink ref="G78" r:id="rId75"/>
    <hyperlink ref="G79" r:id="rId76"/>
    <hyperlink ref="G80" r:id="rId77"/>
    <hyperlink ref="G81" r:id="rId78"/>
    <hyperlink ref="G82" r:id="rId79"/>
    <hyperlink ref="G83" r:id="rId80"/>
    <hyperlink ref="G84" r:id="rId81"/>
    <hyperlink ref="G85" r:id="rId82"/>
    <hyperlink ref="G86" r:id="rId83"/>
    <hyperlink ref="G87" r:id="rId84"/>
    <hyperlink ref="G88" r:id="rId85"/>
    <hyperlink ref="G89" r:id="rId86"/>
    <hyperlink ref="G90" r:id="rId87"/>
    <hyperlink ref="G91" r:id="rId88"/>
    <hyperlink ref="G92" r:id="rId89"/>
    <hyperlink ref="G93" r:id="rId90"/>
    <hyperlink ref="G94" r:id="rId91"/>
    <hyperlink ref="G95" r:id="rId92"/>
    <hyperlink ref="G96" r:id="rId93"/>
    <hyperlink ref="G97" r:id="rId94"/>
    <hyperlink ref="G98" r:id="rId95"/>
    <hyperlink ref="G99" r:id="rId96"/>
    <hyperlink ref="G100" r:id="rId97"/>
    <hyperlink ref="G101" r:id="rId98"/>
    <hyperlink ref="G102" r:id="rId99"/>
    <hyperlink ref="G103" r:id="rId100"/>
    <hyperlink ref="G104" r:id="rId101"/>
    <hyperlink ref="G105" r:id="rId102"/>
    <hyperlink ref="G106" r:id="rId103"/>
    <hyperlink ref="G107" r:id="rId104"/>
    <hyperlink ref="G108" r:id="rId105"/>
    <hyperlink ref="G109" r:id="rId106"/>
    <hyperlink ref="G110" r:id="rId107"/>
    <hyperlink ref="G111" r:id="rId108"/>
    <hyperlink ref="G112" r:id="rId109"/>
    <hyperlink ref="G113" r:id="rId110"/>
    <hyperlink ref="G114" r:id="rId111"/>
    <hyperlink ref="G115" r:id="rId112"/>
    <hyperlink ref="G116" r:id="rId113"/>
    <hyperlink ref="G117" r:id="rId114"/>
    <hyperlink ref="G118" r:id="rId115"/>
    <hyperlink ref="G119" r:id="rId116"/>
    <hyperlink ref="G120" r:id="rId117"/>
    <hyperlink ref="G121" r:id="rId118"/>
    <hyperlink ref="G122" r:id="rId119"/>
    <hyperlink ref="G123" r:id="rId120"/>
    <hyperlink ref="G124" r:id="rId121"/>
    <hyperlink ref="G125" r:id="rId122"/>
    <hyperlink ref="G126" r:id="rId123"/>
    <hyperlink ref="G127" r:id="rId124"/>
    <hyperlink ref="G128" r:id="rId125"/>
    <hyperlink ref="G129" r:id="rId126"/>
    <hyperlink ref="G130" r:id="rId127"/>
    <hyperlink ref="G131" r:id="rId128"/>
    <hyperlink ref="G132" r:id="rId129"/>
    <hyperlink ref="G133" r:id="rId130"/>
    <hyperlink ref="G134" r:id="rId131"/>
    <hyperlink ref="G135" r:id="rId132"/>
    <hyperlink ref="G136" r:id="rId133"/>
    <hyperlink ref="G137" r:id="rId134"/>
    <hyperlink ref="G138" r:id="rId135"/>
    <hyperlink ref="G139" r:id="rId136"/>
    <hyperlink ref="G140" r:id="rId137"/>
    <hyperlink ref="G141" r:id="rId138"/>
    <hyperlink ref="G142" r:id="rId139"/>
    <hyperlink ref="G143" r:id="rId140"/>
    <hyperlink ref="G144" r:id="rId141"/>
    <hyperlink ref="G145" r:id="rId142"/>
    <hyperlink ref="G146" r:id="rId143"/>
    <hyperlink ref="G147" r:id="rId144"/>
    <hyperlink ref="G148" r:id="rId145"/>
    <hyperlink ref="G149" r:id="rId146"/>
    <hyperlink ref="G150" r:id="rId147"/>
    <hyperlink ref="G151" r:id="rId148"/>
    <hyperlink ref="G152" r:id="rId149"/>
    <hyperlink ref="G153" r:id="rId150"/>
    <hyperlink ref="G154" r:id="rId151"/>
    <hyperlink ref="G155" r:id="rId152"/>
    <hyperlink ref="G156" r:id="rId153"/>
    <hyperlink ref="G157" r:id="rId154"/>
    <hyperlink ref="G158" r:id="rId155"/>
    <hyperlink ref="G159" r:id="rId156"/>
    <hyperlink ref="G160" r:id="rId157"/>
    <hyperlink ref="G161" r:id="rId158"/>
    <hyperlink ref="G162" r:id="rId159"/>
    <hyperlink ref="G163" r:id="rId160"/>
    <hyperlink ref="G164" r:id="rId161"/>
    <hyperlink ref="G165" r:id="rId162"/>
    <hyperlink ref="G166" r:id="rId163"/>
    <hyperlink ref="G167" r:id="rId164"/>
    <hyperlink ref="G168" r:id="rId165"/>
    <hyperlink ref="G169" r:id="rId166"/>
    <hyperlink ref="G170" r:id="rId167"/>
    <hyperlink ref="G171" r:id="rId168"/>
    <hyperlink ref="G172" r:id="rId169"/>
    <hyperlink ref="G173" r:id="rId170"/>
    <hyperlink ref="G174" r:id="rId171"/>
    <hyperlink ref="G175" r:id="rId172"/>
    <hyperlink ref="G176" r:id="rId173"/>
    <hyperlink ref="G177" r:id="rId174"/>
    <hyperlink ref="G178" r:id="rId175"/>
    <hyperlink ref="G179" r:id="rId176"/>
    <hyperlink ref="G180" r:id="rId177"/>
    <hyperlink ref="G181" r:id="rId178"/>
    <hyperlink ref="G182" r:id="rId179"/>
    <hyperlink ref="G183" r:id="rId180"/>
    <hyperlink ref="G184" r:id="rId181"/>
    <hyperlink ref="G185" r:id="rId182"/>
    <hyperlink ref="G186" r:id="rId183"/>
    <hyperlink ref="G187" r:id="rId184"/>
    <hyperlink ref="G188" r:id="rId185"/>
    <hyperlink ref="G189" r:id="rId186"/>
    <hyperlink ref="G190" r:id="rId187"/>
    <hyperlink ref="G191" r:id="rId188"/>
    <hyperlink ref="G192" r:id="rId189"/>
    <hyperlink ref="G193" r:id="rId190"/>
    <hyperlink ref="G194" r:id="rId191"/>
    <hyperlink ref="G195" r:id="rId192"/>
    <hyperlink ref="G196" r:id="rId193"/>
    <hyperlink ref="G197" r:id="rId194"/>
    <hyperlink ref="G198" r:id="rId195"/>
    <hyperlink ref="G199" r:id="rId196"/>
    <hyperlink ref="G200" r:id="rId197"/>
    <hyperlink ref="G201" r:id="rId198"/>
    <hyperlink ref="G202" r:id="rId199"/>
    <hyperlink ref="G203" r:id="rId200"/>
    <hyperlink ref="G204" r:id="rId201"/>
    <hyperlink ref="G205" r:id="rId202"/>
    <hyperlink ref="G206" r:id="rId203"/>
    <hyperlink ref="G207" r:id="rId204"/>
    <hyperlink ref="G208" r:id="rId205"/>
    <hyperlink ref="G209" r:id="rId206"/>
    <hyperlink ref="G210" r:id="rId207"/>
    <hyperlink ref="G211" r:id="rId208"/>
    <hyperlink ref="G212" r:id="rId209"/>
    <hyperlink ref="G213" r:id="rId210"/>
    <hyperlink ref="G214" r:id="rId211"/>
    <hyperlink ref="G215" r:id="rId212"/>
    <hyperlink ref="G216" r:id="rId213"/>
    <hyperlink ref="G217" r:id="rId214"/>
    <hyperlink ref="G218" r:id="rId215"/>
    <hyperlink ref="G219" r:id="rId216"/>
    <hyperlink ref="G220" r:id="rId217"/>
    <hyperlink ref="G221" r:id="rId218"/>
    <hyperlink ref="G222" r:id="rId219"/>
    <hyperlink ref="G223" r:id="rId220"/>
    <hyperlink ref="G224" r:id="rId221"/>
    <hyperlink ref="G225" r:id="rId222"/>
    <hyperlink ref="G226" r:id="rId223"/>
    <hyperlink ref="G227" r:id="rId224"/>
    <hyperlink ref="G228" r:id="rId225"/>
    <hyperlink ref="G229" r:id="rId226"/>
    <hyperlink ref="G230" r:id="rId227"/>
    <hyperlink ref="G231" r:id="rId228"/>
    <hyperlink ref="G232" r:id="rId229"/>
    <hyperlink ref="G233" r:id="rId230"/>
    <hyperlink ref="G234" r:id="rId231"/>
    <hyperlink ref="G235" r:id="rId232"/>
    <hyperlink ref="G236" r:id="rId233"/>
    <hyperlink ref="G237" r:id="rId234"/>
    <hyperlink ref="G238" r:id="rId235"/>
    <hyperlink ref="G239" r:id="rId236"/>
    <hyperlink ref="G240" r:id="rId237"/>
    <hyperlink ref="G241" r:id="rId238"/>
    <hyperlink ref="G242" r:id="rId239"/>
    <hyperlink ref="G243" r:id="rId240"/>
    <hyperlink ref="G244" r:id="rId241"/>
    <hyperlink ref="G245" r:id="rId242"/>
    <hyperlink ref="G246" r:id="rId243"/>
    <hyperlink ref="G247" r:id="rId244"/>
    <hyperlink ref="G248" r:id="rId245"/>
    <hyperlink ref="G249" r:id="rId246"/>
    <hyperlink ref="G250" r:id="rId247"/>
    <hyperlink ref="G251" r:id="rId248"/>
    <hyperlink ref="G252" r:id="rId249"/>
    <hyperlink ref="G253" r:id="rId250"/>
    <hyperlink ref="G254" r:id="rId251"/>
    <hyperlink ref="G255" r:id="rId252"/>
    <hyperlink ref="G256" r:id="rId253"/>
    <hyperlink ref="G257" r:id="rId254"/>
    <hyperlink ref="G258" r:id="rId255"/>
    <hyperlink ref="G259" r:id="rId256"/>
    <hyperlink ref="G260" r:id="rId257"/>
    <hyperlink ref="G261" r:id="rId258"/>
    <hyperlink ref="G262" r:id="rId259"/>
    <hyperlink ref="G263" r:id="rId260"/>
    <hyperlink ref="G264" r:id="rId261"/>
    <hyperlink ref="G265" r:id="rId262"/>
    <hyperlink ref="G266" r:id="rId263"/>
    <hyperlink ref="G267" r:id="rId264"/>
    <hyperlink ref="G268" r:id="rId265"/>
    <hyperlink ref="G269" r:id="rId266"/>
    <hyperlink ref="G270" r:id="rId267"/>
    <hyperlink ref="G271" r:id="rId268"/>
    <hyperlink ref="G272" r:id="rId269"/>
    <hyperlink ref="G273" r:id="rId270"/>
    <hyperlink ref="G274" r:id="rId271"/>
    <hyperlink ref="G275" r:id="rId272"/>
    <hyperlink ref="G276" r:id="rId273"/>
    <hyperlink ref="G277" r:id="rId274"/>
    <hyperlink ref="G278" r:id="rId275"/>
    <hyperlink ref="G279" r:id="rId276"/>
    <hyperlink ref="G280" r:id="rId277"/>
    <hyperlink ref="G281" r:id="rId278"/>
    <hyperlink ref="G282" r:id="rId279"/>
    <hyperlink ref="G283" r:id="rId280"/>
    <hyperlink ref="G284" r:id="rId281"/>
    <hyperlink ref="G285" r:id="rId282"/>
    <hyperlink ref="G286" r:id="rId283"/>
    <hyperlink ref="G287" r:id="rId284"/>
    <hyperlink ref="G288" r:id="rId285"/>
    <hyperlink ref="G289" r:id="rId286"/>
    <hyperlink ref="G290" r:id="rId287"/>
    <hyperlink ref="G291" r:id="rId288"/>
    <hyperlink ref="G292" r:id="rId289"/>
    <hyperlink ref="G293" r:id="rId290"/>
    <hyperlink ref="G294" r:id="rId291"/>
    <hyperlink ref="G295" r:id="rId292"/>
    <hyperlink ref="G296" r:id="rId293"/>
    <hyperlink ref="G297" r:id="rId294"/>
    <hyperlink ref="G298" r:id="rId295"/>
    <hyperlink ref="G299" r:id="rId296"/>
    <hyperlink ref="G300" r:id="rId297"/>
    <hyperlink ref="G301" r:id="rId298"/>
    <hyperlink ref="G302" r:id="rId299"/>
    <hyperlink ref="G303" r:id="rId300"/>
    <hyperlink ref="G304" r:id="rId301"/>
    <hyperlink ref="G305" r:id="rId302"/>
    <hyperlink ref="G307" r:id="rId303"/>
    <hyperlink ref="G308" r:id="rId304"/>
    <hyperlink ref="G309" r:id="rId305"/>
    <hyperlink ref="G310" r:id="rId306"/>
  </hyperlinks>
  <pageMargins left="0.75" right="0.75" top="1" bottom="1" header="0.5" footer="0.5"/>
  <drawing r:id="rId30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tabColor rgb="FFA78BFA"/>
  </sheetPr>
  <dimension ref="A1:AZ220"/>
  <sheetViews>
    <sheetView showGridLines="0" zoomScaleNormal="100" workbookViewId="0">
      <selection activeCell="B13" sqref="B13"/>
    </sheetView>
  </sheetViews>
  <sheetFormatPr defaultColWidth="0" defaultRowHeight="14.25" zeroHeight="1" x14ac:dyDescent="0.25"/>
  <cols>
    <col min="1" max="1" width="26.7109375" style="78" customWidth="1"/>
    <col min="2" max="3" width="18.7109375" style="78" customWidth="1"/>
    <col min="4" max="4" width="3.7109375" style="78" customWidth="1"/>
    <col min="5" max="5" width="34.7109375" style="78" customWidth="1"/>
    <col min="6" max="7" width="14.7109375" style="78" customWidth="1"/>
    <col min="8" max="8" width="3.28515625" style="78" customWidth="1"/>
    <col min="9" max="16384" width="9.140625" style="78" hidden="1"/>
  </cols>
  <sheetData>
    <row r="1" spans="1:52" ht="25.5" customHeight="1" x14ac:dyDescent="0.25">
      <c r="A1" s="258" t="s">
        <v>1030</v>
      </c>
      <c r="B1" s="259"/>
      <c r="C1" s="259"/>
      <c r="D1" s="259"/>
      <c r="E1" s="259"/>
      <c r="F1" s="259"/>
      <c r="G1" s="259"/>
      <c r="H1" s="81"/>
      <c r="I1" s="83"/>
      <c r="J1" s="83"/>
      <c r="K1" s="83"/>
      <c r="L1" s="83"/>
      <c r="M1" s="83"/>
      <c r="N1" s="83"/>
      <c r="O1" s="83"/>
      <c r="P1" s="83"/>
      <c r="Q1" s="83"/>
      <c r="R1" s="83"/>
      <c r="S1" s="83"/>
      <c r="T1" s="83"/>
      <c r="U1" s="83"/>
      <c r="V1" s="83"/>
      <c r="W1" s="83"/>
      <c r="X1" s="83"/>
      <c r="Y1" s="83"/>
      <c r="Z1" s="83"/>
      <c r="AA1" s="82"/>
      <c r="AB1" s="82"/>
      <c r="AC1" s="82"/>
      <c r="AD1" s="82"/>
      <c r="AE1" s="82"/>
      <c r="AF1" s="82"/>
      <c r="AG1" s="82"/>
      <c r="AH1" s="82"/>
      <c r="AI1" s="82"/>
      <c r="AJ1" s="82"/>
      <c r="AK1" s="82"/>
      <c r="AL1" s="82"/>
      <c r="AM1" s="82"/>
      <c r="AN1" s="82"/>
      <c r="AO1" s="82"/>
      <c r="AP1" s="82"/>
      <c r="AQ1" s="82"/>
      <c r="AR1" s="82"/>
      <c r="AS1" s="82"/>
      <c r="AT1" s="82"/>
      <c r="AU1" s="82"/>
      <c r="AV1" s="82"/>
      <c r="AW1" s="82"/>
      <c r="AX1" s="82"/>
      <c r="AY1" s="82"/>
      <c r="AZ1" s="82"/>
    </row>
    <row r="2" spans="1:52" x14ac:dyDescent="0.25">
      <c r="A2" s="81"/>
      <c r="B2" s="81"/>
      <c r="C2" s="81"/>
      <c r="D2" s="81"/>
      <c r="E2" s="81"/>
      <c r="F2" s="81"/>
      <c r="G2" s="81"/>
      <c r="H2" s="81"/>
      <c r="I2" s="83"/>
      <c r="J2" s="83"/>
      <c r="K2" s="83"/>
      <c r="L2" s="83"/>
      <c r="M2" s="83"/>
      <c r="N2" s="83"/>
      <c r="O2" s="83"/>
      <c r="P2" s="83"/>
      <c r="Q2" s="83"/>
      <c r="R2" s="83"/>
      <c r="S2" s="83"/>
      <c r="T2" s="83"/>
      <c r="U2" s="83"/>
      <c r="V2" s="83"/>
      <c r="W2" s="83"/>
      <c r="X2" s="83"/>
      <c r="Y2" s="83"/>
      <c r="Z2" s="83"/>
      <c r="AA2" s="82"/>
      <c r="AB2" s="82"/>
      <c r="AC2" s="82"/>
      <c r="AD2" s="82"/>
      <c r="AE2" s="82"/>
      <c r="AF2" s="82"/>
      <c r="AG2" s="82"/>
      <c r="AH2" s="82"/>
      <c r="AI2" s="82"/>
      <c r="AJ2" s="82"/>
      <c r="AK2" s="82"/>
      <c r="AL2" s="82"/>
      <c r="AM2" s="82"/>
      <c r="AN2" s="82"/>
      <c r="AO2" s="82"/>
      <c r="AP2" s="82"/>
      <c r="AQ2" s="82"/>
      <c r="AR2" s="82"/>
      <c r="AS2" s="82"/>
      <c r="AT2" s="82"/>
      <c r="AU2" s="82"/>
      <c r="AV2" s="82"/>
      <c r="AW2" s="82"/>
      <c r="AX2" s="82"/>
      <c r="AY2" s="82"/>
      <c r="AZ2" s="82"/>
    </row>
    <row r="3" spans="1:52" x14ac:dyDescent="0.25">
      <c r="A3" s="152" t="s">
        <v>1</v>
      </c>
      <c r="B3" s="152" t="s">
        <v>1031</v>
      </c>
      <c r="C3" s="152" t="s">
        <v>1032</v>
      </c>
      <c r="D3" s="81"/>
      <c r="E3" s="260" t="s">
        <v>1033</v>
      </c>
      <c r="F3" s="260"/>
      <c r="G3" s="260"/>
      <c r="H3" s="81"/>
      <c r="I3" s="83"/>
      <c r="J3" s="83"/>
      <c r="K3" s="83"/>
      <c r="L3" s="83"/>
      <c r="M3" s="83"/>
      <c r="N3" s="83"/>
      <c r="O3" s="83"/>
      <c r="P3" s="83"/>
      <c r="Q3" s="83"/>
      <c r="R3" s="83"/>
      <c r="S3" s="83"/>
      <c r="T3" s="83"/>
      <c r="U3" s="83"/>
      <c r="V3" s="83"/>
      <c r="W3" s="83"/>
      <c r="X3" s="83"/>
      <c r="Y3" s="83"/>
      <c r="Z3" s="83"/>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row>
    <row r="4" spans="1:52" x14ac:dyDescent="0.25">
      <c r="A4" s="141" t="s">
        <v>23</v>
      </c>
      <c r="B4" s="243">
        <f>SUMIFS(Despesas!$T:$T,Despesas!$A:$A,A4)</f>
        <v>293.58458333333334</v>
      </c>
      <c r="C4" s="243">
        <f>SUMIFS(Despesas!$S:$S,Despesas!$A:$A,A4)</f>
        <v>3523.0149999999994</v>
      </c>
      <c r="D4" s="79"/>
      <c r="E4" s="152" t="s">
        <v>1034</v>
      </c>
      <c r="F4" s="152" t="s">
        <v>1035</v>
      </c>
      <c r="G4" s="152" t="s">
        <v>1036</v>
      </c>
      <c r="H4" s="81"/>
      <c r="I4" s="83"/>
      <c r="J4" s="83"/>
      <c r="K4" s="83"/>
      <c r="L4" s="83"/>
      <c r="M4" s="83"/>
      <c r="N4" s="83"/>
      <c r="O4" s="83"/>
      <c r="P4" s="83"/>
      <c r="Q4" s="83"/>
      <c r="R4" s="83"/>
      <c r="S4" s="83"/>
      <c r="T4" s="83"/>
      <c r="U4" s="83"/>
      <c r="V4" s="83"/>
      <c r="W4" s="83"/>
      <c r="X4" s="83"/>
      <c r="Y4" s="83"/>
      <c r="Z4" s="83"/>
      <c r="AA4" s="82"/>
      <c r="AB4" s="82"/>
      <c r="AC4" s="82"/>
      <c r="AD4" s="82"/>
      <c r="AE4" s="82"/>
      <c r="AF4" s="82"/>
      <c r="AG4" s="82"/>
      <c r="AH4" s="82"/>
      <c r="AI4" s="82"/>
      <c r="AJ4" s="82"/>
      <c r="AK4" s="82"/>
      <c r="AL4" s="82"/>
      <c r="AM4" s="82"/>
      <c r="AN4" s="82"/>
      <c r="AO4" s="82"/>
      <c r="AP4" s="82"/>
      <c r="AQ4" s="82"/>
      <c r="AR4" s="82"/>
      <c r="AS4" s="82"/>
      <c r="AT4" s="82"/>
      <c r="AU4" s="82"/>
      <c r="AV4" s="82"/>
      <c r="AW4" s="82"/>
      <c r="AX4" s="82"/>
      <c r="AY4" s="82"/>
      <c r="AZ4" s="82"/>
    </row>
    <row r="5" spans="1:52" x14ac:dyDescent="0.25">
      <c r="A5" s="142" t="s">
        <v>40</v>
      </c>
      <c r="B5" s="244">
        <f>SUMIFS(Despesas!$T:$T,Despesas!$A:$A,A5)</f>
        <v>272.59375</v>
      </c>
      <c r="C5" s="244">
        <f>SUMIFS(Despesas!$S:$S,Despesas!$A:$A,A5)</f>
        <v>3271.125</v>
      </c>
      <c r="D5" s="80"/>
      <c r="E5" s="154" t="s">
        <v>1037</v>
      </c>
      <c r="F5" s="255">
        <f>Config!B3</f>
        <v>0</v>
      </c>
      <c r="G5" s="255">
        <f>Config!C3</f>
        <v>0</v>
      </c>
      <c r="H5" s="80"/>
      <c r="I5" s="82"/>
      <c r="J5" s="82"/>
      <c r="K5" s="82"/>
      <c r="L5" s="82"/>
      <c r="M5" s="82"/>
      <c r="N5" s="82"/>
      <c r="O5" s="82"/>
      <c r="P5" s="82"/>
      <c r="Q5" s="82"/>
      <c r="R5" s="82"/>
      <c r="S5" s="82"/>
      <c r="T5" s="82"/>
      <c r="U5" s="82"/>
      <c r="V5" s="82"/>
      <c r="W5" s="82"/>
      <c r="X5" s="82"/>
      <c r="Y5" s="82"/>
      <c r="Z5" s="82"/>
      <c r="AA5" s="82"/>
      <c r="AB5" s="82"/>
      <c r="AC5" s="82"/>
      <c r="AD5" s="82"/>
      <c r="AE5" s="82"/>
      <c r="AF5" s="82"/>
      <c r="AG5" s="82"/>
      <c r="AH5" s="82"/>
      <c r="AI5" s="82"/>
      <c r="AJ5" s="82"/>
      <c r="AK5" s="82"/>
      <c r="AL5" s="82"/>
      <c r="AM5" s="82"/>
      <c r="AN5" s="82"/>
      <c r="AO5" s="82"/>
      <c r="AP5" s="82"/>
      <c r="AQ5" s="82"/>
      <c r="AR5" s="82"/>
      <c r="AS5" s="82"/>
      <c r="AT5" s="82"/>
      <c r="AU5" s="82"/>
      <c r="AV5" s="82"/>
      <c r="AW5" s="82"/>
      <c r="AX5" s="82"/>
      <c r="AY5" s="82"/>
      <c r="AZ5" s="82"/>
    </row>
    <row r="6" spans="1:52" x14ac:dyDescent="0.25">
      <c r="A6" s="143" t="s">
        <v>48</v>
      </c>
      <c r="B6" s="245">
        <f>SUMIFS(Despesas!$T:$T,Despesas!$A:$A,A6)</f>
        <v>518.56583333333333</v>
      </c>
      <c r="C6" s="245">
        <f>SUMIFS(Despesas!$S:$S,Despesas!$A:$A,A6)</f>
        <v>6222.79</v>
      </c>
      <c r="D6" s="80"/>
      <c r="E6" s="154" t="s">
        <v>1038</v>
      </c>
      <c r="F6" s="255">
        <f>Config!B4</f>
        <v>0</v>
      </c>
      <c r="G6" s="255">
        <f>Config!C4</f>
        <v>0</v>
      </c>
      <c r="H6" s="80"/>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row>
    <row r="7" spans="1:52" x14ac:dyDescent="0.25">
      <c r="A7" s="144" t="s">
        <v>61</v>
      </c>
      <c r="B7" s="246">
        <f>SUMIFS(Despesas!$T:$T,Despesas!$A:$A,A7)</f>
        <v>231.31083333333331</v>
      </c>
      <c r="C7" s="246">
        <f>SUMIFS(Despesas!$S:$S,Despesas!$A:$A,A7)</f>
        <v>2775.73</v>
      </c>
      <c r="D7" s="80"/>
      <c r="E7" s="154" t="s">
        <v>1039</v>
      </c>
      <c r="F7" s="255">
        <f>F5-F6</f>
        <v>0</v>
      </c>
      <c r="G7" s="255">
        <f>G5-G6</f>
        <v>0</v>
      </c>
      <c r="H7" s="80"/>
      <c r="I7" s="82"/>
      <c r="J7" s="82"/>
      <c r="K7" s="82"/>
      <c r="L7" s="82"/>
      <c r="M7" s="82"/>
      <c r="N7" s="82"/>
      <c r="O7" s="82"/>
      <c r="P7" s="82"/>
      <c r="Q7" s="82"/>
      <c r="R7" s="82"/>
      <c r="S7" s="82"/>
      <c r="T7" s="82"/>
      <c r="U7" s="82"/>
      <c r="V7" s="82"/>
      <c r="W7" s="82"/>
      <c r="X7" s="82"/>
      <c r="Y7" s="82"/>
      <c r="Z7" s="82"/>
      <c r="AA7" s="82"/>
      <c r="AB7" s="82"/>
      <c r="AC7" s="82"/>
      <c r="AD7" s="82"/>
      <c r="AE7" s="82"/>
      <c r="AF7" s="82"/>
      <c r="AG7" s="82"/>
      <c r="AH7" s="82"/>
      <c r="AI7" s="82"/>
      <c r="AJ7" s="82"/>
      <c r="AK7" s="82"/>
      <c r="AL7" s="82"/>
      <c r="AM7" s="82"/>
      <c r="AN7" s="82"/>
      <c r="AO7" s="82"/>
      <c r="AP7" s="82"/>
      <c r="AQ7" s="82"/>
      <c r="AR7" s="82"/>
      <c r="AS7" s="82"/>
      <c r="AT7" s="82"/>
      <c r="AU7" s="82"/>
      <c r="AV7" s="82"/>
      <c r="AW7" s="82"/>
      <c r="AX7" s="82"/>
      <c r="AY7" s="82"/>
      <c r="AZ7" s="82"/>
    </row>
    <row r="8" spans="1:52" x14ac:dyDescent="0.25">
      <c r="A8" s="145" t="s">
        <v>75</v>
      </c>
      <c r="B8" s="247">
        <f>SUMIFS(Despesas!$T:$T,Despesas!$A:$A,A8)</f>
        <v>114.005</v>
      </c>
      <c r="C8" s="247">
        <f>SUMIFS(Despesas!$S:$S,Despesas!$A:$A,A8)</f>
        <v>1368.06</v>
      </c>
      <c r="D8" s="80"/>
      <c r="E8" s="154" t="s">
        <v>1040</v>
      </c>
      <c r="F8" s="153">
        <f>IF(F7+G7=0,0,F7/(F7+G7))</f>
        <v>0</v>
      </c>
      <c r="G8" s="153">
        <f>IF(F7+G7=0,0,G7/(F7+G7))</f>
        <v>0</v>
      </c>
      <c r="H8" s="80"/>
      <c r="I8" s="82"/>
      <c r="J8" s="82"/>
      <c r="K8" s="82"/>
      <c r="L8" s="82"/>
      <c r="M8" s="82"/>
      <c r="N8" s="82"/>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c r="AY8" s="82"/>
      <c r="AZ8" s="82"/>
    </row>
    <row r="9" spans="1:52" x14ac:dyDescent="0.25">
      <c r="A9" s="146" t="s">
        <v>81</v>
      </c>
      <c r="B9" s="248">
        <f>SUMIFS(Despesas!$T:$T,Despesas!$A:$A,A9)</f>
        <v>98.971666666666664</v>
      </c>
      <c r="C9" s="248">
        <f>SUMIFS(Despesas!$S:$S,Despesas!$A:$A,A9)</f>
        <v>1187.6599999999999</v>
      </c>
      <c r="D9" s="80"/>
      <c r="E9" s="154" t="s">
        <v>1041</v>
      </c>
      <c r="F9" s="255">
        <f>$B$14*F8</f>
        <v>0</v>
      </c>
      <c r="G9" s="255">
        <f>$B$14*G8</f>
        <v>0</v>
      </c>
      <c r="H9" s="80"/>
      <c r="I9" s="82"/>
      <c r="J9" s="82"/>
      <c r="K9" s="82"/>
      <c r="L9" s="82"/>
      <c r="M9" s="82"/>
      <c r="N9" s="82"/>
      <c r="O9" s="82"/>
      <c r="P9" s="82"/>
      <c r="Q9" s="82"/>
      <c r="R9" s="82"/>
      <c r="S9" s="82"/>
      <c r="T9" s="82"/>
      <c r="U9" s="82"/>
      <c r="V9" s="82"/>
      <c r="W9" s="82"/>
      <c r="X9" s="82"/>
      <c r="Y9" s="82"/>
      <c r="Z9" s="82"/>
      <c r="AA9" s="82"/>
      <c r="AB9" s="82"/>
      <c r="AC9" s="82"/>
      <c r="AD9" s="82"/>
      <c r="AE9" s="82"/>
      <c r="AF9" s="82"/>
      <c r="AG9" s="82"/>
      <c r="AH9" s="82"/>
      <c r="AI9" s="82"/>
      <c r="AJ9" s="82"/>
      <c r="AK9" s="82"/>
      <c r="AL9" s="82"/>
      <c r="AM9" s="82"/>
      <c r="AN9" s="82"/>
      <c r="AO9" s="82"/>
      <c r="AP9" s="82"/>
      <c r="AQ9" s="82"/>
      <c r="AR9" s="82"/>
      <c r="AS9" s="82"/>
      <c r="AT9" s="82"/>
      <c r="AU9" s="82"/>
      <c r="AV9" s="82"/>
      <c r="AW9" s="82"/>
      <c r="AX9" s="82"/>
      <c r="AY9" s="82"/>
      <c r="AZ9" s="82"/>
    </row>
    <row r="10" spans="1:52" x14ac:dyDescent="0.25">
      <c r="A10" s="147" t="s">
        <v>89</v>
      </c>
      <c r="B10" s="249">
        <f>SUMIFS(Despesas!$T:$T,Despesas!$A:$A,A10)</f>
        <v>26.59</v>
      </c>
      <c r="C10" s="249">
        <f>SUMIFS(Despesas!$S:$S,Despesas!$A:$A,A10)</f>
        <v>319.08</v>
      </c>
      <c r="D10" s="80"/>
      <c r="E10" s="80"/>
      <c r="F10" s="80"/>
      <c r="G10" s="80"/>
      <c r="H10" s="80"/>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2"/>
      <c r="AW10" s="82"/>
      <c r="AX10" s="82"/>
      <c r="AY10" s="82"/>
      <c r="AZ10" s="82"/>
    </row>
    <row r="11" spans="1:52" x14ac:dyDescent="0.25">
      <c r="A11" s="148" t="s">
        <v>95</v>
      </c>
      <c r="B11" s="250">
        <f>SUMIFS(Despesas!$T:$T,Despesas!$A:$A,A11)</f>
        <v>0</v>
      </c>
      <c r="C11" s="250">
        <f>SUMIFS(Despesas!$S:$S,Despesas!$A:$A,A11)</f>
        <v>0</v>
      </c>
      <c r="D11" s="80"/>
      <c r="E11" s="80"/>
      <c r="F11" s="80"/>
      <c r="G11" s="80"/>
      <c r="H11" s="80"/>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row>
    <row r="12" spans="1:52" x14ac:dyDescent="0.25">
      <c r="A12" s="149" t="s">
        <v>100</v>
      </c>
      <c r="B12" s="251">
        <f>SUMIFS(Despesas!$T:$T,Despesas!$A:$A,A12)</f>
        <v>46.500833333333333</v>
      </c>
      <c r="C12" s="251">
        <f>SUMIFS(Despesas!$S:$S,Despesas!$A:$A,A12)</f>
        <v>558.01</v>
      </c>
      <c r="D12" s="80"/>
      <c r="E12" s="80"/>
      <c r="F12" s="80"/>
      <c r="G12" s="80"/>
      <c r="H12" s="80"/>
      <c r="I12" s="82"/>
      <c r="J12" s="82"/>
      <c r="K12" s="82"/>
      <c r="L12" s="82"/>
      <c r="M12" s="82"/>
      <c r="N12" s="82"/>
      <c r="O12" s="82"/>
      <c r="P12" s="82"/>
      <c r="Q12" s="82"/>
      <c r="R12" s="82"/>
      <c r="S12" s="82"/>
      <c r="T12" s="82"/>
      <c r="U12" s="82"/>
      <c r="V12" s="82"/>
      <c r="W12" s="82"/>
      <c r="X12" s="82"/>
      <c r="Y12" s="82"/>
      <c r="Z12" s="82"/>
      <c r="AA12" s="82"/>
      <c r="AB12" s="82"/>
      <c r="AC12" s="82"/>
      <c r="AD12" s="82"/>
      <c r="AE12" s="82"/>
      <c r="AF12" s="82"/>
      <c r="AG12" s="82"/>
      <c r="AH12" s="82"/>
      <c r="AI12" s="82"/>
      <c r="AJ12" s="82"/>
      <c r="AK12" s="82"/>
      <c r="AL12" s="82"/>
      <c r="AM12" s="82"/>
      <c r="AN12" s="82"/>
      <c r="AO12" s="82"/>
      <c r="AP12" s="82"/>
      <c r="AQ12" s="82"/>
      <c r="AR12" s="82"/>
      <c r="AS12" s="82"/>
      <c r="AT12" s="82"/>
      <c r="AU12" s="82"/>
      <c r="AV12" s="82"/>
      <c r="AW12" s="82"/>
      <c r="AX12" s="82"/>
      <c r="AY12" s="82"/>
      <c r="AZ12" s="82"/>
    </row>
    <row r="13" spans="1:52" x14ac:dyDescent="0.25">
      <c r="A13" s="150" t="s">
        <v>107</v>
      </c>
      <c r="B13" s="252">
        <f>SUMIFS(Despesas!$T:$T,Despesas!$A:$A,A13)</f>
        <v>0</v>
      </c>
      <c r="C13" s="252">
        <f>SUMIFS(Despesas!$S:$S,Despesas!$A:$A,A13)</f>
        <v>0</v>
      </c>
      <c r="D13" s="80"/>
      <c r="E13" s="80"/>
      <c r="F13" s="80"/>
      <c r="G13" s="80"/>
      <c r="H13" s="80"/>
      <c r="I13" s="82"/>
      <c r="J13" s="82"/>
      <c r="K13" s="82"/>
      <c r="L13" s="82"/>
      <c r="M13" s="82"/>
      <c r="N13" s="82"/>
      <c r="O13" s="82"/>
      <c r="P13" s="82"/>
      <c r="Q13" s="82"/>
      <c r="R13" s="82"/>
      <c r="S13" s="82"/>
      <c r="T13" s="82"/>
      <c r="U13" s="82"/>
      <c r="V13" s="82"/>
      <c r="W13" s="82"/>
      <c r="X13" s="82"/>
      <c r="Y13" s="82"/>
      <c r="Z13" s="82"/>
      <c r="AA13" s="82"/>
      <c r="AB13" s="82"/>
      <c r="AC13" s="82"/>
      <c r="AD13" s="82"/>
      <c r="AE13" s="82"/>
      <c r="AF13" s="82"/>
      <c r="AG13" s="82"/>
      <c r="AH13" s="82"/>
      <c r="AI13" s="82"/>
      <c r="AJ13" s="82"/>
      <c r="AK13" s="82"/>
      <c r="AL13" s="82"/>
      <c r="AM13" s="82"/>
      <c r="AN13" s="82"/>
      <c r="AO13" s="82"/>
      <c r="AP13" s="82"/>
      <c r="AQ13" s="82"/>
      <c r="AR13" s="82"/>
      <c r="AS13" s="82"/>
      <c r="AT13" s="82"/>
      <c r="AU13" s="82"/>
      <c r="AV13" s="82"/>
      <c r="AW13" s="82"/>
      <c r="AX13" s="82"/>
      <c r="AY13" s="82"/>
      <c r="AZ13" s="82"/>
    </row>
    <row r="14" spans="1:52" x14ac:dyDescent="0.25">
      <c r="A14" s="151" t="s">
        <v>1042</v>
      </c>
      <c r="B14" s="253">
        <f>SUM(B4:B13)</f>
        <v>1602.1224999999997</v>
      </c>
      <c r="C14" s="254">
        <f>SUM(C4:C13)</f>
        <v>19225.47</v>
      </c>
      <c r="D14" s="80"/>
      <c r="E14" s="80"/>
      <c r="F14" s="80"/>
      <c r="G14" s="80"/>
      <c r="H14" s="80"/>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c r="AV14" s="82"/>
      <c r="AW14" s="82"/>
      <c r="AX14" s="82"/>
      <c r="AY14" s="82"/>
      <c r="AZ14" s="82"/>
    </row>
    <row r="15" spans="1:52" x14ac:dyDescent="0.25">
      <c r="A15" s="80"/>
      <c r="B15" s="80"/>
      <c r="C15" s="80"/>
      <c r="D15" s="80"/>
      <c r="E15" s="80"/>
      <c r="F15" s="80"/>
      <c r="G15" s="80"/>
      <c r="H15" s="80"/>
      <c r="I15" s="82"/>
      <c r="J15" s="82"/>
      <c r="K15" s="82"/>
      <c r="L15" s="82"/>
      <c r="M15" s="82"/>
      <c r="N15" s="82"/>
      <c r="O15" s="82"/>
      <c r="P15" s="82"/>
      <c r="Q15" s="82"/>
      <c r="R15" s="82"/>
      <c r="S15" s="82"/>
      <c r="T15" s="82"/>
      <c r="U15" s="82"/>
      <c r="V15" s="82"/>
      <c r="W15" s="82"/>
      <c r="X15" s="82"/>
      <c r="Y15" s="82"/>
      <c r="Z15" s="82"/>
      <c r="AA15" s="82"/>
      <c r="AB15" s="82"/>
      <c r="AC15" s="82"/>
      <c r="AD15" s="82"/>
      <c r="AE15" s="82"/>
      <c r="AF15" s="82"/>
      <c r="AG15" s="82"/>
      <c r="AH15" s="82"/>
      <c r="AI15" s="82"/>
      <c r="AJ15" s="82"/>
      <c r="AK15" s="82"/>
      <c r="AL15" s="82"/>
      <c r="AM15" s="82"/>
      <c r="AN15" s="82"/>
      <c r="AO15" s="82"/>
      <c r="AP15" s="82"/>
      <c r="AQ15" s="82"/>
      <c r="AR15" s="82"/>
      <c r="AS15" s="82"/>
      <c r="AT15" s="82"/>
      <c r="AU15" s="82"/>
      <c r="AV15" s="82"/>
      <c r="AW15" s="82"/>
      <c r="AX15" s="82"/>
      <c r="AY15" s="82"/>
      <c r="AZ15" s="82"/>
    </row>
    <row r="16" spans="1:52" x14ac:dyDescent="0.25">
      <c r="A16" s="80"/>
      <c r="B16" s="80"/>
      <c r="C16" s="80"/>
      <c r="D16" s="80"/>
      <c r="E16" s="80"/>
      <c r="F16" s="80"/>
      <c r="G16" s="80"/>
      <c r="H16" s="80"/>
      <c r="I16" s="82"/>
      <c r="J16" s="82"/>
      <c r="K16" s="82"/>
      <c r="L16" s="82"/>
      <c r="M16" s="82"/>
      <c r="N16" s="82"/>
      <c r="O16" s="82"/>
      <c r="P16" s="82"/>
      <c r="Q16" s="82"/>
      <c r="R16" s="82"/>
      <c r="S16" s="82"/>
      <c r="T16" s="82"/>
      <c r="U16" s="82"/>
      <c r="V16" s="82"/>
      <c r="W16" s="82"/>
      <c r="X16" s="82"/>
      <c r="Y16" s="82"/>
      <c r="Z16" s="82"/>
      <c r="AA16" s="82"/>
      <c r="AB16" s="82"/>
      <c r="AC16" s="82"/>
      <c r="AD16" s="82"/>
      <c r="AE16" s="82"/>
      <c r="AF16" s="82"/>
      <c r="AG16" s="82"/>
      <c r="AH16" s="82"/>
      <c r="AI16" s="82"/>
      <c r="AJ16" s="82"/>
      <c r="AK16" s="82"/>
      <c r="AL16" s="82"/>
      <c r="AM16" s="82"/>
      <c r="AN16" s="82"/>
      <c r="AO16" s="82"/>
      <c r="AP16" s="82"/>
      <c r="AQ16" s="82"/>
      <c r="AR16" s="82"/>
      <c r="AS16" s="82"/>
      <c r="AT16" s="82"/>
      <c r="AU16" s="82"/>
      <c r="AV16" s="82"/>
      <c r="AW16" s="82"/>
      <c r="AX16" s="82"/>
      <c r="AY16" s="82"/>
      <c r="AZ16" s="82"/>
    </row>
    <row r="17" spans="1:52" x14ac:dyDescent="0.25">
      <c r="A17" s="80"/>
      <c r="B17" s="80"/>
      <c r="C17" s="80"/>
      <c r="D17" s="80"/>
      <c r="E17" s="80"/>
      <c r="F17" s="80"/>
      <c r="G17" s="80"/>
      <c r="H17" s="80"/>
      <c r="I17" s="82"/>
      <c r="J17" s="82"/>
      <c r="K17" s="82"/>
      <c r="L17" s="82"/>
      <c r="M17" s="82"/>
      <c r="N17" s="82"/>
      <c r="O17" s="82"/>
      <c r="P17" s="82"/>
      <c r="Q17" s="82"/>
      <c r="R17" s="82"/>
      <c r="S17" s="82"/>
      <c r="T17" s="82"/>
      <c r="U17" s="82"/>
      <c r="V17" s="82"/>
      <c r="W17" s="82"/>
      <c r="X17" s="82"/>
      <c r="Y17" s="82"/>
      <c r="Z17" s="82"/>
      <c r="AA17" s="82"/>
      <c r="AB17" s="82"/>
      <c r="AC17" s="82"/>
      <c r="AD17" s="82"/>
      <c r="AE17" s="82"/>
      <c r="AF17" s="82"/>
      <c r="AG17" s="82"/>
      <c r="AH17" s="82"/>
      <c r="AI17" s="82"/>
      <c r="AJ17" s="82"/>
      <c r="AK17" s="82"/>
      <c r="AL17" s="82"/>
      <c r="AM17" s="82"/>
      <c r="AN17" s="82"/>
      <c r="AO17" s="82"/>
      <c r="AP17" s="82"/>
      <c r="AQ17" s="82"/>
      <c r="AR17" s="82"/>
      <c r="AS17" s="82"/>
      <c r="AT17" s="82"/>
      <c r="AU17" s="82"/>
      <c r="AV17" s="82"/>
      <c r="AW17" s="82"/>
      <c r="AX17" s="82"/>
      <c r="AY17" s="82"/>
      <c r="AZ17" s="82"/>
    </row>
    <row r="18" spans="1:52" x14ac:dyDescent="0.25">
      <c r="A18" s="80"/>
      <c r="B18" s="80"/>
      <c r="C18" s="80"/>
      <c r="D18" s="80"/>
      <c r="E18" s="80"/>
      <c r="F18" s="80"/>
      <c r="G18" s="80"/>
      <c r="H18" s="80"/>
      <c r="I18" s="82"/>
      <c r="J18" s="82"/>
      <c r="K18" s="82"/>
      <c r="L18" s="82"/>
      <c r="M18" s="82"/>
      <c r="N18" s="82"/>
      <c r="O18" s="82"/>
      <c r="P18" s="82"/>
      <c r="Q18" s="82"/>
      <c r="R18" s="82"/>
      <c r="S18" s="82"/>
      <c r="T18" s="82"/>
      <c r="U18" s="82"/>
      <c r="V18" s="82"/>
      <c r="W18" s="82"/>
      <c r="X18" s="82"/>
      <c r="Y18" s="82"/>
      <c r="Z18" s="82"/>
      <c r="AA18" s="82"/>
      <c r="AB18" s="82"/>
      <c r="AC18" s="82"/>
      <c r="AD18" s="82"/>
      <c r="AE18" s="82"/>
      <c r="AF18" s="82"/>
      <c r="AG18" s="82"/>
      <c r="AH18" s="82"/>
      <c r="AI18" s="82"/>
      <c r="AJ18" s="82"/>
      <c r="AK18" s="82"/>
      <c r="AL18" s="82"/>
      <c r="AM18" s="82"/>
      <c r="AN18" s="82"/>
      <c r="AO18" s="82"/>
      <c r="AP18" s="82"/>
      <c r="AQ18" s="82"/>
      <c r="AR18" s="82"/>
      <c r="AS18" s="82"/>
      <c r="AT18" s="82"/>
      <c r="AU18" s="82"/>
      <c r="AV18" s="82"/>
      <c r="AW18" s="82"/>
      <c r="AX18" s="82"/>
      <c r="AY18" s="82"/>
      <c r="AZ18" s="82"/>
    </row>
    <row r="19" spans="1:52" hidden="1" x14ac:dyDescent="0.25">
      <c r="A19" s="82"/>
      <c r="B19" s="82"/>
      <c r="C19" s="82"/>
      <c r="D19" s="82"/>
      <c r="E19" s="82"/>
      <c r="F19" s="82"/>
      <c r="G19" s="82"/>
      <c r="H19" s="82"/>
      <c r="I19" s="82"/>
      <c r="J19" s="82"/>
      <c r="K19" s="82"/>
      <c r="L19" s="82"/>
      <c r="M19" s="82"/>
      <c r="N19" s="82"/>
      <c r="O19" s="82"/>
      <c r="P19" s="82"/>
      <c r="Q19" s="82"/>
      <c r="R19" s="82"/>
      <c r="S19" s="82"/>
      <c r="T19" s="82"/>
      <c r="U19" s="82"/>
      <c r="V19" s="82"/>
      <c r="W19" s="82"/>
      <c r="X19" s="82"/>
      <c r="Y19" s="82"/>
      <c r="Z19" s="82"/>
      <c r="AA19" s="82"/>
      <c r="AB19" s="82"/>
      <c r="AC19" s="82"/>
      <c r="AD19" s="82"/>
      <c r="AE19" s="82"/>
      <c r="AF19" s="82"/>
      <c r="AG19" s="82"/>
      <c r="AH19" s="82"/>
      <c r="AI19" s="82"/>
      <c r="AJ19" s="82"/>
      <c r="AK19" s="82"/>
      <c r="AL19" s="82"/>
      <c r="AM19" s="82"/>
      <c r="AN19" s="82"/>
      <c r="AO19" s="82"/>
      <c r="AP19" s="82"/>
      <c r="AQ19" s="82"/>
      <c r="AR19" s="82"/>
      <c r="AS19" s="82"/>
      <c r="AT19" s="82"/>
      <c r="AU19" s="82"/>
      <c r="AV19" s="82"/>
      <c r="AW19" s="82"/>
      <c r="AX19" s="82"/>
      <c r="AY19" s="82"/>
      <c r="AZ19" s="82"/>
    </row>
    <row r="20" spans="1:52" hidden="1" x14ac:dyDescent="0.25">
      <c r="A20" s="82"/>
      <c r="B20" s="82"/>
      <c r="C20" s="82"/>
      <c r="D20" s="82"/>
      <c r="E20" s="82"/>
      <c r="F20" s="82"/>
      <c r="G20" s="82"/>
      <c r="H20" s="82"/>
      <c r="I20" s="82"/>
      <c r="J20" s="82"/>
      <c r="K20" s="82"/>
      <c r="L20" s="82"/>
      <c r="M20" s="82"/>
      <c r="N20" s="82"/>
      <c r="O20" s="82"/>
      <c r="P20" s="82"/>
      <c r="Q20" s="82"/>
      <c r="R20" s="82"/>
      <c r="S20" s="82"/>
      <c r="T20" s="82"/>
      <c r="U20" s="82"/>
      <c r="V20" s="82"/>
      <c r="W20" s="82"/>
      <c r="X20" s="82"/>
      <c r="Y20" s="82"/>
      <c r="Z20" s="82"/>
      <c r="AA20" s="82"/>
      <c r="AB20" s="82"/>
      <c r="AC20" s="82"/>
      <c r="AD20" s="82"/>
      <c r="AE20" s="82"/>
      <c r="AF20" s="82"/>
      <c r="AG20" s="82"/>
      <c r="AH20" s="82"/>
      <c r="AI20" s="82"/>
      <c r="AJ20" s="82"/>
      <c r="AK20" s="82"/>
      <c r="AL20" s="82"/>
      <c r="AM20" s="82"/>
      <c r="AN20" s="82"/>
      <c r="AO20" s="82"/>
      <c r="AP20" s="82"/>
      <c r="AQ20" s="82"/>
      <c r="AR20" s="82"/>
      <c r="AS20" s="82"/>
      <c r="AT20" s="82"/>
      <c r="AU20" s="82"/>
      <c r="AV20" s="82"/>
      <c r="AW20" s="82"/>
      <c r="AX20" s="82"/>
      <c r="AY20" s="82"/>
      <c r="AZ20" s="82"/>
    </row>
    <row r="21" spans="1:52" hidden="1" x14ac:dyDescent="0.25">
      <c r="A21" s="82"/>
      <c r="B21" s="82"/>
      <c r="C21" s="82"/>
      <c r="D21" s="82"/>
      <c r="E21" s="82"/>
      <c r="F21" s="82"/>
      <c r="G21" s="82"/>
      <c r="H21" s="82"/>
      <c r="I21" s="82"/>
      <c r="J21" s="82"/>
      <c r="K21" s="82"/>
      <c r="L21" s="82"/>
      <c r="M21" s="82"/>
      <c r="N21" s="82"/>
      <c r="O21" s="82"/>
      <c r="P21" s="82"/>
      <c r="Q21" s="82"/>
      <c r="R21" s="82"/>
      <c r="S21" s="82"/>
      <c r="T21" s="82"/>
      <c r="U21" s="82"/>
      <c r="V21" s="82"/>
      <c r="W21" s="82"/>
      <c r="X21" s="82"/>
      <c r="Y21" s="82"/>
      <c r="Z21" s="82"/>
      <c r="AA21" s="82"/>
      <c r="AB21" s="82"/>
      <c r="AC21" s="82"/>
      <c r="AD21" s="82"/>
      <c r="AE21" s="82"/>
      <c r="AF21" s="82"/>
      <c r="AG21" s="82"/>
      <c r="AH21" s="82"/>
      <c r="AI21" s="82"/>
      <c r="AJ21" s="82"/>
      <c r="AK21" s="82"/>
      <c r="AL21" s="82"/>
      <c r="AM21" s="82"/>
      <c r="AN21" s="82"/>
      <c r="AO21" s="82"/>
      <c r="AP21" s="82"/>
      <c r="AQ21" s="82"/>
      <c r="AR21" s="82"/>
      <c r="AS21" s="82"/>
      <c r="AT21" s="82"/>
      <c r="AU21" s="82"/>
      <c r="AV21" s="82"/>
      <c r="AW21" s="82"/>
      <c r="AX21" s="82"/>
      <c r="AY21" s="82"/>
      <c r="AZ21" s="82"/>
    </row>
    <row r="22" spans="1:52" hidden="1" x14ac:dyDescent="0.25">
      <c r="A22" s="82"/>
      <c r="B22" s="82"/>
      <c r="C22" s="82"/>
      <c r="D22" s="82"/>
      <c r="E22" s="82"/>
      <c r="F22" s="82"/>
      <c r="G22" s="82"/>
      <c r="H22" s="82"/>
      <c r="I22" s="82"/>
      <c r="J22" s="82"/>
      <c r="K22" s="82"/>
      <c r="L22" s="82"/>
      <c r="M22" s="82"/>
      <c r="N22" s="82"/>
      <c r="O22" s="82"/>
      <c r="P22" s="82"/>
      <c r="Q22" s="82"/>
      <c r="R22" s="82"/>
      <c r="S22" s="82"/>
      <c r="T22" s="82"/>
      <c r="U22" s="82"/>
      <c r="V22" s="82"/>
      <c r="W22" s="82"/>
      <c r="X22" s="82"/>
      <c r="Y22" s="82"/>
      <c r="Z22" s="82"/>
      <c r="AA22" s="82"/>
      <c r="AB22" s="82"/>
      <c r="AC22" s="82"/>
      <c r="AD22" s="82"/>
      <c r="AE22" s="82"/>
      <c r="AF22" s="82"/>
      <c r="AG22" s="82"/>
      <c r="AH22" s="82"/>
      <c r="AI22" s="82"/>
      <c r="AJ22" s="82"/>
      <c r="AK22" s="82"/>
      <c r="AL22" s="82"/>
      <c r="AM22" s="82"/>
      <c r="AN22" s="82"/>
      <c r="AO22" s="82"/>
      <c r="AP22" s="82"/>
      <c r="AQ22" s="82"/>
      <c r="AR22" s="82"/>
      <c r="AS22" s="82"/>
      <c r="AT22" s="82"/>
      <c r="AU22" s="82"/>
      <c r="AV22" s="82"/>
      <c r="AW22" s="82"/>
      <c r="AX22" s="82"/>
      <c r="AY22" s="82"/>
      <c r="AZ22" s="82"/>
    </row>
    <row r="23" spans="1:52" hidden="1" x14ac:dyDescent="0.25">
      <c r="A23" s="82"/>
      <c r="B23" s="82"/>
      <c r="C23" s="82"/>
      <c r="D23" s="82"/>
      <c r="E23" s="82"/>
      <c r="F23" s="82"/>
      <c r="G23" s="82"/>
      <c r="H23" s="82"/>
      <c r="I23" s="82"/>
      <c r="J23" s="82"/>
      <c r="K23" s="82"/>
      <c r="L23" s="82"/>
      <c r="M23" s="82"/>
      <c r="N23" s="82"/>
      <c r="O23" s="82"/>
      <c r="P23" s="82"/>
      <c r="Q23" s="82"/>
      <c r="R23" s="82"/>
      <c r="S23" s="8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c r="AX23" s="82"/>
      <c r="AY23" s="82"/>
      <c r="AZ23" s="82"/>
    </row>
    <row r="24" spans="1:52" hidden="1" x14ac:dyDescent="0.25">
      <c r="A24" s="82"/>
      <c r="B24" s="82"/>
      <c r="C24" s="82"/>
      <c r="D24" s="82"/>
      <c r="E24" s="82"/>
      <c r="F24" s="82"/>
      <c r="G24" s="82"/>
      <c r="H24" s="82"/>
      <c r="I24" s="82"/>
      <c r="J24" s="82"/>
      <c r="K24" s="82"/>
      <c r="L24" s="82"/>
      <c r="M24" s="82"/>
      <c r="N24" s="82"/>
      <c r="O24" s="82"/>
      <c r="P24" s="82"/>
      <c r="Q24" s="82"/>
      <c r="R24" s="82"/>
      <c r="S24" s="82"/>
      <c r="T24" s="82"/>
      <c r="U24" s="82"/>
      <c r="V24" s="82"/>
      <c r="W24" s="82"/>
      <c r="X24" s="82"/>
      <c r="Y24" s="82"/>
      <c r="Z24" s="82"/>
      <c r="AA24" s="82"/>
      <c r="AB24" s="82"/>
      <c r="AC24" s="82"/>
      <c r="AD24" s="82"/>
      <c r="AE24" s="82"/>
      <c r="AF24" s="82"/>
      <c r="AG24" s="82"/>
      <c r="AH24" s="82"/>
      <c r="AI24" s="82"/>
      <c r="AJ24" s="82"/>
      <c r="AK24" s="82"/>
      <c r="AL24" s="82"/>
      <c r="AM24" s="82"/>
      <c r="AN24" s="82"/>
      <c r="AO24" s="82"/>
      <c r="AP24" s="82"/>
      <c r="AQ24" s="82"/>
      <c r="AR24" s="82"/>
      <c r="AS24" s="82"/>
      <c r="AT24" s="82"/>
      <c r="AU24" s="82"/>
      <c r="AV24" s="82"/>
      <c r="AW24" s="82"/>
      <c r="AX24" s="82"/>
      <c r="AY24" s="82"/>
      <c r="AZ24" s="82"/>
    </row>
    <row r="25" spans="1:52" hidden="1" x14ac:dyDescent="0.25">
      <c r="A25" s="82"/>
      <c r="B25" s="82"/>
      <c r="C25" s="82"/>
      <c r="D25" s="82"/>
      <c r="E25" s="82"/>
      <c r="F25" s="82"/>
      <c r="G25" s="82"/>
      <c r="H25" s="82"/>
      <c r="I25" s="82"/>
      <c r="J25" s="82"/>
      <c r="K25" s="82"/>
      <c r="L25" s="82"/>
      <c r="M25" s="82"/>
      <c r="N25" s="82"/>
      <c r="O25" s="82"/>
      <c r="P25" s="82"/>
      <c r="Q25" s="82"/>
      <c r="R25" s="82"/>
      <c r="S25" s="8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c r="AX25" s="82"/>
      <c r="AY25" s="82"/>
      <c r="AZ25" s="82"/>
    </row>
    <row r="26" spans="1:52" hidden="1" x14ac:dyDescent="0.25">
      <c r="A26" s="82"/>
      <c r="B26" s="82"/>
      <c r="C26" s="82"/>
      <c r="D26" s="82"/>
      <c r="E26" s="82"/>
      <c r="F26" s="82"/>
      <c r="G26" s="82"/>
      <c r="H26" s="82"/>
      <c r="I26" s="82"/>
      <c r="J26" s="82"/>
      <c r="K26" s="82"/>
      <c r="L26" s="82"/>
      <c r="M26" s="82"/>
      <c r="N26" s="82"/>
      <c r="O26" s="82"/>
      <c r="P26" s="82"/>
      <c r="Q26" s="82"/>
      <c r="R26" s="82"/>
      <c r="S26" s="82"/>
      <c r="T26" s="82"/>
      <c r="U26" s="82"/>
      <c r="V26" s="82"/>
      <c r="W26" s="82"/>
      <c r="X26" s="82"/>
      <c r="Y26" s="82"/>
      <c r="Z26" s="82"/>
      <c r="AA26" s="82"/>
      <c r="AB26" s="82"/>
      <c r="AC26" s="82"/>
      <c r="AD26" s="82"/>
      <c r="AE26" s="82"/>
      <c r="AF26" s="82"/>
      <c r="AG26" s="82"/>
      <c r="AH26" s="82"/>
      <c r="AI26" s="82"/>
      <c r="AJ26" s="82"/>
      <c r="AK26" s="82"/>
      <c r="AL26" s="82"/>
      <c r="AM26" s="82"/>
      <c r="AN26" s="82"/>
      <c r="AO26" s="82"/>
      <c r="AP26" s="82"/>
      <c r="AQ26" s="82"/>
      <c r="AR26" s="82"/>
      <c r="AS26" s="82"/>
      <c r="AT26" s="82"/>
      <c r="AU26" s="82"/>
      <c r="AV26" s="82"/>
      <c r="AW26" s="82"/>
      <c r="AX26" s="82"/>
      <c r="AY26" s="82"/>
      <c r="AZ26" s="82"/>
    </row>
    <row r="27" spans="1:52" hidden="1" x14ac:dyDescent="0.25">
      <c r="A27" s="82"/>
      <c r="B27" s="82"/>
      <c r="C27" s="82"/>
      <c r="D27" s="82"/>
      <c r="E27" s="82"/>
      <c r="F27" s="82"/>
      <c r="G27" s="82"/>
      <c r="H27" s="82"/>
      <c r="I27" s="82"/>
      <c r="J27" s="82"/>
      <c r="K27" s="82"/>
      <c r="L27" s="82"/>
      <c r="M27" s="82"/>
      <c r="N27" s="82"/>
      <c r="O27" s="82"/>
      <c r="P27" s="82"/>
      <c r="Q27" s="82"/>
      <c r="R27" s="82"/>
      <c r="S27" s="82"/>
      <c r="T27" s="82"/>
      <c r="U27" s="82"/>
      <c r="V27" s="82"/>
      <c r="W27" s="82"/>
      <c r="X27" s="82"/>
      <c r="Y27" s="82"/>
      <c r="Z27" s="82"/>
      <c r="AA27" s="82"/>
      <c r="AB27" s="82"/>
      <c r="AC27" s="82"/>
      <c r="AD27" s="82"/>
      <c r="AE27" s="82"/>
      <c r="AF27" s="82"/>
      <c r="AG27" s="82"/>
      <c r="AH27" s="82"/>
      <c r="AI27" s="82"/>
      <c r="AJ27" s="82"/>
      <c r="AK27" s="82"/>
      <c r="AL27" s="82"/>
      <c r="AM27" s="82"/>
      <c r="AN27" s="82"/>
      <c r="AO27" s="82"/>
      <c r="AP27" s="82"/>
      <c r="AQ27" s="82"/>
      <c r="AR27" s="82"/>
      <c r="AS27" s="82"/>
      <c r="AT27" s="82"/>
      <c r="AU27" s="82"/>
      <c r="AV27" s="82"/>
      <c r="AW27" s="82"/>
      <c r="AX27" s="82"/>
      <c r="AY27" s="82"/>
      <c r="AZ27" s="82"/>
    </row>
    <row r="28" spans="1:52" hidden="1" x14ac:dyDescent="0.25">
      <c r="A28" s="82"/>
      <c r="B28" s="82"/>
      <c r="C28" s="82"/>
      <c r="D28" s="82"/>
      <c r="E28" s="82"/>
      <c r="F28" s="82"/>
      <c r="G28" s="82"/>
      <c r="H28" s="82"/>
      <c r="I28" s="82"/>
      <c r="J28" s="82"/>
      <c r="K28" s="82"/>
      <c r="L28" s="82"/>
      <c r="M28" s="82"/>
      <c r="N28" s="82"/>
      <c r="O28" s="82"/>
      <c r="P28" s="82"/>
      <c r="Q28" s="82"/>
      <c r="R28" s="82"/>
      <c r="S28" s="82"/>
      <c r="T28" s="82"/>
      <c r="U28" s="82"/>
      <c r="V28" s="82"/>
      <c r="W28" s="82"/>
      <c r="X28" s="82"/>
      <c r="Y28" s="82"/>
      <c r="Z28" s="82"/>
      <c r="AA28" s="82"/>
      <c r="AB28" s="82"/>
      <c r="AC28" s="82"/>
      <c r="AD28" s="82"/>
      <c r="AE28" s="82"/>
      <c r="AF28" s="82"/>
      <c r="AG28" s="82"/>
      <c r="AH28" s="82"/>
      <c r="AI28" s="82"/>
      <c r="AJ28" s="82"/>
      <c r="AK28" s="82"/>
      <c r="AL28" s="82"/>
      <c r="AM28" s="82"/>
      <c r="AN28" s="82"/>
      <c r="AO28" s="82"/>
      <c r="AP28" s="82"/>
      <c r="AQ28" s="82"/>
      <c r="AR28" s="82"/>
      <c r="AS28" s="82"/>
      <c r="AT28" s="82"/>
      <c r="AU28" s="82"/>
      <c r="AV28" s="82"/>
      <c r="AW28" s="82"/>
      <c r="AX28" s="82"/>
      <c r="AY28" s="82"/>
      <c r="AZ28" s="82"/>
    </row>
    <row r="29" spans="1:52" hidden="1" x14ac:dyDescent="0.25">
      <c r="A29" s="82"/>
      <c r="B29" s="82"/>
      <c r="C29" s="82"/>
      <c r="D29" s="82"/>
      <c r="E29" s="82"/>
      <c r="F29" s="8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c r="AV29" s="82"/>
      <c r="AW29" s="82"/>
      <c r="AX29" s="82"/>
      <c r="AY29" s="82"/>
      <c r="AZ29" s="82"/>
    </row>
    <row r="30" spans="1:52" hidden="1" x14ac:dyDescent="0.25">
      <c r="A30" s="82"/>
      <c r="B30" s="82"/>
      <c r="C30" s="82"/>
      <c r="D30" s="82"/>
      <c r="E30" s="82"/>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c r="AV30" s="82"/>
      <c r="AW30" s="82"/>
      <c r="AX30" s="82"/>
      <c r="AY30" s="82"/>
      <c r="AZ30" s="82"/>
    </row>
    <row r="31" spans="1:52" hidden="1" x14ac:dyDescent="0.25">
      <c r="A31" s="82"/>
      <c r="B31" s="82"/>
      <c r="C31" s="82"/>
      <c r="D31" s="82"/>
      <c r="E31" s="82"/>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c r="AV31" s="82"/>
      <c r="AW31" s="82"/>
      <c r="AX31" s="82"/>
      <c r="AY31" s="82"/>
      <c r="AZ31" s="82"/>
    </row>
    <row r="32" spans="1:52" hidden="1" x14ac:dyDescent="0.25">
      <c r="A32" s="82"/>
      <c r="B32" s="82"/>
      <c r="C32" s="82"/>
      <c r="D32" s="82"/>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c r="AV32" s="82"/>
      <c r="AW32" s="82"/>
      <c r="AX32" s="82"/>
      <c r="AY32" s="82"/>
      <c r="AZ32" s="82"/>
    </row>
    <row r="33" spans="1:52" hidden="1" x14ac:dyDescent="0.25">
      <c r="A33" s="82"/>
      <c r="B33" s="82"/>
      <c r="C33" s="82"/>
      <c r="D33" s="82"/>
      <c r="E33" s="82"/>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c r="AV33" s="82"/>
      <c r="AW33" s="82"/>
      <c r="AX33" s="82"/>
      <c r="AY33" s="82"/>
      <c r="AZ33" s="82"/>
    </row>
    <row r="34" spans="1:52" hidden="1" x14ac:dyDescent="0.25">
      <c r="A34" s="82"/>
      <c r="B34" s="82"/>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c r="AV34" s="82"/>
      <c r="AW34" s="82"/>
      <c r="AX34" s="82"/>
      <c r="AY34" s="82"/>
      <c r="AZ34" s="82"/>
    </row>
    <row r="35" spans="1:52" hidden="1" x14ac:dyDescent="0.25">
      <c r="A35" s="82"/>
      <c r="B35" s="82"/>
      <c r="C35" s="82"/>
      <c r="D35" s="82"/>
      <c r="E35" s="82"/>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c r="AV35" s="82"/>
      <c r="AW35" s="82"/>
      <c r="AX35" s="82"/>
      <c r="AY35" s="82"/>
      <c r="AZ35" s="82"/>
    </row>
    <row r="36" spans="1:52" hidden="1" x14ac:dyDescent="0.25">
      <c r="A36" s="82"/>
      <c r="B36" s="82"/>
      <c r="C36" s="82"/>
      <c r="D36" s="82"/>
      <c r="E36" s="82"/>
      <c r="F36" s="8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c r="AV36" s="82"/>
      <c r="AW36" s="82"/>
      <c r="AX36" s="82"/>
      <c r="AY36" s="82"/>
      <c r="AZ36" s="82"/>
    </row>
    <row r="37" spans="1:52" hidden="1" x14ac:dyDescent="0.25">
      <c r="A37" s="82"/>
      <c r="B37" s="82"/>
      <c r="C37" s="82"/>
      <c r="D37" s="82"/>
      <c r="E37" s="82"/>
      <c r="F37" s="8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c r="AV37" s="82"/>
      <c r="AW37" s="82"/>
      <c r="AX37" s="82"/>
      <c r="AY37" s="82"/>
      <c r="AZ37" s="82"/>
    </row>
    <row r="38" spans="1:52" hidden="1" x14ac:dyDescent="0.25">
      <c r="A38" s="82"/>
      <c r="B38" s="82"/>
      <c r="C38" s="82"/>
      <c r="D38" s="82"/>
      <c r="E38" s="82"/>
      <c r="F38" s="8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c r="AV38" s="82"/>
      <c r="AW38" s="82"/>
      <c r="AX38" s="82"/>
      <c r="AY38" s="82"/>
      <c r="AZ38" s="82"/>
    </row>
    <row r="39" spans="1:52" hidden="1" x14ac:dyDescent="0.25">
      <c r="A39" s="82"/>
      <c r="B39" s="82"/>
      <c r="C39" s="82"/>
      <c r="D39" s="82"/>
      <c r="E39" s="82"/>
      <c r="F39" s="8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c r="AV39" s="82"/>
      <c r="AW39" s="82"/>
      <c r="AX39" s="82"/>
      <c r="AY39" s="82"/>
      <c r="AZ39" s="82"/>
    </row>
    <row r="40" spans="1:52" hidden="1" x14ac:dyDescent="0.25">
      <c r="A40" s="82"/>
      <c r="B40" s="82"/>
      <c r="C40" s="82"/>
      <c r="D40" s="82"/>
      <c r="E40" s="82"/>
      <c r="F40" s="8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c r="AV40" s="82"/>
      <c r="AW40" s="82"/>
      <c r="AX40" s="82"/>
      <c r="AY40" s="82"/>
      <c r="AZ40" s="82"/>
    </row>
    <row r="41" spans="1:52" hidden="1" x14ac:dyDescent="0.25">
      <c r="A41" s="82"/>
      <c r="B41" s="82"/>
      <c r="C41" s="82"/>
      <c r="D41" s="82"/>
      <c r="E41" s="82"/>
      <c r="F41" s="8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c r="AV41" s="82"/>
      <c r="AW41" s="82"/>
      <c r="AX41" s="82"/>
      <c r="AY41" s="82"/>
      <c r="AZ41" s="82"/>
    </row>
    <row r="42" spans="1:52" hidden="1" x14ac:dyDescent="0.25">
      <c r="A42" s="82"/>
      <c r="B42" s="82"/>
      <c r="C42" s="82"/>
      <c r="D42" s="82"/>
      <c r="E42" s="82"/>
      <c r="F42" s="8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c r="AV42" s="82"/>
      <c r="AW42" s="82"/>
      <c r="AX42" s="82"/>
      <c r="AY42" s="82"/>
      <c r="AZ42" s="82"/>
    </row>
    <row r="43" spans="1:52" hidden="1" x14ac:dyDescent="0.25">
      <c r="A43" s="82"/>
      <c r="B43" s="82"/>
      <c r="C43" s="82"/>
      <c r="D43" s="82"/>
      <c r="E43" s="82"/>
      <c r="F43" s="8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c r="AV43" s="82"/>
      <c r="AW43" s="82"/>
      <c r="AX43" s="82"/>
      <c r="AY43" s="82"/>
      <c r="AZ43" s="82"/>
    </row>
    <row r="44" spans="1:52" hidden="1" x14ac:dyDescent="0.25">
      <c r="A44" s="82"/>
      <c r="B44" s="82"/>
      <c r="C44" s="82"/>
      <c r="D44" s="82"/>
      <c r="E44" s="82"/>
      <c r="F44" s="8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c r="AV44" s="82"/>
      <c r="AW44" s="82"/>
      <c r="AX44" s="82"/>
      <c r="AY44" s="82"/>
      <c r="AZ44" s="82"/>
    </row>
    <row r="45" spans="1:52" hidden="1" x14ac:dyDescent="0.25">
      <c r="A45" s="82"/>
      <c r="B45" s="82"/>
      <c r="C45" s="82"/>
      <c r="D45" s="82"/>
      <c r="E45" s="82"/>
      <c r="F45" s="8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c r="AV45" s="82"/>
      <c r="AW45" s="82"/>
      <c r="AX45" s="82"/>
      <c r="AY45" s="82"/>
      <c r="AZ45" s="82"/>
    </row>
    <row r="46" spans="1:52" hidden="1" x14ac:dyDescent="0.25">
      <c r="A46" s="82"/>
      <c r="B46" s="82"/>
      <c r="C46" s="82"/>
      <c r="D46" s="82"/>
      <c r="E46" s="82"/>
      <c r="F46" s="8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c r="AV46" s="82"/>
      <c r="AW46" s="82"/>
      <c r="AX46" s="82"/>
      <c r="AY46" s="82"/>
      <c r="AZ46" s="82"/>
    </row>
    <row r="47" spans="1:52" hidden="1" x14ac:dyDescent="0.25">
      <c r="A47" s="82"/>
      <c r="B47" s="82"/>
      <c r="C47" s="82"/>
      <c r="D47" s="82"/>
      <c r="E47" s="82"/>
      <c r="F47" s="8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c r="AV47" s="82"/>
      <c r="AW47" s="82"/>
      <c r="AX47" s="82"/>
      <c r="AY47" s="82"/>
      <c r="AZ47" s="82"/>
    </row>
    <row r="48" spans="1:52" hidden="1" x14ac:dyDescent="0.25">
      <c r="A48" s="82"/>
      <c r="B48" s="82"/>
      <c r="C48" s="82"/>
      <c r="D48" s="82"/>
      <c r="E48" s="82"/>
      <c r="F48" s="8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c r="AV48" s="82"/>
      <c r="AW48" s="82"/>
      <c r="AX48" s="82"/>
      <c r="AY48" s="82"/>
      <c r="AZ48" s="82"/>
    </row>
    <row r="49" spans="1:52" hidden="1" x14ac:dyDescent="0.25">
      <c r="A49" s="82"/>
      <c r="B49" s="82"/>
      <c r="C49" s="82"/>
      <c r="D49" s="82"/>
      <c r="E49" s="82"/>
      <c r="F49" s="8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c r="AV49" s="82"/>
      <c r="AW49" s="82"/>
      <c r="AX49" s="82"/>
      <c r="AY49" s="82"/>
      <c r="AZ49" s="82"/>
    </row>
    <row r="50" spans="1:52" hidden="1" x14ac:dyDescent="0.25">
      <c r="A50" s="82"/>
      <c r="B50" s="82"/>
      <c r="C50" s="82"/>
      <c r="D50" s="82"/>
      <c r="E50" s="82"/>
      <c r="F50" s="8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c r="AV50" s="82"/>
      <c r="AW50" s="82"/>
      <c r="AX50" s="82"/>
      <c r="AY50" s="82"/>
      <c r="AZ50" s="82"/>
    </row>
    <row r="51" spans="1:52" hidden="1" x14ac:dyDescent="0.25">
      <c r="A51" s="82"/>
      <c r="B51" s="82"/>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c r="AY51" s="82"/>
      <c r="AZ51" s="82"/>
    </row>
    <row r="52" spans="1:52" hidden="1" x14ac:dyDescent="0.25">
      <c r="A52" s="82"/>
      <c r="B52" s="82"/>
      <c r="C52" s="82"/>
      <c r="D52" s="82"/>
      <c r="E52" s="82"/>
      <c r="F52" s="8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c r="AV52" s="82"/>
      <c r="AW52" s="82"/>
      <c r="AX52" s="82"/>
      <c r="AY52" s="82"/>
      <c r="AZ52" s="82"/>
    </row>
    <row r="53" spans="1:52" hidden="1" x14ac:dyDescent="0.25">
      <c r="A53" s="82"/>
      <c r="B53" s="82"/>
      <c r="C53" s="82"/>
      <c r="D53" s="82"/>
      <c r="E53" s="82"/>
      <c r="F53" s="8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c r="AV53" s="82"/>
      <c r="AW53" s="82"/>
      <c r="AX53" s="82"/>
      <c r="AY53" s="82"/>
      <c r="AZ53" s="82"/>
    </row>
    <row r="54" spans="1:52" hidden="1" x14ac:dyDescent="0.25">
      <c r="A54" s="82"/>
      <c r="B54" s="82"/>
      <c r="C54" s="82"/>
      <c r="D54" s="82"/>
      <c r="E54" s="82"/>
      <c r="F54" s="8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c r="AV54" s="82"/>
      <c r="AW54" s="82"/>
      <c r="AX54" s="82"/>
      <c r="AY54" s="82"/>
      <c r="AZ54" s="82"/>
    </row>
    <row r="55" spans="1:52" hidden="1" x14ac:dyDescent="0.25">
      <c r="A55" s="82"/>
      <c r="B55" s="82"/>
      <c r="C55" s="82"/>
      <c r="D55" s="82"/>
      <c r="E55" s="82"/>
      <c r="F55" s="8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c r="AV55" s="82"/>
      <c r="AW55" s="82"/>
      <c r="AX55" s="82"/>
      <c r="AY55" s="82"/>
      <c r="AZ55" s="82"/>
    </row>
    <row r="56" spans="1:52" hidden="1" x14ac:dyDescent="0.25">
      <c r="A56" s="82"/>
      <c r="B56" s="82"/>
      <c r="C56" s="82"/>
      <c r="D56" s="82"/>
      <c r="E56" s="82"/>
      <c r="F56" s="8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c r="AV56" s="82"/>
      <c r="AW56" s="82"/>
      <c r="AX56" s="82"/>
      <c r="AY56" s="82"/>
      <c r="AZ56" s="82"/>
    </row>
    <row r="57" spans="1:52" hidden="1" x14ac:dyDescent="0.25">
      <c r="A57" s="82"/>
      <c r="B57" s="82"/>
      <c r="C57" s="82"/>
      <c r="D57" s="82"/>
      <c r="E57" s="82"/>
      <c r="F57" s="8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c r="AV57" s="82"/>
      <c r="AW57" s="82"/>
      <c r="AX57" s="82"/>
      <c r="AY57" s="82"/>
      <c r="AZ57" s="82"/>
    </row>
    <row r="58" spans="1:52" hidden="1" x14ac:dyDescent="0.25">
      <c r="A58" s="82"/>
      <c r="B58" s="82"/>
      <c r="C58" s="82"/>
      <c r="D58" s="82"/>
      <c r="E58" s="82"/>
      <c r="F58" s="8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c r="AV58" s="82"/>
      <c r="AW58" s="82"/>
      <c r="AX58" s="82"/>
      <c r="AY58" s="82"/>
      <c r="AZ58" s="82"/>
    </row>
    <row r="59" spans="1:52" hidden="1" x14ac:dyDescent="0.25">
      <c r="A59" s="82"/>
      <c r="B59" s="82"/>
      <c r="C59" s="82"/>
      <c r="D59" s="82"/>
      <c r="E59" s="82"/>
      <c r="F59" s="8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c r="AV59" s="82"/>
      <c r="AW59" s="82"/>
      <c r="AX59" s="82"/>
      <c r="AY59" s="82"/>
      <c r="AZ59" s="82"/>
    </row>
    <row r="60" spans="1:52" hidden="1" x14ac:dyDescent="0.25">
      <c r="A60" s="82"/>
      <c r="B60" s="82"/>
      <c r="C60" s="82"/>
      <c r="D60" s="82"/>
      <c r="E60" s="82"/>
      <c r="F60" s="8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c r="AV60" s="82"/>
      <c r="AW60" s="82"/>
      <c r="AX60" s="82"/>
      <c r="AY60" s="82"/>
      <c r="AZ60" s="82"/>
    </row>
    <row r="61" spans="1:52" hidden="1" x14ac:dyDescent="0.25">
      <c r="A61" s="82"/>
      <c r="B61" s="82"/>
      <c r="C61" s="82"/>
      <c r="D61" s="82"/>
      <c r="E61" s="82"/>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c r="AV61" s="82"/>
      <c r="AW61" s="82"/>
      <c r="AX61" s="82"/>
      <c r="AY61" s="82"/>
      <c r="AZ61" s="82"/>
    </row>
    <row r="62" spans="1:52" hidden="1" x14ac:dyDescent="0.25">
      <c r="A62" s="82"/>
      <c r="B62" s="82"/>
      <c r="C62" s="82"/>
      <c r="D62" s="82"/>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c r="AV62" s="82"/>
      <c r="AW62" s="82"/>
      <c r="AX62" s="82"/>
      <c r="AY62" s="82"/>
      <c r="AZ62" s="82"/>
    </row>
    <row r="63" spans="1:52" hidden="1" x14ac:dyDescent="0.25">
      <c r="A63" s="82"/>
      <c r="B63" s="82"/>
      <c r="C63" s="82"/>
      <c r="D63" s="82"/>
      <c r="E63" s="82"/>
      <c r="F63" s="8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c r="AV63" s="82"/>
      <c r="AW63" s="82"/>
      <c r="AX63" s="82"/>
      <c r="AY63" s="82"/>
      <c r="AZ63" s="82"/>
    </row>
    <row r="64" spans="1:52" hidden="1" x14ac:dyDescent="0.25">
      <c r="A64" s="82"/>
      <c r="B64" s="82"/>
      <c r="C64" s="82"/>
      <c r="D64" s="82"/>
      <c r="E64" s="82"/>
      <c r="F64" s="8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c r="AV64" s="82"/>
      <c r="AW64" s="82"/>
      <c r="AX64" s="82"/>
      <c r="AY64" s="82"/>
      <c r="AZ64" s="82"/>
    </row>
    <row r="65" spans="1:52" hidden="1" x14ac:dyDescent="0.25">
      <c r="A65" s="82"/>
      <c r="B65" s="82"/>
      <c r="C65" s="82"/>
      <c r="D65" s="82"/>
      <c r="E65" s="82"/>
      <c r="F65" s="8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c r="AV65" s="82"/>
      <c r="AW65" s="82"/>
      <c r="AX65" s="82"/>
      <c r="AY65" s="82"/>
      <c r="AZ65" s="82"/>
    </row>
    <row r="66" spans="1:52" hidden="1" x14ac:dyDescent="0.25">
      <c r="A66" s="82"/>
      <c r="B66" s="82"/>
      <c r="C66" s="82"/>
      <c r="D66" s="82"/>
      <c r="E66" s="82"/>
      <c r="F66" s="8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c r="AV66" s="82"/>
      <c r="AW66" s="82"/>
      <c r="AX66" s="82"/>
      <c r="AY66" s="82"/>
      <c r="AZ66" s="82"/>
    </row>
    <row r="67" spans="1:52" hidden="1" x14ac:dyDescent="0.25">
      <c r="A67" s="82"/>
      <c r="B67" s="82"/>
      <c r="C67" s="82"/>
      <c r="D67" s="82"/>
      <c r="E67" s="82"/>
      <c r="F67" s="82"/>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c r="AV67" s="82"/>
      <c r="AW67" s="82"/>
      <c r="AX67" s="82"/>
      <c r="AY67" s="82"/>
      <c r="AZ67" s="82"/>
    </row>
    <row r="68" spans="1:52" hidden="1" x14ac:dyDescent="0.25">
      <c r="A68" s="82"/>
      <c r="B68" s="82"/>
      <c r="C68" s="82"/>
      <c r="D68" s="82"/>
      <c r="E68" s="82"/>
      <c r="F68" s="82"/>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c r="AV68" s="82"/>
      <c r="AW68" s="82"/>
      <c r="AX68" s="82"/>
      <c r="AY68" s="82"/>
      <c r="AZ68" s="82"/>
    </row>
    <row r="69" spans="1:52" hidden="1" x14ac:dyDescent="0.25">
      <c r="A69" s="82"/>
      <c r="B69" s="82"/>
      <c r="C69" s="82"/>
      <c r="D69" s="82"/>
      <c r="E69" s="82"/>
      <c r="F69" s="82"/>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c r="AV69" s="82"/>
      <c r="AW69" s="82"/>
      <c r="AX69" s="82"/>
      <c r="AY69" s="82"/>
      <c r="AZ69" s="82"/>
    </row>
    <row r="70" spans="1:52" hidden="1" x14ac:dyDescent="0.25">
      <c r="A70" s="82"/>
      <c r="B70" s="82"/>
      <c r="C70" s="82"/>
      <c r="D70" s="82"/>
      <c r="E70" s="82"/>
      <c r="F70" s="82"/>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c r="AV70" s="82"/>
      <c r="AW70" s="82"/>
      <c r="AX70" s="82"/>
      <c r="AY70" s="82"/>
      <c r="AZ70" s="82"/>
    </row>
    <row r="71" spans="1:52" hidden="1" x14ac:dyDescent="0.25">
      <c r="A71" s="82"/>
      <c r="B71" s="82"/>
      <c r="C71" s="82"/>
      <c r="D71" s="82"/>
      <c r="E71" s="82"/>
      <c r="F71" s="82"/>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c r="AV71" s="82"/>
      <c r="AW71" s="82"/>
      <c r="AX71" s="82"/>
      <c r="AY71" s="82"/>
      <c r="AZ71" s="82"/>
    </row>
    <row r="72" spans="1:52" hidden="1" x14ac:dyDescent="0.25">
      <c r="A72" s="82"/>
      <c r="B72" s="82"/>
      <c r="C72" s="82"/>
      <c r="D72" s="82"/>
      <c r="E72" s="82"/>
      <c r="F72" s="82"/>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c r="AV72" s="82"/>
      <c r="AW72" s="82"/>
      <c r="AX72" s="82"/>
      <c r="AY72" s="82"/>
      <c r="AZ72" s="82"/>
    </row>
    <row r="73" spans="1:52" hidden="1" x14ac:dyDescent="0.25">
      <c r="A73" s="82"/>
      <c r="B73" s="82"/>
      <c r="C73" s="82"/>
      <c r="D73" s="82"/>
      <c r="E73" s="82"/>
      <c r="F73" s="82"/>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c r="AV73" s="82"/>
      <c r="AW73" s="82"/>
      <c r="AX73" s="82"/>
      <c r="AY73" s="82"/>
      <c r="AZ73" s="82"/>
    </row>
    <row r="74" spans="1:52" hidden="1" x14ac:dyDescent="0.25">
      <c r="A74" s="82"/>
      <c r="B74" s="82"/>
      <c r="C74" s="82"/>
      <c r="D74" s="82"/>
      <c r="E74" s="82"/>
      <c r="F74" s="82"/>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c r="AV74" s="82"/>
      <c r="AW74" s="82"/>
      <c r="AX74" s="82"/>
      <c r="AY74" s="82"/>
      <c r="AZ74" s="82"/>
    </row>
    <row r="75" spans="1:52" hidden="1" x14ac:dyDescent="0.25">
      <c r="A75" s="82"/>
      <c r="B75" s="82"/>
      <c r="C75" s="82"/>
      <c r="D75" s="82"/>
      <c r="E75" s="82"/>
      <c r="F75" s="8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c r="AV75" s="82"/>
      <c r="AW75" s="82"/>
      <c r="AX75" s="82"/>
      <c r="AY75" s="82"/>
      <c r="AZ75" s="82"/>
    </row>
    <row r="76" spans="1:52" hidden="1" x14ac:dyDescent="0.25">
      <c r="A76" s="82"/>
      <c r="B76" s="82"/>
      <c r="C76" s="82"/>
      <c r="D76" s="82"/>
      <c r="E76" s="82"/>
      <c r="F76" s="8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c r="AV76" s="82"/>
      <c r="AW76" s="82"/>
      <c r="AX76" s="82"/>
      <c r="AY76" s="82"/>
      <c r="AZ76" s="82"/>
    </row>
    <row r="77" spans="1:52" hidden="1" x14ac:dyDescent="0.25">
      <c r="A77" s="82"/>
      <c r="B77" s="82"/>
      <c r="C77" s="82"/>
      <c r="D77" s="82"/>
      <c r="E77" s="82"/>
      <c r="F77" s="8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c r="AV77" s="82"/>
      <c r="AW77" s="82"/>
      <c r="AX77" s="82"/>
      <c r="AY77" s="82"/>
      <c r="AZ77" s="82"/>
    </row>
    <row r="78" spans="1:52" hidden="1" x14ac:dyDescent="0.25">
      <c r="A78" s="82"/>
      <c r="B78" s="82"/>
      <c r="C78" s="82"/>
      <c r="D78" s="82"/>
      <c r="E78" s="82"/>
      <c r="F78" s="8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c r="AV78" s="82"/>
      <c r="AW78" s="82"/>
      <c r="AX78" s="82"/>
      <c r="AY78" s="82"/>
      <c r="AZ78" s="82"/>
    </row>
    <row r="79" spans="1:52" hidden="1" x14ac:dyDescent="0.25">
      <c r="A79" s="82"/>
      <c r="B79" s="82"/>
      <c r="C79" s="82"/>
      <c r="D79" s="82"/>
      <c r="E79" s="82"/>
      <c r="F79" s="8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c r="AV79" s="82"/>
      <c r="AW79" s="82"/>
      <c r="AX79" s="82"/>
      <c r="AY79" s="82"/>
      <c r="AZ79" s="82"/>
    </row>
    <row r="80" spans="1:52" hidden="1" x14ac:dyDescent="0.25">
      <c r="A80" s="82"/>
      <c r="B80" s="82"/>
      <c r="C80" s="82"/>
      <c r="D80" s="82"/>
      <c r="E80" s="82"/>
      <c r="F80" s="8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c r="AV80" s="82"/>
      <c r="AW80" s="82"/>
      <c r="AX80" s="82"/>
      <c r="AY80" s="82"/>
      <c r="AZ80" s="82"/>
    </row>
    <row r="81" spans="1:52" hidden="1" x14ac:dyDescent="0.25">
      <c r="A81" s="82"/>
      <c r="B81" s="82"/>
      <c r="C81" s="82"/>
      <c r="D81" s="82"/>
      <c r="E81" s="82"/>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c r="AV81" s="82"/>
      <c r="AW81" s="82"/>
      <c r="AX81" s="82"/>
      <c r="AY81" s="82"/>
      <c r="AZ81" s="82"/>
    </row>
    <row r="82" spans="1:52" hidden="1" x14ac:dyDescent="0.25">
      <c r="A82" s="82"/>
      <c r="B82" s="82"/>
      <c r="C82" s="82"/>
      <c r="D82" s="82"/>
      <c r="E82" s="82"/>
      <c r="F82" s="82"/>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c r="AV82" s="82"/>
      <c r="AW82" s="82"/>
      <c r="AX82" s="82"/>
      <c r="AY82" s="82"/>
      <c r="AZ82" s="82"/>
    </row>
    <row r="83" spans="1:52" hidden="1" x14ac:dyDescent="0.25">
      <c r="A83" s="82"/>
      <c r="B83" s="82"/>
      <c r="C83" s="82"/>
      <c r="D83" s="82"/>
      <c r="E83" s="82"/>
      <c r="F83" s="82"/>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c r="AV83" s="82"/>
      <c r="AW83" s="82"/>
      <c r="AX83" s="82"/>
      <c r="AY83" s="82"/>
      <c r="AZ83" s="82"/>
    </row>
    <row r="84" spans="1:52" hidden="1" x14ac:dyDescent="0.25">
      <c r="A84" s="82"/>
      <c r="B84" s="82"/>
      <c r="C84" s="82"/>
      <c r="D84" s="82"/>
      <c r="E84" s="82"/>
      <c r="F84" s="82"/>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c r="AV84" s="82"/>
      <c r="AW84" s="82"/>
      <c r="AX84" s="82"/>
      <c r="AY84" s="82"/>
      <c r="AZ84" s="82"/>
    </row>
    <row r="85" spans="1:52" hidden="1" x14ac:dyDescent="0.25">
      <c r="A85" s="82"/>
      <c r="B85" s="82"/>
      <c r="C85" s="82"/>
      <c r="D85" s="82"/>
      <c r="E85" s="82"/>
      <c r="F85" s="82"/>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c r="AV85" s="82"/>
      <c r="AW85" s="82"/>
      <c r="AX85" s="82"/>
      <c r="AY85" s="82"/>
      <c r="AZ85" s="82"/>
    </row>
    <row r="86" spans="1:52" hidden="1" x14ac:dyDescent="0.25">
      <c r="A86" s="82"/>
      <c r="B86" s="82"/>
      <c r="C86" s="82"/>
      <c r="D86" s="82"/>
      <c r="E86" s="82"/>
      <c r="F86" s="82"/>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c r="AV86" s="82"/>
      <c r="AW86" s="82"/>
      <c r="AX86" s="82"/>
      <c r="AY86" s="82"/>
      <c r="AZ86" s="82"/>
    </row>
    <row r="87" spans="1:52" hidden="1" x14ac:dyDescent="0.25">
      <c r="A87" s="82"/>
      <c r="B87" s="82"/>
      <c r="C87" s="82"/>
      <c r="D87" s="82"/>
      <c r="E87" s="82"/>
      <c r="F87" s="82"/>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c r="AV87" s="82"/>
      <c r="AW87" s="82"/>
      <c r="AX87" s="82"/>
      <c r="AY87" s="82"/>
      <c r="AZ87" s="82"/>
    </row>
    <row r="88" spans="1:52" hidden="1" x14ac:dyDescent="0.25">
      <c r="A88" s="82"/>
      <c r="B88" s="82"/>
      <c r="C88" s="82"/>
      <c r="D88" s="82"/>
      <c r="E88" s="82"/>
      <c r="F88" s="82"/>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c r="AV88" s="82"/>
      <c r="AW88" s="82"/>
      <c r="AX88" s="82"/>
      <c r="AY88" s="82"/>
      <c r="AZ88" s="82"/>
    </row>
    <row r="89" spans="1:52" hidden="1" x14ac:dyDescent="0.25">
      <c r="A89" s="82"/>
      <c r="B89" s="82"/>
      <c r="C89" s="82"/>
      <c r="D89" s="82"/>
      <c r="E89" s="82"/>
      <c r="F89" s="8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c r="AV89" s="82"/>
      <c r="AW89" s="82"/>
      <c r="AX89" s="82"/>
      <c r="AY89" s="82"/>
      <c r="AZ89" s="82"/>
    </row>
    <row r="90" spans="1:52" hidden="1" x14ac:dyDescent="0.25">
      <c r="A90" s="82"/>
      <c r="B90" s="82"/>
      <c r="C90" s="82"/>
      <c r="D90" s="82"/>
      <c r="E90" s="82"/>
      <c r="F90" s="8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c r="AV90" s="82"/>
      <c r="AW90" s="82"/>
      <c r="AX90" s="82"/>
      <c r="AY90" s="82"/>
      <c r="AZ90" s="82"/>
    </row>
    <row r="91" spans="1:52" hidden="1" x14ac:dyDescent="0.25">
      <c r="A91" s="82"/>
      <c r="B91" s="82"/>
      <c r="C91" s="82"/>
      <c r="D91" s="82"/>
      <c r="E91" s="82"/>
      <c r="F91" s="8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c r="AV91" s="82"/>
      <c r="AW91" s="82"/>
      <c r="AX91" s="82"/>
      <c r="AY91" s="82"/>
      <c r="AZ91" s="82"/>
    </row>
    <row r="92" spans="1:52" hidden="1" x14ac:dyDescent="0.25">
      <c r="A92" s="82"/>
      <c r="B92" s="82"/>
      <c r="C92" s="82"/>
      <c r="D92" s="82"/>
      <c r="E92" s="82"/>
      <c r="F92" s="8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c r="AV92" s="82"/>
      <c r="AW92" s="82"/>
      <c r="AX92" s="82"/>
      <c r="AY92" s="82"/>
      <c r="AZ92" s="82"/>
    </row>
    <row r="93" spans="1:52" hidden="1" x14ac:dyDescent="0.25">
      <c r="A93" s="82"/>
      <c r="B93" s="82"/>
      <c r="C93" s="82"/>
      <c r="D93" s="82"/>
      <c r="E93" s="82"/>
      <c r="F93" s="8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c r="AV93" s="82"/>
      <c r="AW93" s="82"/>
      <c r="AX93" s="82"/>
      <c r="AY93" s="82"/>
      <c r="AZ93" s="82"/>
    </row>
    <row r="94" spans="1:52" hidden="1" x14ac:dyDescent="0.25">
      <c r="A94" s="82"/>
      <c r="B94" s="82"/>
      <c r="C94" s="82"/>
      <c r="D94" s="82"/>
      <c r="E94" s="82"/>
      <c r="F94" s="8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row>
    <row r="95" spans="1:52" hidden="1" x14ac:dyDescent="0.25">
      <c r="A95" s="82"/>
      <c r="B95" s="82"/>
      <c r="C95" s="82"/>
      <c r="D95" s="82"/>
      <c r="E95" s="82"/>
      <c r="F95" s="8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c r="AV95" s="82"/>
      <c r="AW95" s="82"/>
      <c r="AX95" s="82"/>
      <c r="AY95" s="82"/>
      <c r="AZ95" s="82"/>
    </row>
    <row r="96" spans="1:52" hidden="1" x14ac:dyDescent="0.25">
      <c r="A96" s="82"/>
      <c r="B96" s="82"/>
      <c r="C96" s="82"/>
      <c r="D96" s="82"/>
      <c r="E96" s="82"/>
      <c r="F96" s="82"/>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c r="AV96" s="82"/>
      <c r="AW96" s="82"/>
      <c r="AX96" s="82"/>
      <c r="AY96" s="82"/>
      <c r="AZ96" s="82"/>
    </row>
    <row r="97" spans="1:52" hidden="1" x14ac:dyDescent="0.25">
      <c r="A97" s="82"/>
      <c r="B97" s="82"/>
      <c r="C97" s="82"/>
      <c r="D97" s="82"/>
      <c r="E97" s="82"/>
      <c r="F97" s="82"/>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c r="AV97" s="82"/>
      <c r="AW97" s="82"/>
      <c r="AX97" s="82"/>
      <c r="AY97" s="82"/>
      <c r="AZ97" s="82"/>
    </row>
    <row r="98" spans="1:52" hidden="1" x14ac:dyDescent="0.25">
      <c r="A98" s="82"/>
      <c r="B98" s="82"/>
      <c r="C98" s="82"/>
      <c r="D98" s="82"/>
      <c r="E98" s="82"/>
      <c r="F98" s="82"/>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c r="AV98" s="82"/>
      <c r="AW98" s="82"/>
      <c r="AX98" s="82"/>
      <c r="AY98" s="82"/>
      <c r="AZ98" s="82"/>
    </row>
    <row r="99" spans="1:52" hidden="1" x14ac:dyDescent="0.25">
      <c r="A99" s="82"/>
      <c r="B99" s="82"/>
      <c r="C99" s="82"/>
      <c r="D99" s="82"/>
      <c r="E99" s="82"/>
      <c r="F99" s="82"/>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c r="AV99" s="82"/>
      <c r="AW99" s="82"/>
      <c r="AX99" s="82"/>
      <c r="AY99" s="82"/>
      <c r="AZ99" s="82"/>
    </row>
    <row r="100" spans="1:52" hidden="1" x14ac:dyDescent="0.25">
      <c r="A100" s="82"/>
      <c r="B100" s="82"/>
      <c r="C100" s="82"/>
      <c r="D100" s="82"/>
      <c r="E100" s="82"/>
      <c r="F100" s="82"/>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c r="AV100" s="82"/>
      <c r="AW100" s="82"/>
      <c r="AX100" s="82"/>
      <c r="AY100" s="82"/>
      <c r="AZ100" s="82"/>
    </row>
    <row r="101" spans="1:52" hidden="1" x14ac:dyDescent="0.25">
      <c r="A101" s="82"/>
      <c r="B101" s="82"/>
      <c r="C101" s="82"/>
      <c r="D101" s="82"/>
      <c r="E101" s="82"/>
      <c r="F101" s="82"/>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c r="AV101" s="82"/>
      <c r="AW101" s="82"/>
      <c r="AX101" s="82"/>
      <c r="AY101" s="82"/>
      <c r="AZ101" s="82"/>
    </row>
    <row r="102" spans="1:52" hidden="1" x14ac:dyDescent="0.25">
      <c r="A102" s="82"/>
      <c r="B102" s="82"/>
      <c r="C102" s="82"/>
      <c r="D102" s="82"/>
      <c r="E102" s="82"/>
      <c r="F102" s="82"/>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c r="AV102" s="82"/>
      <c r="AW102" s="82"/>
      <c r="AX102" s="82"/>
      <c r="AY102" s="82"/>
      <c r="AZ102" s="82"/>
    </row>
    <row r="103" spans="1:52" hidden="1" x14ac:dyDescent="0.25">
      <c r="A103" s="82"/>
      <c r="B103" s="82"/>
      <c r="C103" s="82"/>
      <c r="D103" s="82"/>
      <c r="E103" s="82"/>
      <c r="F103" s="8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c r="AV103" s="82"/>
      <c r="AW103" s="82"/>
      <c r="AX103" s="82"/>
      <c r="AY103" s="82"/>
      <c r="AZ103" s="82"/>
    </row>
    <row r="104" spans="1:52" hidden="1" x14ac:dyDescent="0.25">
      <c r="A104" s="82"/>
      <c r="B104" s="82"/>
      <c r="C104" s="82"/>
      <c r="D104" s="82"/>
      <c r="E104" s="82"/>
      <c r="F104" s="8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c r="AV104" s="82"/>
      <c r="AW104" s="82"/>
      <c r="AX104" s="82"/>
      <c r="AY104" s="82"/>
      <c r="AZ104" s="82"/>
    </row>
    <row r="105" spans="1:52" hidden="1" x14ac:dyDescent="0.25">
      <c r="A105" s="82"/>
      <c r="B105" s="82"/>
      <c r="C105" s="82"/>
      <c r="D105" s="82"/>
      <c r="E105" s="82"/>
      <c r="F105" s="8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c r="AV105" s="82"/>
      <c r="AW105" s="82"/>
      <c r="AX105" s="82"/>
      <c r="AY105" s="82"/>
      <c r="AZ105" s="82"/>
    </row>
    <row r="106" spans="1:52" hidden="1" x14ac:dyDescent="0.25">
      <c r="A106" s="82"/>
      <c r="B106" s="82"/>
      <c r="C106" s="82"/>
      <c r="D106" s="82"/>
      <c r="E106" s="82"/>
      <c r="F106" s="8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c r="AV106" s="82"/>
      <c r="AW106" s="82"/>
      <c r="AX106" s="82"/>
      <c r="AY106" s="82"/>
      <c r="AZ106" s="82"/>
    </row>
    <row r="107" spans="1:52" hidden="1" x14ac:dyDescent="0.25">
      <c r="A107" s="82"/>
      <c r="B107" s="82"/>
      <c r="C107" s="82"/>
      <c r="D107" s="82"/>
      <c r="E107" s="82"/>
      <c r="F107" s="8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c r="AV107" s="82"/>
      <c r="AW107" s="82"/>
      <c r="AX107" s="82"/>
      <c r="AY107" s="82"/>
      <c r="AZ107" s="82"/>
    </row>
    <row r="108" spans="1:52" hidden="1" x14ac:dyDescent="0.25">
      <c r="A108" s="82"/>
      <c r="B108" s="82"/>
      <c r="C108" s="82"/>
      <c r="D108" s="82"/>
      <c r="E108" s="82"/>
      <c r="F108" s="8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c r="AV108" s="82"/>
      <c r="AW108" s="82"/>
      <c r="AX108" s="82"/>
      <c r="AY108" s="82"/>
      <c r="AZ108" s="82"/>
    </row>
    <row r="109" spans="1:52" hidden="1" x14ac:dyDescent="0.25">
      <c r="A109" s="82"/>
      <c r="B109" s="82"/>
      <c r="C109" s="82"/>
      <c r="D109" s="82"/>
      <c r="E109" s="82"/>
      <c r="F109" s="8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c r="AV109" s="82"/>
      <c r="AW109" s="82"/>
      <c r="AX109" s="82"/>
      <c r="AY109" s="82"/>
      <c r="AZ109" s="82"/>
    </row>
    <row r="110" spans="1:52" hidden="1" x14ac:dyDescent="0.25">
      <c r="A110" s="82"/>
      <c r="B110" s="82"/>
      <c r="C110" s="82"/>
      <c r="D110" s="82"/>
      <c r="E110" s="82"/>
      <c r="F110" s="8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c r="AV110" s="82"/>
      <c r="AW110" s="82"/>
      <c r="AX110" s="82"/>
      <c r="AY110" s="82"/>
      <c r="AZ110" s="82"/>
    </row>
    <row r="111" spans="1:52" hidden="1" x14ac:dyDescent="0.25">
      <c r="A111" s="82"/>
      <c r="B111" s="82"/>
      <c r="C111" s="82"/>
      <c r="D111" s="82"/>
      <c r="E111" s="82"/>
      <c r="F111" s="8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c r="AV111" s="82"/>
      <c r="AW111" s="82"/>
      <c r="AX111" s="82"/>
      <c r="AY111" s="82"/>
      <c r="AZ111" s="82"/>
    </row>
    <row r="112" spans="1:52" hidden="1" x14ac:dyDescent="0.25">
      <c r="A112" s="82"/>
      <c r="B112" s="82"/>
      <c r="C112" s="82"/>
      <c r="D112" s="82"/>
      <c r="E112" s="82"/>
      <c r="F112" s="8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c r="AV112" s="82"/>
      <c r="AW112" s="82"/>
      <c r="AX112" s="82"/>
      <c r="AY112" s="82"/>
      <c r="AZ112" s="82"/>
    </row>
    <row r="113" spans="1:52" hidden="1" x14ac:dyDescent="0.25">
      <c r="A113" s="82"/>
      <c r="B113" s="82"/>
      <c r="C113" s="82"/>
      <c r="D113" s="82"/>
      <c r="E113" s="82"/>
      <c r="F113" s="8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c r="AV113" s="82"/>
      <c r="AW113" s="82"/>
      <c r="AX113" s="82"/>
      <c r="AY113" s="82"/>
      <c r="AZ113" s="82"/>
    </row>
    <row r="114" spans="1:52" hidden="1" x14ac:dyDescent="0.25">
      <c r="A114" s="82"/>
      <c r="B114" s="82"/>
      <c r="C114" s="82"/>
      <c r="D114" s="82"/>
      <c r="E114" s="82"/>
      <c r="F114" s="8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c r="AV114" s="82"/>
      <c r="AW114" s="82"/>
      <c r="AX114" s="82"/>
      <c r="AY114" s="82"/>
      <c r="AZ114" s="82"/>
    </row>
    <row r="115" spans="1:52" hidden="1" x14ac:dyDescent="0.25">
      <c r="A115" s="82"/>
      <c r="B115" s="82"/>
      <c r="C115" s="82"/>
      <c r="D115" s="82"/>
      <c r="E115" s="82"/>
      <c r="F115" s="8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c r="AV115" s="82"/>
      <c r="AW115" s="82"/>
      <c r="AX115" s="82"/>
      <c r="AY115" s="82"/>
      <c r="AZ115" s="82"/>
    </row>
    <row r="116" spans="1:52" hidden="1" x14ac:dyDescent="0.25">
      <c r="A116" s="82"/>
      <c r="B116" s="82"/>
      <c r="C116" s="82"/>
      <c r="D116" s="82"/>
      <c r="E116" s="82"/>
      <c r="F116" s="8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c r="AV116" s="82"/>
      <c r="AW116" s="82"/>
      <c r="AX116" s="82"/>
      <c r="AY116" s="82"/>
      <c r="AZ116" s="82"/>
    </row>
    <row r="117" spans="1:52" hidden="1" x14ac:dyDescent="0.25">
      <c r="A117" s="82"/>
      <c r="B117" s="82"/>
      <c r="C117" s="82"/>
      <c r="D117" s="82"/>
      <c r="E117" s="82"/>
      <c r="F117" s="8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c r="AV117" s="82"/>
      <c r="AW117" s="82"/>
      <c r="AX117" s="82"/>
      <c r="AY117" s="82"/>
      <c r="AZ117" s="82"/>
    </row>
    <row r="118" spans="1:52" hidden="1" x14ac:dyDescent="0.25">
      <c r="A118" s="82"/>
      <c r="B118" s="82"/>
      <c r="C118" s="82"/>
      <c r="D118" s="82"/>
      <c r="E118" s="82"/>
      <c r="F118" s="82"/>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c r="AV118" s="82"/>
      <c r="AW118" s="82"/>
      <c r="AX118" s="82"/>
      <c r="AY118" s="82"/>
      <c r="AZ118" s="82"/>
    </row>
    <row r="119" spans="1:52" hidden="1" x14ac:dyDescent="0.25">
      <c r="A119" s="82"/>
      <c r="B119" s="82"/>
      <c r="C119" s="82"/>
      <c r="D119" s="82"/>
      <c r="E119" s="82"/>
      <c r="F119" s="82"/>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c r="AV119" s="82"/>
      <c r="AW119" s="82"/>
      <c r="AX119" s="82"/>
      <c r="AY119" s="82"/>
      <c r="AZ119" s="82"/>
    </row>
    <row r="120" spans="1:52" hidden="1" x14ac:dyDescent="0.25">
      <c r="A120" s="82"/>
      <c r="B120" s="82"/>
      <c r="C120" s="82"/>
      <c r="D120" s="82"/>
      <c r="E120" s="82"/>
      <c r="F120" s="82"/>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c r="AV120" s="82"/>
      <c r="AW120" s="82"/>
      <c r="AX120" s="82"/>
      <c r="AY120" s="82"/>
      <c r="AZ120" s="82"/>
    </row>
    <row r="121" spans="1:52" hidden="1" x14ac:dyDescent="0.25">
      <c r="A121" s="82"/>
      <c r="B121" s="82"/>
      <c r="C121" s="82"/>
      <c r="D121" s="82"/>
      <c r="E121" s="82"/>
      <c r="F121" s="82"/>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c r="AV121" s="82"/>
      <c r="AW121" s="82"/>
      <c r="AX121" s="82"/>
      <c r="AY121" s="82"/>
      <c r="AZ121" s="82"/>
    </row>
    <row r="122" spans="1:52" hidden="1" x14ac:dyDescent="0.25">
      <c r="A122" s="82"/>
      <c r="B122" s="82"/>
      <c r="C122" s="82"/>
      <c r="D122" s="82"/>
      <c r="E122" s="82"/>
      <c r="F122" s="82"/>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c r="AV122" s="82"/>
      <c r="AW122" s="82"/>
      <c r="AX122" s="82"/>
      <c r="AY122" s="82"/>
      <c r="AZ122" s="82"/>
    </row>
    <row r="123" spans="1:52" hidden="1" x14ac:dyDescent="0.25">
      <c r="A123" s="82"/>
      <c r="B123" s="82"/>
      <c r="C123" s="82"/>
      <c r="D123" s="82"/>
      <c r="E123" s="82"/>
      <c r="F123" s="82"/>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c r="AV123" s="82"/>
      <c r="AW123" s="82"/>
      <c r="AX123" s="82"/>
      <c r="AY123" s="82"/>
      <c r="AZ123" s="82"/>
    </row>
    <row r="124" spans="1:52" hidden="1" x14ac:dyDescent="0.25">
      <c r="A124" s="82"/>
      <c r="B124" s="82"/>
      <c r="C124" s="82"/>
      <c r="D124" s="82"/>
      <c r="E124" s="82"/>
      <c r="F124" s="82"/>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c r="AV124" s="82"/>
      <c r="AW124" s="82"/>
      <c r="AX124" s="82"/>
      <c r="AY124" s="82"/>
      <c r="AZ124" s="82"/>
    </row>
    <row r="125" spans="1:52" hidden="1" x14ac:dyDescent="0.25">
      <c r="A125" s="82"/>
      <c r="B125" s="82"/>
      <c r="C125" s="82"/>
      <c r="D125" s="82"/>
      <c r="E125" s="82"/>
      <c r="F125" s="8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c r="AV125" s="82"/>
      <c r="AW125" s="82"/>
      <c r="AX125" s="82"/>
      <c r="AY125" s="82"/>
      <c r="AZ125" s="82"/>
    </row>
    <row r="126" spans="1:52" hidden="1" x14ac:dyDescent="0.25">
      <c r="A126" s="82"/>
      <c r="B126" s="82"/>
      <c r="C126" s="82"/>
      <c r="D126" s="82"/>
      <c r="E126" s="82"/>
      <c r="F126" s="8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c r="AV126" s="82"/>
      <c r="AW126" s="82"/>
      <c r="AX126" s="82"/>
      <c r="AY126" s="82"/>
      <c r="AZ126" s="82"/>
    </row>
    <row r="127" spans="1:52" hidden="1" x14ac:dyDescent="0.25">
      <c r="A127" s="82"/>
      <c r="B127" s="82"/>
      <c r="C127" s="82"/>
      <c r="D127" s="82"/>
      <c r="E127" s="82"/>
      <c r="F127" s="8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c r="AV127" s="82"/>
      <c r="AW127" s="82"/>
      <c r="AX127" s="82"/>
      <c r="AY127" s="82"/>
      <c r="AZ127" s="82"/>
    </row>
    <row r="128" spans="1:52" hidden="1" x14ac:dyDescent="0.25">
      <c r="A128" s="82"/>
      <c r="B128" s="82"/>
      <c r="C128" s="82"/>
      <c r="D128" s="82"/>
      <c r="E128" s="82"/>
      <c r="F128" s="82"/>
      <c r="G128" s="82"/>
      <c r="H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c r="AV128" s="82"/>
      <c r="AW128" s="82"/>
      <c r="AX128" s="82"/>
      <c r="AY128" s="82"/>
      <c r="AZ128" s="82"/>
    </row>
    <row r="129" spans="1:52" hidden="1" x14ac:dyDescent="0.25">
      <c r="A129" s="82"/>
      <c r="B129" s="82"/>
      <c r="C129" s="82"/>
      <c r="D129" s="82"/>
      <c r="E129" s="82"/>
      <c r="F129" s="8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c r="AV129" s="82"/>
      <c r="AW129" s="82"/>
      <c r="AX129" s="82"/>
      <c r="AY129" s="82"/>
      <c r="AZ129" s="82"/>
    </row>
    <row r="130" spans="1:52" hidden="1" x14ac:dyDescent="0.25">
      <c r="A130" s="82"/>
      <c r="B130" s="82"/>
      <c r="C130" s="82"/>
      <c r="D130" s="82"/>
      <c r="E130" s="82"/>
      <c r="F130" s="8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c r="AV130" s="82"/>
      <c r="AW130" s="82"/>
      <c r="AX130" s="82"/>
      <c r="AY130" s="82"/>
      <c r="AZ130" s="82"/>
    </row>
    <row r="131" spans="1:52" hidden="1" x14ac:dyDescent="0.25">
      <c r="A131" s="82"/>
      <c r="B131" s="82"/>
      <c r="C131" s="82"/>
      <c r="D131" s="82"/>
      <c r="E131" s="82"/>
      <c r="F131" s="8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c r="AV131" s="82"/>
      <c r="AW131" s="82"/>
      <c r="AX131" s="82"/>
      <c r="AY131" s="82"/>
      <c r="AZ131" s="82"/>
    </row>
    <row r="132" spans="1:52" hidden="1" x14ac:dyDescent="0.25">
      <c r="A132" s="82"/>
      <c r="B132" s="82"/>
      <c r="C132" s="82"/>
      <c r="D132" s="82"/>
      <c r="E132" s="82"/>
      <c r="F132" s="8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c r="AV132" s="82"/>
      <c r="AW132" s="82"/>
      <c r="AX132" s="82"/>
      <c r="AY132" s="82"/>
      <c r="AZ132" s="82"/>
    </row>
    <row r="133" spans="1:52" hidden="1" x14ac:dyDescent="0.25">
      <c r="A133" s="82"/>
      <c r="B133" s="82"/>
      <c r="C133" s="82"/>
      <c r="D133" s="82"/>
      <c r="E133" s="82"/>
      <c r="F133" s="8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c r="AV133" s="82"/>
      <c r="AW133" s="82"/>
      <c r="AX133" s="82"/>
      <c r="AY133" s="82"/>
      <c r="AZ133" s="82"/>
    </row>
    <row r="134" spans="1:52" hidden="1" x14ac:dyDescent="0.25">
      <c r="A134" s="82"/>
      <c r="B134" s="82"/>
      <c r="C134" s="82"/>
      <c r="D134" s="82"/>
      <c r="E134" s="82"/>
      <c r="F134" s="8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c r="AV134" s="82"/>
      <c r="AW134" s="82"/>
      <c r="AX134" s="82"/>
      <c r="AY134" s="82"/>
      <c r="AZ134" s="82"/>
    </row>
    <row r="135" spans="1:52" hidden="1" x14ac:dyDescent="0.25">
      <c r="A135" s="82"/>
      <c r="B135" s="82"/>
      <c r="C135" s="82"/>
      <c r="D135" s="82"/>
      <c r="E135" s="82"/>
      <c r="F135" s="82"/>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c r="AV135" s="82"/>
      <c r="AW135" s="82"/>
      <c r="AX135" s="82"/>
      <c r="AY135" s="82"/>
      <c r="AZ135" s="82"/>
    </row>
    <row r="136" spans="1:52" hidden="1" x14ac:dyDescent="0.25">
      <c r="A136" s="82"/>
      <c r="B136" s="82"/>
      <c r="C136" s="82"/>
      <c r="D136" s="82"/>
      <c r="E136" s="82"/>
      <c r="F136" s="82"/>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c r="AV136" s="82"/>
      <c r="AW136" s="82"/>
      <c r="AX136" s="82"/>
      <c r="AY136" s="82"/>
      <c r="AZ136" s="82"/>
    </row>
    <row r="137" spans="1:52" hidden="1" x14ac:dyDescent="0.25">
      <c r="A137" s="82"/>
      <c r="B137" s="82"/>
      <c r="C137" s="82"/>
      <c r="D137" s="82"/>
      <c r="E137" s="82"/>
      <c r="F137" s="82"/>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c r="AV137" s="82"/>
      <c r="AW137" s="82"/>
      <c r="AX137" s="82"/>
      <c r="AY137" s="82"/>
      <c r="AZ137" s="82"/>
    </row>
    <row r="138" spans="1:52" hidden="1" x14ac:dyDescent="0.25">
      <c r="A138" s="82"/>
      <c r="B138" s="82"/>
      <c r="C138" s="82"/>
      <c r="D138" s="82"/>
      <c r="E138" s="82"/>
      <c r="F138" s="82"/>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c r="AV138" s="82"/>
      <c r="AW138" s="82"/>
      <c r="AX138" s="82"/>
      <c r="AY138" s="82"/>
      <c r="AZ138" s="82"/>
    </row>
    <row r="139" spans="1:52" hidden="1" x14ac:dyDescent="0.25">
      <c r="A139" s="82"/>
      <c r="B139" s="82"/>
      <c r="C139" s="82"/>
      <c r="D139" s="82"/>
      <c r="E139" s="82"/>
      <c r="F139" s="82"/>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c r="AV139" s="82"/>
      <c r="AW139" s="82"/>
      <c r="AX139" s="82"/>
      <c r="AY139" s="82"/>
      <c r="AZ139" s="82"/>
    </row>
    <row r="140" spans="1:52" hidden="1" x14ac:dyDescent="0.25">
      <c r="A140" s="82"/>
      <c r="B140" s="82"/>
      <c r="C140" s="82"/>
      <c r="D140" s="82"/>
      <c r="E140" s="82"/>
      <c r="F140" s="82"/>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c r="AV140" s="82"/>
      <c r="AW140" s="82"/>
      <c r="AX140" s="82"/>
      <c r="AY140" s="82"/>
      <c r="AZ140" s="82"/>
    </row>
    <row r="141" spans="1:52" hidden="1" x14ac:dyDescent="0.25">
      <c r="A141" s="82"/>
      <c r="B141" s="82"/>
      <c r="C141" s="82"/>
      <c r="D141" s="82"/>
      <c r="E141" s="82"/>
      <c r="F141" s="82"/>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c r="AV141" s="82"/>
      <c r="AW141" s="82"/>
      <c r="AX141" s="82"/>
      <c r="AY141" s="82"/>
      <c r="AZ141" s="82"/>
    </row>
    <row r="142" spans="1:52" hidden="1" x14ac:dyDescent="0.25">
      <c r="A142" s="82"/>
      <c r="B142" s="82"/>
      <c r="C142" s="82"/>
      <c r="D142" s="82"/>
      <c r="E142" s="82"/>
      <c r="F142" s="82"/>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c r="AV142" s="82"/>
      <c r="AW142" s="82"/>
      <c r="AX142" s="82"/>
      <c r="AY142" s="82"/>
      <c r="AZ142" s="82"/>
    </row>
    <row r="143" spans="1:52" hidden="1" x14ac:dyDescent="0.25">
      <c r="A143" s="82"/>
      <c r="B143" s="82"/>
      <c r="C143" s="82"/>
      <c r="D143" s="82"/>
      <c r="E143" s="82"/>
      <c r="F143" s="82"/>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c r="AV143" s="82"/>
      <c r="AW143" s="82"/>
      <c r="AX143" s="82"/>
      <c r="AY143" s="82"/>
      <c r="AZ143" s="82"/>
    </row>
    <row r="144" spans="1:52" hidden="1" x14ac:dyDescent="0.25">
      <c r="A144" s="82"/>
      <c r="B144" s="82"/>
      <c r="C144" s="82"/>
      <c r="D144" s="82"/>
      <c r="E144" s="82"/>
      <c r="F144" s="8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c r="AV144" s="82"/>
      <c r="AW144" s="82"/>
      <c r="AX144" s="82"/>
      <c r="AY144" s="82"/>
      <c r="AZ144" s="82"/>
    </row>
    <row r="145" spans="1:52" hidden="1" x14ac:dyDescent="0.25">
      <c r="A145" s="82"/>
      <c r="B145" s="82"/>
      <c r="C145" s="82"/>
      <c r="D145" s="82"/>
      <c r="E145" s="82"/>
      <c r="F145" s="8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c r="AV145" s="82"/>
      <c r="AW145" s="82"/>
      <c r="AX145" s="82"/>
      <c r="AY145" s="82"/>
      <c r="AZ145" s="82"/>
    </row>
    <row r="146" spans="1:52" hidden="1" x14ac:dyDescent="0.25">
      <c r="A146" s="82"/>
      <c r="B146" s="82"/>
      <c r="C146" s="82"/>
      <c r="D146" s="82"/>
      <c r="E146" s="82"/>
      <c r="F146" s="8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c r="AV146" s="82"/>
      <c r="AW146" s="82"/>
      <c r="AX146" s="82"/>
      <c r="AY146" s="82"/>
      <c r="AZ146" s="82"/>
    </row>
    <row r="147" spans="1:52" hidden="1" x14ac:dyDescent="0.25">
      <c r="A147" s="82"/>
      <c r="B147" s="82"/>
      <c r="C147" s="82"/>
      <c r="D147" s="82"/>
      <c r="E147" s="82"/>
      <c r="F147" s="82"/>
      <c r="G147" s="82"/>
      <c r="H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c r="AV147" s="82"/>
      <c r="AW147" s="82"/>
      <c r="AX147" s="82"/>
      <c r="AY147" s="82"/>
      <c r="AZ147" s="82"/>
    </row>
    <row r="148" spans="1:52" hidden="1" x14ac:dyDescent="0.25">
      <c r="A148" s="82"/>
      <c r="B148" s="82"/>
      <c r="C148" s="82"/>
      <c r="D148" s="82"/>
      <c r="E148" s="82"/>
      <c r="F148" s="8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c r="AV148" s="82"/>
      <c r="AW148" s="82"/>
      <c r="AX148" s="82"/>
      <c r="AY148" s="82"/>
      <c r="AZ148" s="82"/>
    </row>
    <row r="149" spans="1:52" hidden="1" x14ac:dyDescent="0.25">
      <c r="A149" s="82"/>
      <c r="B149" s="82"/>
      <c r="C149" s="82"/>
      <c r="D149" s="82"/>
      <c r="E149" s="82"/>
      <c r="F149" s="8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c r="AV149" s="82"/>
      <c r="AW149" s="82"/>
      <c r="AX149" s="82"/>
      <c r="AY149" s="82"/>
      <c r="AZ149" s="82"/>
    </row>
    <row r="150" spans="1:52" hidden="1" x14ac:dyDescent="0.25">
      <c r="A150" s="82"/>
      <c r="B150" s="82"/>
      <c r="C150" s="82"/>
      <c r="D150" s="82"/>
      <c r="E150" s="82"/>
      <c r="F150" s="8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c r="AV150" s="82"/>
      <c r="AW150" s="82"/>
      <c r="AX150" s="82"/>
      <c r="AY150" s="82"/>
      <c r="AZ150" s="82"/>
    </row>
    <row r="151" spans="1:52" hidden="1" x14ac:dyDescent="0.25">
      <c r="A151" s="82"/>
      <c r="B151" s="82"/>
      <c r="C151" s="82"/>
      <c r="D151" s="82"/>
      <c r="E151" s="82"/>
      <c r="F151" s="8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c r="AV151" s="82"/>
      <c r="AW151" s="82"/>
      <c r="AX151" s="82"/>
      <c r="AY151" s="82"/>
      <c r="AZ151" s="82"/>
    </row>
    <row r="152" spans="1:52" hidden="1" x14ac:dyDescent="0.25">
      <c r="A152" s="82"/>
      <c r="B152" s="82"/>
      <c r="C152" s="82"/>
      <c r="D152" s="82"/>
      <c r="E152" s="82"/>
      <c r="F152" s="8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c r="AV152" s="82"/>
      <c r="AW152" s="82"/>
      <c r="AX152" s="82"/>
      <c r="AY152" s="82"/>
      <c r="AZ152" s="82"/>
    </row>
    <row r="153" spans="1:52" hidden="1" x14ac:dyDescent="0.25">
      <c r="A153" s="82"/>
      <c r="B153" s="82"/>
      <c r="C153" s="82"/>
      <c r="D153" s="82"/>
      <c r="E153" s="82"/>
      <c r="F153" s="8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c r="AV153" s="82"/>
      <c r="AW153" s="82"/>
      <c r="AX153" s="82"/>
      <c r="AY153" s="82"/>
      <c r="AZ153" s="82"/>
    </row>
    <row r="154" spans="1:52" hidden="1" x14ac:dyDescent="0.25">
      <c r="A154" s="82"/>
      <c r="B154" s="82"/>
      <c r="C154" s="82"/>
      <c r="D154" s="82"/>
      <c r="E154" s="82"/>
      <c r="F154" s="8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c r="AV154" s="82"/>
      <c r="AW154" s="82"/>
      <c r="AX154" s="82"/>
      <c r="AY154" s="82"/>
      <c r="AZ154" s="82"/>
    </row>
    <row r="155" spans="1:52" hidden="1" x14ac:dyDescent="0.25">
      <c r="A155" s="82"/>
      <c r="B155" s="82"/>
      <c r="C155" s="82"/>
      <c r="D155" s="82"/>
      <c r="E155" s="82"/>
      <c r="F155" s="8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c r="AV155" s="82"/>
      <c r="AW155" s="82"/>
      <c r="AX155" s="82"/>
      <c r="AY155" s="82"/>
      <c r="AZ155" s="82"/>
    </row>
    <row r="156" spans="1:52" hidden="1" x14ac:dyDescent="0.25">
      <c r="A156" s="82"/>
      <c r="B156" s="82"/>
      <c r="C156" s="82"/>
      <c r="D156" s="82"/>
      <c r="E156" s="82"/>
      <c r="F156" s="82"/>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c r="AV156" s="82"/>
      <c r="AW156" s="82"/>
      <c r="AX156" s="82"/>
      <c r="AY156" s="82"/>
      <c r="AZ156" s="82"/>
    </row>
    <row r="157" spans="1:52" hidden="1" x14ac:dyDescent="0.25">
      <c r="A157" s="82"/>
      <c r="B157" s="82"/>
      <c r="C157" s="82"/>
      <c r="D157" s="82"/>
      <c r="E157" s="82"/>
      <c r="F157" s="82"/>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c r="AV157" s="82"/>
      <c r="AW157" s="82"/>
      <c r="AX157" s="82"/>
      <c r="AY157" s="82"/>
      <c r="AZ157" s="82"/>
    </row>
    <row r="158" spans="1:52" hidden="1" x14ac:dyDescent="0.25">
      <c r="A158" s="82"/>
      <c r="B158" s="82"/>
      <c r="C158" s="82"/>
      <c r="D158" s="82"/>
      <c r="E158" s="82"/>
      <c r="F158" s="82"/>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c r="AV158" s="82"/>
      <c r="AW158" s="82"/>
      <c r="AX158" s="82"/>
      <c r="AY158" s="82"/>
      <c r="AZ158" s="82"/>
    </row>
    <row r="159" spans="1:52" hidden="1" x14ac:dyDescent="0.25">
      <c r="A159" s="82"/>
      <c r="B159" s="82"/>
      <c r="C159" s="82"/>
      <c r="D159" s="82"/>
      <c r="E159" s="82"/>
      <c r="F159" s="82"/>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c r="AV159" s="82"/>
      <c r="AW159" s="82"/>
      <c r="AX159" s="82"/>
      <c r="AY159" s="82"/>
      <c r="AZ159" s="82"/>
    </row>
    <row r="160" spans="1:52" hidden="1" x14ac:dyDescent="0.25">
      <c r="A160" s="82"/>
      <c r="B160" s="82"/>
      <c r="C160" s="82"/>
      <c r="D160" s="82"/>
      <c r="E160" s="82"/>
      <c r="F160" s="82"/>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c r="AV160" s="82"/>
      <c r="AW160" s="82"/>
      <c r="AX160" s="82"/>
      <c r="AY160" s="82"/>
      <c r="AZ160" s="82"/>
    </row>
    <row r="161" spans="1:52" hidden="1" x14ac:dyDescent="0.25">
      <c r="A161" s="82"/>
      <c r="B161" s="82"/>
      <c r="C161" s="82"/>
      <c r="D161" s="82"/>
      <c r="E161" s="82"/>
      <c r="F161" s="82"/>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c r="AV161" s="82"/>
      <c r="AW161" s="82"/>
      <c r="AX161" s="82"/>
      <c r="AY161" s="82"/>
      <c r="AZ161" s="82"/>
    </row>
    <row r="162" spans="1:52" hidden="1" x14ac:dyDescent="0.25">
      <c r="A162" s="82"/>
      <c r="B162" s="82"/>
      <c r="C162" s="82"/>
      <c r="D162" s="82"/>
      <c r="E162" s="82"/>
      <c r="F162" s="82"/>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c r="AV162" s="82"/>
      <c r="AW162" s="82"/>
      <c r="AX162" s="82"/>
      <c r="AY162" s="82"/>
      <c r="AZ162" s="82"/>
    </row>
    <row r="163" spans="1:52" hidden="1" x14ac:dyDescent="0.25">
      <c r="A163" s="82"/>
      <c r="B163" s="82"/>
      <c r="C163" s="82"/>
      <c r="D163" s="82"/>
      <c r="E163" s="82"/>
      <c r="F163" s="82"/>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c r="AV163" s="82"/>
      <c r="AW163" s="82"/>
      <c r="AX163" s="82"/>
      <c r="AY163" s="82"/>
      <c r="AZ163" s="82"/>
    </row>
    <row r="164" spans="1:52" hidden="1" x14ac:dyDescent="0.25">
      <c r="A164" s="82"/>
      <c r="B164" s="82"/>
      <c r="C164" s="82"/>
      <c r="D164" s="82"/>
      <c r="E164" s="82"/>
      <c r="F164" s="8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c r="AV164" s="82"/>
      <c r="AW164" s="82"/>
      <c r="AX164" s="82"/>
      <c r="AY164" s="82"/>
      <c r="AZ164" s="82"/>
    </row>
    <row r="165" spans="1:52" hidden="1" x14ac:dyDescent="0.25">
      <c r="A165" s="82"/>
      <c r="B165" s="82"/>
      <c r="C165" s="82"/>
      <c r="D165" s="82"/>
      <c r="E165" s="82"/>
      <c r="F165" s="8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c r="AV165" s="82"/>
      <c r="AW165" s="82"/>
      <c r="AX165" s="82"/>
      <c r="AY165" s="82"/>
      <c r="AZ165" s="82"/>
    </row>
    <row r="166" spans="1:52" hidden="1" x14ac:dyDescent="0.25">
      <c r="A166" s="82"/>
      <c r="B166" s="82"/>
      <c r="C166" s="82"/>
      <c r="D166" s="82"/>
      <c r="E166" s="82"/>
      <c r="F166" s="8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c r="AV166" s="82"/>
      <c r="AW166" s="82"/>
      <c r="AX166" s="82"/>
      <c r="AY166" s="82"/>
      <c r="AZ166" s="82"/>
    </row>
    <row r="167" spans="1:52" hidden="1" x14ac:dyDescent="0.25">
      <c r="A167" s="82"/>
      <c r="B167" s="82"/>
      <c r="C167" s="82"/>
      <c r="D167" s="82"/>
      <c r="E167" s="82"/>
      <c r="F167" s="8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c r="AV167" s="82"/>
      <c r="AW167" s="82"/>
      <c r="AX167" s="82"/>
      <c r="AY167" s="82"/>
      <c r="AZ167" s="82"/>
    </row>
    <row r="168" spans="1:52" hidden="1" x14ac:dyDescent="0.25">
      <c r="A168" s="82"/>
      <c r="B168" s="82"/>
      <c r="C168" s="82"/>
      <c r="D168" s="82"/>
      <c r="E168" s="82"/>
      <c r="F168" s="8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c r="AV168" s="82"/>
      <c r="AW168" s="82"/>
      <c r="AX168" s="82"/>
      <c r="AY168" s="82"/>
      <c r="AZ168" s="82"/>
    </row>
    <row r="169" spans="1:52" hidden="1" x14ac:dyDescent="0.25">
      <c r="A169" s="82"/>
      <c r="B169" s="82"/>
      <c r="C169" s="82"/>
      <c r="D169" s="82"/>
      <c r="E169" s="82"/>
      <c r="F169" s="8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c r="AV169" s="82"/>
      <c r="AW169" s="82"/>
      <c r="AX169" s="82"/>
      <c r="AY169" s="82"/>
      <c r="AZ169" s="82"/>
    </row>
    <row r="170" spans="1:52" hidden="1" x14ac:dyDescent="0.25">
      <c r="A170" s="82"/>
      <c r="B170" s="82"/>
      <c r="C170" s="82"/>
      <c r="D170" s="82"/>
      <c r="E170" s="82"/>
      <c r="F170" s="8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c r="AV170" s="82"/>
      <c r="AW170" s="82"/>
      <c r="AX170" s="82"/>
      <c r="AY170" s="82"/>
      <c r="AZ170" s="82"/>
    </row>
    <row r="171" spans="1:52" hidden="1" x14ac:dyDescent="0.25">
      <c r="A171" s="82"/>
      <c r="B171" s="82"/>
      <c r="C171" s="82"/>
      <c r="D171" s="82"/>
      <c r="E171" s="82"/>
      <c r="F171" s="8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c r="AV171" s="82"/>
      <c r="AW171" s="82"/>
      <c r="AX171" s="82"/>
      <c r="AY171" s="82"/>
      <c r="AZ171" s="82"/>
    </row>
    <row r="172" spans="1:52" hidden="1" x14ac:dyDescent="0.25">
      <c r="A172" s="82"/>
      <c r="B172" s="82"/>
      <c r="C172" s="82"/>
      <c r="D172" s="82"/>
      <c r="E172" s="82"/>
      <c r="F172" s="8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c r="AV172" s="82"/>
      <c r="AW172" s="82"/>
      <c r="AX172" s="82"/>
      <c r="AY172" s="82"/>
      <c r="AZ172" s="82"/>
    </row>
    <row r="173" spans="1:52" hidden="1" x14ac:dyDescent="0.25">
      <c r="A173" s="82"/>
      <c r="B173" s="82"/>
      <c r="C173" s="82"/>
      <c r="D173" s="82"/>
      <c r="E173" s="82"/>
      <c r="F173" s="82"/>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c r="AV173" s="82"/>
      <c r="AW173" s="82"/>
      <c r="AX173" s="82"/>
      <c r="AY173" s="82"/>
      <c r="AZ173" s="82"/>
    </row>
    <row r="174" spans="1:52" hidden="1" x14ac:dyDescent="0.25">
      <c r="A174" s="82"/>
      <c r="B174" s="82"/>
      <c r="C174" s="82"/>
      <c r="D174" s="82"/>
      <c r="E174" s="82"/>
      <c r="F174" s="82"/>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c r="AV174" s="82"/>
      <c r="AW174" s="82"/>
      <c r="AX174" s="82"/>
      <c r="AY174" s="82"/>
      <c r="AZ174" s="82"/>
    </row>
    <row r="175" spans="1:52" hidden="1" x14ac:dyDescent="0.25">
      <c r="A175" s="82"/>
      <c r="B175" s="82"/>
      <c r="C175" s="82"/>
      <c r="D175" s="82"/>
      <c r="E175" s="82"/>
      <c r="F175" s="82"/>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c r="AV175" s="82"/>
      <c r="AW175" s="82"/>
      <c r="AX175" s="82"/>
      <c r="AY175" s="82"/>
      <c r="AZ175" s="82"/>
    </row>
    <row r="176" spans="1:52" hidden="1" x14ac:dyDescent="0.25">
      <c r="A176" s="82"/>
      <c r="B176" s="82"/>
      <c r="C176" s="82"/>
      <c r="D176" s="82"/>
      <c r="E176" s="82"/>
      <c r="F176" s="82"/>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c r="AV176" s="82"/>
      <c r="AW176" s="82"/>
      <c r="AX176" s="82"/>
      <c r="AY176" s="82"/>
      <c r="AZ176" s="82"/>
    </row>
    <row r="177" spans="1:52" hidden="1" x14ac:dyDescent="0.25">
      <c r="A177" s="82"/>
      <c r="B177" s="82"/>
      <c r="C177" s="82"/>
      <c r="D177" s="82"/>
      <c r="E177" s="82"/>
      <c r="F177" s="82"/>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c r="AV177" s="82"/>
      <c r="AW177" s="82"/>
      <c r="AX177" s="82"/>
      <c r="AY177" s="82"/>
      <c r="AZ177" s="82"/>
    </row>
    <row r="178" spans="1:52" hidden="1" x14ac:dyDescent="0.25">
      <c r="A178" s="82"/>
      <c r="B178" s="82"/>
      <c r="C178" s="82"/>
      <c r="D178" s="82"/>
      <c r="E178" s="82"/>
      <c r="F178" s="82"/>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c r="AV178" s="82"/>
      <c r="AW178" s="82"/>
      <c r="AX178" s="82"/>
      <c r="AY178" s="82"/>
      <c r="AZ178" s="82"/>
    </row>
    <row r="179" spans="1:52" hidden="1" x14ac:dyDescent="0.25">
      <c r="A179" s="82"/>
      <c r="B179" s="82"/>
      <c r="C179" s="82"/>
      <c r="D179" s="82"/>
      <c r="E179" s="82"/>
      <c r="F179" s="8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c r="AV179" s="82"/>
      <c r="AW179" s="82"/>
      <c r="AX179" s="82"/>
      <c r="AY179" s="82"/>
      <c r="AZ179" s="82"/>
    </row>
    <row r="180" spans="1:52" hidden="1" x14ac:dyDescent="0.25">
      <c r="A180" s="82"/>
      <c r="B180" s="82"/>
      <c r="C180" s="82"/>
      <c r="D180" s="82"/>
      <c r="E180" s="82"/>
      <c r="F180" s="8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c r="AV180" s="82"/>
      <c r="AW180" s="82"/>
      <c r="AX180" s="82"/>
      <c r="AY180" s="82"/>
      <c r="AZ180" s="82"/>
    </row>
    <row r="181" spans="1:52" hidden="1" x14ac:dyDescent="0.25">
      <c r="A181" s="82"/>
      <c r="B181" s="82"/>
      <c r="C181" s="82"/>
      <c r="D181" s="82"/>
      <c r="E181" s="82"/>
      <c r="F181" s="8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c r="AV181" s="82"/>
      <c r="AW181" s="82"/>
      <c r="AX181" s="82"/>
      <c r="AY181" s="82"/>
      <c r="AZ181" s="82"/>
    </row>
    <row r="182" spans="1:52" hidden="1" x14ac:dyDescent="0.25">
      <c r="A182" s="82"/>
      <c r="B182" s="82"/>
      <c r="C182" s="82"/>
      <c r="D182" s="82"/>
      <c r="E182" s="82"/>
      <c r="F182" s="8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c r="AV182" s="82"/>
      <c r="AW182" s="82"/>
      <c r="AX182" s="82"/>
      <c r="AY182" s="82"/>
      <c r="AZ182" s="82"/>
    </row>
    <row r="183" spans="1:52" hidden="1" x14ac:dyDescent="0.25">
      <c r="A183" s="82"/>
      <c r="B183" s="82"/>
      <c r="C183" s="82"/>
      <c r="D183" s="82"/>
      <c r="E183" s="82"/>
      <c r="F183" s="8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c r="AV183" s="82"/>
      <c r="AW183" s="82"/>
      <c r="AX183" s="82"/>
      <c r="AY183" s="82"/>
      <c r="AZ183" s="82"/>
    </row>
    <row r="184" spans="1:52" hidden="1" x14ac:dyDescent="0.25">
      <c r="A184" s="82"/>
      <c r="B184" s="82"/>
      <c r="C184" s="82"/>
      <c r="D184" s="82"/>
      <c r="E184" s="82"/>
      <c r="F184" s="8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c r="AV184" s="82"/>
      <c r="AW184" s="82"/>
      <c r="AX184" s="82"/>
      <c r="AY184" s="82"/>
      <c r="AZ184" s="82"/>
    </row>
    <row r="185" spans="1:52" hidden="1" x14ac:dyDescent="0.25">
      <c r="A185" s="82"/>
      <c r="B185" s="82"/>
      <c r="C185" s="82"/>
      <c r="D185" s="82"/>
      <c r="E185" s="82"/>
      <c r="F185" s="82"/>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c r="AV185" s="82"/>
      <c r="AW185" s="82"/>
      <c r="AX185" s="82"/>
      <c r="AY185" s="82"/>
      <c r="AZ185" s="82"/>
    </row>
    <row r="186" spans="1:52" hidden="1" x14ac:dyDescent="0.25">
      <c r="A186" s="82"/>
      <c r="B186" s="82"/>
      <c r="C186" s="82"/>
      <c r="D186" s="82"/>
      <c r="E186" s="82"/>
      <c r="F186" s="82"/>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c r="AV186" s="82"/>
      <c r="AW186" s="82"/>
      <c r="AX186" s="82"/>
      <c r="AY186" s="82"/>
      <c r="AZ186" s="82"/>
    </row>
    <row r="187" spans="1:52" hidden="1" x14ac:dyDescent="0.25">
      <c r="A187" s="82"/>
      <c r="B187" s="82"/>
      <c r="C187" s="82"/>
      <c r="D187" s="82"/>
      <c r="E187" s="82"/>
      <c r="F187" s="82"/>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c r="AV187" s="82"/>
      <c r="AW187" s="82"/>
      <c r="AX187" s="82"/>
      <c r="AY187" s="82"/>
      <c r="AZ187" s="82"/>
    </row>
    <row r="188" spans="1:52" hidden="1" x14ac:dyDescent="0.25">
      <c r="A188" s="82"/>
      <c r="B188" s="82"/>
      <c r="C188" s="82"/>
      <c r="D188" s="82"/>
      <c r="E188" s="82"/>
      <c r="F188" s="82"/>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c r="AV188" s="82"/>
      <c r="AW188" s="82"/>
      <c r="AX188" s="82"/>
      <c r="AY188" s="82"/>
      <c r="AZ188" s="82"/>
    </row>
    <row r="189" spans="1:52" hidden="1" x14ac:dyDescent="0.25">
      <c r="A189" s="82"/>
      <c r="B189" s="82"/>
      <c r="C189" s="82"/>
      <c r="D189" s="82"/>
      <c r="E189" s="82"/>
      <c r="F189" s="82"/>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c r="AV189" s="82"/>
      <c r="AW189" s="82"/>
      <c r="AX189" s="82"/>
      <c r="AY189" s="82"/>
      <c r="AZ189" s="82"/>
    </row>
    <row r="190" spans="1:52" hidden="1" x14ac:dyDescent="0.25">
      <c r="A190" s="82"/>
      <c r="B190" s="82"/>
      <c r="C190" s="82"/>
      <c r="D190" s="82"/>
      <c r="E190" s="82"/>
      <c r="F190" s="82"/>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c r="AV190" s="82"/>
      <c r="AW190" s="82"/>
      <c r="AX190" s="82"/>
      <c r="AY190" s="82"/>
      <c r="AZ190" s="82"/>
    </row>
    <row r="191" spans="1:52" hidden="1" x14ac:dyDescent="0.25">
      <c r="A191" s="82"/>
      <c r="B191" s="82"/>
      <c r="C191" s="82"/>
      <c r="D191" s="82"/>
      <c r="E191" s="82"/>
      <c r="F191" s="82"/>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c r="AV191" s="82"/>
      <c r="AW191" s="82"/>
      <c r="AX191" s="82"/>
      <c r="AY191" s="82"/>
      <c r="AZ191" s="82"/>
    </row>
    <row r="192" spans="1:52" hidden="1" x14ac:dyDescent="0.25">
      <c r="A192" s="82"/>
      <c r="B192" s="82"/>
      <c r="C192" s="82"/>
      <c r="D192" s="82"/>
      <c r="E192" s="82"/>
      <c r="F192" s="82"/>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c r="AV192" s="82"/>
      <c r="AW192" s="82"/>
      <c r="AX192" s="82"/>
      <c r="AY192" s="82"/>
      <c r="AZ192" s="82"/>
    </row>
    <row r="193" spans="1:52" hidden="1" x14ac:dyDescent="0.25">
      <c r="A193" s="82"/>
      <c r="B193" s="82"/>
      <c r="C193" s="82"/>
      <c r="D193" s="82"/>
      <c r="E193" s="82"/>
      <c r="F193" s="82"/>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c r="AV193" s="82"/>
      <c r="AW193" s="82"/>
      <c r="AX193" s="82"/>
      <c r="AY193" s="82"/>
      <c r="AZ193" s="82"/>
    </row>
    <row r="194" spans="1:52" hidden="1" x14ac:dyDescent="0.25">
      <c r="A194" s="82"/>
      <c r="B194" s="82"/>
      <c r="C194" s="82"/>
      <c r="D194" s="82"/>
      <c r="E194" s="82"/>
      <c r="F194" s="82"/>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c r="AV194" s="82"/>
      <c r="AW194" s="82"/>
      <c r="AX194" s="82"/>
      <c r="AY194" s="82"/>
      <c r="AZ194" s="82"/>
    </row>
    <row r="195" spans="1:52" hidden="1" x14ac:dyDescent="0.25">
      <c r="A195" s="82"/>
      <c r="B195" s="82"/>
      <c r="C195" s="82"/>
      <c r="D195" s="82"/>
      <c r="E195" s="82"/>
      <c r="F195" s="82"/>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c r="AV195" s="82"/>
      <c r="AW195" s="82"/>
      <c r="AX195" s="82"/>
      <c r="AY195" s="82"/>
      <c r="AZ195" s="82"/>
    </row>
    <row r="196" spans="1:52" hidden="1" x14ac:dyDescent="0.25">
      <c r="A196" s="82"/>
      <c r="B196" s="82"/>
      <c r="C196" s="82"/>
      <c r="D196" s="82"/>
      <c r="E196" s="82"/>
      <c r="F196" s="82"/>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c r="AV196" s="82"/>
      <c r="AW196" s="82"/>
      <c r="AX196" s="82"/>
      <c r="AY196" s="82"/>
      <c r="AZ196" s="82"/>
    </row>
    <row r="197" spans="1:52" hidden="1" x14ac:dyDescent="0.25">
      <c r="A197" s="82"/>
      <c r="B197" s="82"/>
      <c r="C197" s="82"/>
      <c r="D197" s="82"/>
      <c r="E197" s="82"/>
      <c r="F197" s="82"/>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c r="AV197" s="82"/>
      <c r="AW197" s="82"/>
      <c r="AX197" s="82"/>
      <c r="AY197" s="82"/>
      <c r="AZ197" s="82"/>
    </row>
    <row r="198" spans="1:52" hidden="1" x14ac:dyDescent="0.25">
      <c r="A198" s="82"/>
      <c r="B198" s="82"/>
      <c r="C198" s="82"/>
      <c r="D198" s="82"/>
      <c r="E198" s="82"/>
      <c r="F198" s="82"/>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c r="AV198" s="82"/>
      <c r="AW198" s="82"/>
      <c r="AX198" s="82"/>
      <c r="AY198" s="82"/>
      <c r="AZ198" s="82"/>
    </row>
    <row r="199" spans="1:52" hidden="1" x14ac:dyDescent="0.25">
      <c r="A199" s="82"/>
      <c r="B199" s="82"/>
      <c r="C199" s="82"/>
      <c r="D199" s="82"/>
      <c r="E199" s="82"/>
      <c r="F199" s="82"/>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c r="AV199" s="82"/>
      <c r="AW199" s="82"/>
      <c r="AX199" s="82"/>
      <c r="AY199" s="82"/>
      <c r="AZ199" s="82"/>
    </row>
    <row r="200" spans="1:52" hidden="1" x14ac:dyDescent="0.25">
      <c r="A200" s="82"/>
      <c r="B200" s="82"/>
      <c r="C200" s="82"/>
      <c r="D200" s="82"/>
      <c r="E200" s="82"/>
      <c r="F200" s="82"/>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c r="AV200" s="82"/>
      <c r="AW200" s="82"/>
      <c r="AX200" s="82"/>
      <c r="AY200" s="82"/>
      <c r="AZ200" s="82"/>
    </row>
    <row r="201" spans="1:52" hidden="1" x14ac:dyDescent="0.25">
      <c r="A201" s="82"/>
      <c r="B201" s="82"/>
      <c r="C201" s="82"/>
      <c r="D201" s="82"/>
      <c r="E201" s="82"/>
      <c r="F201" s="82"/>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c r="AV201" s="82"/>
      <c r="AW201" s="82"/>
      <c r="AX201" s="82"/>
      <c r="AY201" s="82"/>
      <c r="AZ201" s="82"/>
    </row>
    <row r="202" spans="1:52" hidden="1" x14ac:dyDescent="0.25">
      <c r="A202" s="82"/>
      <c r="B202" s="82"/>
      <c r="C202" s="82"/>
      <c r="D202" s="82"/>
      <c r="E202" s="82"/>
      <c r="F202" s="82"/>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c r="AV202" s="82"/>
      <c r="AW202" s="82"/>
      <c r="AX202" s="82"/>
      <c r="AY202" s="82"/>
      <c r="AZ202" s="82"/>
    </row>
    <row r="203" spans="1:52" hidden="1" x14ac:dyDescent="0.25">
      <c r="A203" s="82"/>
      <c r="B203" s="82"/>
      <c r="C203" s="82"/>
      <c r="D203" s="82"/>
      <c r="E203" s="82"/>
      <c r="F203" s="82"/>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c r="AV203" s="82"/>
      <c r="AW203" s="82"/>
      <c r="AX203" s="82"/>
      <c r="AY203" s="82"/>
      <c r="AZ203" s="82"/>
    </row>
    <row r="204" spans="1:52" hidden="1" x14ac:dyDescent="0.25">
      <c r="A204" s="82"/>
      <c r="B204" s="82"/>
      <c r="C204" s="82"/>
      <c r="D204" s="82"/>
      <c r="E204" s="82"/>
      <c r="F204" s="82"/>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c r="AV204" s="82"/>
      <c r="AW204" s="82"/>
      <c r="AX204" s="82"/>
      <c r="AY204" s="82"/>
      <c r="AZ204" s="82"/>
    </row>
    <row r="205" spans="1:52" hidden="1" x14ac:dyDescent="0.25">
      <c r="A205" s="82"/>
      <c r="B205" s="82"/>
      <c r="C205" s="82"/>
      <c r="D205" s="82"/>
      <c r="E205" s="82"/>
      <c r="F205" s="82"/>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c r="AV205" s="82"/>
      <c r="AW205" s="82"/>
      <c r="AX205" s="82"/>
      <c r="AY205" s="82"/>
      <c r="AZ205" s="82"/>
    </row>
    <row r="206" spans="1:52" hidden="1" x14ac:dyDescent="0.25">
      <c r="A206" s="82"/>
      <c r="B206" s="82"/>
      <c r="C206" s="82"/>
      <c r="D206" s="82"/>
      <c r="E206" s="82"/>
      <c r="F206" s="82"/>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c r="AV206" s="82"/>
      <c r="AW206" s="82"/>
      <c r="AX206" s="82"/>
      <c r="AY206" s="82"/>
      <c r="AZ206" s="82"/>
    </row>
    <row r="207" spans="1:52" hidden="1" x14ac:dyDescent="0.25">
      <c r="A207" s="82"/>
      <c r="B207" s="82"/>
      <c r="C207" s="82"/>
      <c r="D207" s="82"/>
      <c r="E207" s="82"/>
      <c r="F207" s="82"/>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c r="AV207" s="82"/>
      <c r="AW207" s="82"/>
      <c r="AX207" s="82"/>
      <c r="AY207" s="82"/>
      <c r="AZ207" s="82"/>
    </row>
    <row r="208" spans="1:52" hidden="1" x14ac:dyDescent="0.25">
      <c r="A208" s="82"/>
      <c r="B208" s="82"/>
      <c r="C208" s="82"/>
      <c r="D208" s="82"/>
      <c r="E208" s="82"/>
      <c r="F208" s="82"/>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c r="AV208" s="82"/>
      <c r="AW208" s="82"/>
      <c r="AX208" s="82"/>
      <c r="AY208" s="82"/>
      <c r="AZ208" s="82"/>
    </row>
    <row r="209" spans="1:52" hidden="1" x14ac:dyDescent="0.25">
      <c r="A209" s="82"/>
      <c r="B209" s="82"/>
      <c r="C209" s="82"/>
      <c r="D209" s="82"/>
      <c r="E209" s="82"/>
      <c r="F209" s="82"/>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c r="AV209" s="82"/>
      <c r="AW209" s="82"/>
      <c r="AX209" s="82"/>
      <c r="AY209" s="82"/>
      <c r="AZ209" s="82"/>
    </row>
    <row r="210" spans="1:52" hidden="1" x14ac:dyDescent="0.25">
      <c r="A210" s="82"/>
      <c r="B210" s="82"/>
      <c r="C210" s="82"/>
      <c r="D210" s="82"/>
      <c r="E210" s="82"/>
      <c r="F210" s="82"/>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c r="AV210" s="82"/>
      <c r="AW210" s="82"/>
      <c r="AX210" s="82"/>
      <c r="AY210" s="82"/>
      <c r="AZ210" s="82"/>
    </row>
    <row r="211" spans="1:52" hidden="1" x14ac:dyDescent="0.25">
      <c r="A211" s="82"/>
      <c r="B211" s="82"/>
      <c r="C211" s="82"/>
      <c r="D211" s="82"/>
      <c r="E211" s="82"/>
      <c r="F211" s="82"/>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c r="AV211" s="82"/>
      <c r="AW211" s="82"/>
      <c r="AX211" s="82"/>
      <c r="AY211" s="82"/>
      <c r="AZ211" s="82"/>
    </row>
    <row r="212" spans="1:52" hidden="1" x14ac:dyDescent="0.25">
      <c r="A212" s="82"/>
      <c r="B212" s="82"/>
      <c r="C212" s="82"/>
      <c r="D212" s="82"/>
      <c r="E212" s="82"/>
      <c r="F212" s="82"/>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c r="AV212" s="82"/>
      <c r="AW212" s="82"/>
      <c r="AX212" s="82"/>
      <c r="AY212" s="82"/>
      <c r="AZ212" s="82"/>
    </row>
    <row r="213" spans="1:52" hidden="1" x14ac:dyDescent="0.25">
      <c r="A213" s="82"/>
      <c r="B213" s="82"/>
      <c r="C213" s="82"/>
      <c r="D213" s="82"/>
      <c r="E213" s="82"/>
      <c r="F213" s="82"/>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c r="AV213" s="82"/>
      <c r="AW213" s="82"/>
      <c r="AX213" s="82"/>
      <c r="AY213" s="82"/>
      <c r="AZ213" s="82"/>
    </row>
    <row r="214" spans="1:52" hidden="1" x14ac:dyDescent="0.25">
      <c r="A214" s="82"/>
      <c r="B214" s="82"/>
      <c r="C214" s="82"/>
      <c r="D214" s="82"/>
      <c r="E214" s="82"/>
      <c r="F214" s="82"/>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c r="AV214" s="82"/>
      <c r="AW214" s="82"/>
      <c r="AX214" s="82"/>
      <c r="AY214" s="82"/>
      <c r="AZ214" s="82"/>
    </row>
    <row r="215" spans="1:52" hidden="1" x14ac:dyDescent="0.25">
      <c r="A215" s="82"/>
      <c r="B215" s="82"/>
      <c r="C215" s="82"/>
      <c r="D215" s="82"/>
      <c r="E215" s="82"/>
      <c r="F215" s="82"/>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c r="AV215" s="82"/>
      <c r="AW215" s="82"/>
      <c r="AX215" s="82"/>
      <c r="AY215" s="82"/>
      <c r="AZ215" s="82"/>
    </row>
    <row r="216" spans="1:52" hidden="1" x14ac:dyDescent="0.25">
      <c r="A216" s="82"/>
      <c r="B216" s="82"/>
      <c r="C216" s="82"/>
      <c r="D216" s="82"/>
      <c r="E216" s="82"/>
      <c r="F216" s="82"/>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c r="AV216" s="82"/>
      <c r="AW216" s="82"/>
      <c r="AX216" s="82"/>
      <c r="AY216" s="82"/>
      <c r="AZ216" s="82"/>
    </row>
    <row r="217" spans="1:52" hidden="1" x14ac:dyDescent="0.25">
      <c r="A217" s="82"/>
      <c r="B217" s="82"/>
      <c r="C217" s="82"/>
      <c r="D217" s="82"/>
      <c r="E217" s="82"/>
      <c r="F217" s="82"/>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c r="AV217" s="82"/>
      <c r="AW217" s="82"/>
      <c r="AX217" s="82"/>
      <c r="AY217" s="82"/>
      <c r="AZ217" s="82"/>
    </row>
    <row r="218" spans="1:52" hidden="1" x14ac:dyDescent="0.25">
      <c r="A218" s="82"/>
      <c r="B218" s="82"/>
      <c r="C218" s="82"/>
      <c r="D218" s="82"/>
      <c r="E218" s="82"/>
      <c r="F218" s="82"/>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c r="AV218" s="82"/>
      <c r="AW218" s="82"/>
      <c r="AX218" s="82"/>
      <c r="AY218" s="82"/>
      <c r="AZ218" s="82"/>
    </row>
    <row r="219" spans="1:52" hidden="1" x14ac:dyDescent="0.25">
      <c r="A219" s="82"/>
      <c r="B219" s="82"/>
      <c r="C219" s="82"/>
      <c r="D219" s="82"/>
      <c r="E219" s="82"/>
      <c r="F219" s="82"/>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c r="AV219" s="82"/>
      <c r="AW219" s="82"/>
      <c r="AX219" s="82"/>
      <c r="AY219" s="82"/>
      <c r="AZ219" s="82"/>
    </row>
    <row r="220" spans="1:52" hidden="1" x14ac:dyDescent="0.25">
      <c r="A220" s="82"/>
      <c r="B220" s="82"/>
      <c r="C220" s="82"/>
      <c r="D220" s="82"/>
      <c r="E220" s="82"/>
      <c r="F220" s="82"/>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c r="AV220" s="82"/>
      <c r="AW220" s="82"/>
      <c r="AX220" s="82"/>
      <c r="AY220" s="82"/>
      <c r="AZ220" s="82"/>
    </row>
  </sheetData>
  <mergeCells count="2">
    <mergeCell ref="A1:G1"/>
    <mergeCell ref="E3:G3"/>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tabColor rgb="FF60A5FA"/>
  </sheetPr>
  <dimension ref="A1:F220"/>
  <sheetViews>
    <sheetView showGridLines="0" zoomScaleNormal="100" workbookViewId="0">
      <selection activeCell="B6" sqref="B6"/>
    </sheetView>
  </sheetViews>
  <sheetFormatPr defaultColWidth="0" defaultRowHeight="15" zeroHeight="1" x14ac:dyDescent="0.25"/>
  <cols>
    <col min="1" max="1" width="34.7109375" style="1" customWidth="1"/>
    <col min="2" max="3" width="18.7109375" style="1" customWidth="1"/>
    <col min="4" max="4" width="3.7109375" style="1" customWidth="1"/>
    <col min="5" max="6" width="22.7109375" style="1" customWidth="1"/>
    <col min="7" max="16384" width="9.140625" style="1" hidden="1"/>
  </cols>
  <sheetData>
    <row r="1" spans="1:6" ht="21.95" customHeight="1" x14ac:dyDescent="0.45">
      <c r="A1" s="262" t="s">
        <v>1043</v>
      </c>
      <c r="B1" s="263"/>
      <c r="C1" s="263"/>
      <c r="D1" s="263"/>
      <c r="E1" s="263"/>
      <c r="F1" s="263"/>
    </row>
    <row r="2" spans="1:6" ht="21.95" customHeight="1" x14ac:dyDescent="0.25">
      <c r="A2" s="175" t="s">
        <v>1044</v>
      </c>
      <c r="B2" s="175" t="s">
        <v>1035</v>
      </c>
      <c r="C2" s="175" t="s">
        <v>1036</v>
      </c>
      <c r="D2" s="174"/>
      <c r="E2" s="261" t="s">
        <v>1045</v>
      </c>
      <c r="F2" s="261"/>
    </row>
    <row r="3" spans="1:6" ht="21.95" customHeight="1" x14ac:dyDescent="0.25">
      <c r="A3" s="177" t="s">
        <v>1046</v>
      </c>
      <c r="B3" s="257">
        <v>0</v>
      </c>
      <c r="C3" s="257">
        <v>0</v>
      </c>
      <c r="D3" s="174"/>
      <c r="E3" s="177" t="s">
        <v>1047</v>
      </c>
      <c r="F3" s="177" t="s">
        <v>1048</v>
      </c>
    </row>
    <row r="4" spans="1:6" ht="21.95" customHeight="1" x14ac:dyDescent="0.25">
      <c r="A4" s="177" t="s">
        <v>1049</v>
      </c>
      <c r="B4" s="257">
        <v>0</v>
      </c>
      <c r="C4" s="257">
        <v>0</v>
      </c>
      <c r="D4" s="174"/>
      <c r="E4" s="177" t="s">
        <v>1050</v>
      </c>
      <c r="F4" s="177" t="s">
        <v>1051</v>
      </c>
    </row>
    <row r="5" spans="1:6" ht="8.1" customHeight="1" x14ac:dyDescent="0.25">
      <c r="A5" s="174"/>
      <c r="B5" s="174"/>
      <c r="C5" s="174"/>
      <c r="D5" s="174"/>
      <c r="E5" s="174"/>
      <c r="F5" s="174"/>
    </row>
    <row r="6" spans="1:6" ht="21.95" customHeight="1" x14ac:dyDescent="0.25">
      <c r="A6" s="175" t="s">
        <v>1052</v>
      </c>
      <c r="B6" s="176">
        <v>2</v>
      </c>
      <c r="C6" s="175"/>
      <c r="D6" s="174"/>
      <c r="E6" s="174"/>
      <c r="F6" s="174"/>
    </row>
    <row r="7" spans="1:6" ht="21.95" customHeight="1" x14ac:dyDescent="0.25">
      <c r="A7" s="177" t="s">
        <v>1053</v>
      </c>
      <c r="B7" s="264"/>
      <c r="C7" s="264"/>
      <c r="D7" s="174"/>
      <c r="E7" s="174"/>
      <c r="F7" s="174"/>
    </row>
    <row r="8" spans="1:6" ht="8.1" customHeight="1" x14ac:dyDescent="0.25">
      <c r="A8" s="174"/>
      <c r="B8" s="174"/>
      <c r="C8" s="174"/>
      <c r="D8" s="174"/>
      <c r="E8" s="174"/>
      <c r="F8" s="174"/>
    </row>
    <row r="9" spans="1:6" ht="21.95" customHeight="1" x14ac:dyDescent="0.25">
      <c r="A9" s="174"/>
      <c r="B9" s="174"/>
      <c r="C9" s="174"/>
      <c r="D9" s="174"/>
      <c r="E9" s="174"/>
      <c r="F9" s="174"/>
    </row>
    <row r="10" spans="1:6" ht="21.95" customHeight="1" x14ac:dyDescent="0.25">
      <c r="A10" s="174"/>
      <c r="B10" s="174"/>
      <c r="C10" s="174"/>
      <c r="D10" s="174"/>
      <c r="E10" s="174"/>
      <c r="F10" s="174"/>
    </row>
    <row r="11" spans="1:6" ht="21.95" customHeight="1" x14ac:dyDescent="0.25">
      <c r="A11" s="174"/>
      <c r="B11" s="174"/>
      <c r="C11" s="174"/>
      <c r="D11" s="174"/>
      <c r="E11" s="174"/>
      <c r="F11" s="174"/>
    </row>
    <row r="12" spans="1:6" ht="21.95" customHeight="1" x14ac:dyDescent="0.25">
      <c r="A12" s="174"/>
      <c r="B12" s="174"/>
      <c r="C12" s="174"/>
      <c r="D12" s="174"/>
      <c r="E12" s="174"/>
      <c r="F12" s="174"/>
    </row>
    <row r="13" spans="1:6" hidden="1" x14ac:dyDescent="0.25"/>
    <row r="14" spans="1:6" hidden="1" x14ac:dyDescent="0.25"/>
    <row r="15" spans="1:6" hidden="1" x14ac:dyDescent="0.25"/>
    <row r="16" spans="1:6" hidden="1" x14ac:dyDescent="0.25"/>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sheetData>
  <mergeCells count="3">
    <mergeCell ref="E2:F2"/>
    <mergeCell ref="A1:F1"/>
    <mergeCell ref="B7:C7"/>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tabColor rgb="FF475569"/>
  </sheetPr>
  <dimension ref="A1:K220"/>
  <sheetViews>
    <sheetView showGridLines="0" showRowColHeaders="0" zoomScaleNormal="100" workbookViewId="0"/>
  </sheetViews>
  <sheetFormatPr defaultColWidth="0" defaultRowHeight="15" zeroHeight="1" x14ac:dyDescent="0.25"/>
  <cols>
    <col min="1" max="1" width="3.28515625" style="1" customWidth="1"/>
    <col min="2" max="3" width="18.7109375" style="1" customWidth="1"/>
    <col min="4" max="4" width="3.7109375" style="1" customWidth="1"/>
    <col min="5" max="6" width="18.7109375" style="1" customWidth="1"/>
    <col min="7" max="7" width="3.7109375" style="1" customWidth="1"/>
    <col min="8" max="8" width="18.7109375" style="1" customWidth="1"/>
    <col min="9" max="11" width="3.28515625" style="1" customWidth="1"/>
    <col min="12" max="16384" width="9.140625" style="1" hidden="1"/>
  </cols>
  <sheetData>
    <row r="1" spans="1:11" ht="21.95" customHeight="1" x14ac:dyDescent="0.25">
      <c r="A1" s="178"/>
      <c r="B1" s="178"/>
      <c r="C1" s="178"/>
      <c r="D1" s="178"/>
      <c r="E1" s="178"/>
      <c r="F1" s="178"/>
      <c r="G1" s="178"/>
      <c r="H1" s="178"/>
      <c r="I1" s="178"/>
      <c r="J1" s="178"/>
      <c r="K1" s="178"/>
    </row>
    <row r="2" spans="1:11" ht="21.95" customHeight="1" x14ac:dyDescent="0.25">
      <c r="A2" s="178"/>
      <c r="B2" s="265" t="s">
        <v>1054</v>
      </c>
      <c r="C2" s="266"/>
      <c r="D2" s="266"/>
      <c r="E2" s="266"/>
      <c r="F2" s="266"/>
      <c r="G2" s="178"/>
      <c r="H2" s="178"/>
      <c r="I2" s="178"/>
      <c r="J2" s="178"/>
      <c r="K2" s="178"/>
    </row>
    <row r="3" spans="1:11" ht="8.1" customHeight="1" x14ac:dyDescent="0.25">
      <c r="A3" s="178"/>
      <c r="B3" s="178"/>
      <c r="C3" s="178"/>
      <c r="D3" s="178"/>
      <c r="E3" s="178"/>
      <c r="F3" s="178"/>
      <c r="G3" s="178"/>
      <c r="H3" s="178"/>
      <c r="I3" s="178"/>
      <c r="J3" s="178"/>
      <c r="K3" s="178"/>
    </row>
    <row r="4" spans="1:11" ht="21.95" customHeight="1" x14ac:dyDescent="0.25">
      <c r="A4" s="178"/>
      <c r="B4" s="179" t="s">
        <v>1055</v>
      </c>
      <c r="C4" s="180"/>
      <c r="D4" s="180"/>
      <c r="E4" s="180"/>
      <c r="F4" s="180"/>
      <c r="G4" s="180"/>
      <c r="H4" s="180"/>
      <c r="I4" s="178"/>
      <c r="J4" s="178"/>
      <c r="K4" s="178"/>
    </row>
    <row r="5" spans="1:11" ht="21.95" customHeight="1" x14ac:dyDescent="0.25">
      <c r="A5" s="178"/>
      <c r="B5" s="178"/>
      <c r="C5" s="178"/>
      <c r="D5" s="178"/>
      <c r="E5" s="178"/>
      <c r="F5" s="178"/>
      <c r="G5" s="178"/>
      <c r="H5" s="178"/>
      <c r="I5" s="178"/>
      <c r="J5" s="178"/>
      <c r="K5" s="178"/>
    </row>
    <row r="6" spans="1:11" ht="8.1" customHeight="1" x14ac:dyDescent="0.25">
      <c r="A6" s="178"/>
      <c r="B6" s="178"/>
      <c r="C6" s="178"/>
      <c r="D6" s="178"/>
      <c r="E6" s="178"/>
      <c r="F6" s="178"/>
      <c r="G6" s="178"/>
      <c r="H6" s="178"/>
      <c r="I6" s="178"/>
      <c r="J6" s="178"/>
      <c r="K6" s="178"/>
    </row>
    <row r="7" spans="1:11" ht="21.95" customHeight="1" x14ac:dyDescent="0.25">
      <c r="A7" s="178"/>
      <c r="B7" s="178"/>
      <c r="C7" s="178"/>
      <c r="D7" s="178"/>
      <c r="E7" s="178"/>
      <c r="F7" s="178"/>
      <c r="G7" s="178"/>
      <c r="H7" s="178"/>
      <c r="I7" s="178"/>
      <c r="J7" s="178"/>
      <c r="K7" s="178"/>
    </row>
    <row r="8" spans="1:11" ht="21.95" customHeight="1" x14ac:dyDescent="0.25">
      <c r="A8" s="178"/>
      <c r="B8" s="179" t="s">
        <v>1056</v>
      </c>
      <c r="C8" s="180"/>
      <c r="D8" s="180"/>
      <c r="E8" s="180"/>
      <c r="F8" s="180"/>
      <c r="G8" s="180"/>
      <c r="H8" s="180"/>
      <c r="I8" s="178"/>
      <c r="J8" s="178"/>
      <c r="K8" s="178"/>
    </row>
    <row r="9" spans="1:11" ht="21.95" customHeight="1" x14ac:dyDescent="0.25">
      <c r="A9" s="178"/>
      <c r="B9" s="178"/>
      <c r="C9" s="178"/>
      <c r="D9" s="178"/>
      <c r="E9" s="178"/>
      <c r="F9" s="178"/>
      <c r="G9" s="178"/>
      <c r="H9" s="178"/>
      <c r="I9" s="178"/>
      <c r="J9" s="178"/>
      <c r="K9" s="178"/>
    </row>
    <row r="10" spans="1:11" ht="8.1" customHeight="1" x14ac:dyDescent="0.25">
      <c r="A10" s="178"/>
      <c r="B10" s="178"/>
      <c r="C10" s="178"/>
      <c r="D10" s="178"/>
      <c r="E10" s="178"/>
      <c r="F10" s="178"/>
      <c r="G10" s="178"/>
      <c r="H10" s="178"/>
      <c r="I10" s="178"/>
      <c r="J10" s="178"/>
      <c r="K10" s="178"/>
    </row>
    <row r="11" spans="1:11" ht="21.95" customHeight="1" x14ac:dyDescent="0.25">
      <c r="A11" s="178"/>
      <c r="B11" s="178"/>
      <c r="C11" s="178"/>
      <c r="D11" s="178"/>
      <c r="E11" s="178"/>
      <c r="F11" s="178"/>
      <c r="G11" s="178"/>
      <c r="H11" s="178"/>
      <c r="I11" s="178"/>
      <c r="J11" s="178"/>
      <c r="K11" s="178"/>
    </row>
    <row r="12" spans="1:11" ht="21.95" customHeight="1" x14ac:dyDescent="0.25">
      <c r="A12" s="178"/>
      <c r="B12" s="179" t="s">
        <v>1057</v>
      </c>
      <c r="C12" s="180"/>
      <c r="D12" s="180"/>
      <c r="E12" s="180"/>
      <c r="F12" s="180"/>
      <c r="G12" s="180"/>
      <c r="H12" s="180"/>
      <c r="I12" s="178"/>
      <c r="J12" s="178"/>
      <c r="K12" s="178"/>
    </row>
    <row r="13" spans="1:11" ht="21.95" customHeight="1" x14ac:dyDescent="0.25">
      <c r="A13" s="178"/>
      <c r="B13" s="178"/>
      <c r="C13" s="178"/>
      <c r="D13" s="178"/>
      <c r="E13" s="178"/>
      <c r="F13" s="178"/>
      <c r="G13" s="178"/>
      <c r="H13" s="178"/>
      <c r="I13" s="178"/>
      <c r="J13" s="178"/>
      <c r="K13" s="178"/>
    </row>
    <row r="14" spans="1:11" ht="8.1" customHeight="1" x14ac:dyDescent="0.25">
      <c r="A14" s="178"/>
      <c r="B14" s="178"/>
      <c r="C14" s="178"/>
      <c r="D14" s="178"/>
      <c r="E14" s="178"/>
      <c r="F14" s="178"/>
      <c r="G14" s="178"/>
      <c r="H14" s="178"/>
      <c r="I14" s="178"/>
      <c r="J14" s="178"/>
      <c r="K14" s="178"/>
    </row>
    <row r="15" spans="1:11" ht="21.95" customHeight="1" x14ac:dyDescent="0.25">
      <c r="A15" s="178"/>
      <c r="B15" s="178"/>
      <c r="C15" s="178"/>
      <c r="D15" s="178"/>
      <c r="E15" s="178"/>
      <c r="F15" s="178"/>
      <c r="G15" s="178"/>
      <c r="H15" s="178"/>
      <c r="I15" s="178"/>
      <c r="J15" s="178"/>
      <c r="K15" s="178"/>
    </row>
    <row r="16" spans="1:11" ht="21.95" customHeight="1" x14ac:dyDescent="0.25">
      <c r="A16" s="178"/>
      <c r="B16" s="179" t="s">
        <v>1058</v>
      </c>
      <c r="C16" s="180"/>
      <c r="D16" s="180"/>
      <c r="E16" s="180"/>
      <c r="F16" s="180"/>
      <c r="G16" s="180"/>
      <c r="H16" s="180"/>
      <c r="I16" s="178"/>
      <c r="J16" s="178"/>
      <c r="K16" s="178"/>
    </row>
    <row r="17" spans="1:11" ht="21.95" customHeight="1" x14ac:dyDescent="0.25">
      <c r="A17" s="178"/>
      <c r="B17" s="178"/>
      <c r="C17" s="178"/>
      <c r="D17" s="178"/>
      <c r="E17" s="178"/>
      <c r="F17" s="178"/>
      <c r="G17" s="178"/>
      <c r="H17" s="178"/>
      <c r="I17" s="178"/>
      <c r="J17" s="178"/>
      <c r="K17" s="178"/>
    </row>
    <row r="18" spans="1:11" ht="21.95" customHeight="1" x14ac:dyDescent="0.25">
      <c r="A18" s="178"/>
      <c r="B18" s="178"/>
      <c r="C18" s="178"/>
      <c r="D18" s="178"/>
      <c r="E18" s="178"/>
      <c r="F18" s="178"/>
      <c r="G18" s="178"/>
      <c r="H18" s="178"/>
      <c r="I18" s="178"/>
      <c r="J18" s="178"/>
      <c r="K18" s="178"/>
    </row>
    <row r="19" spans="1:11" ht="21" customHeight="1" x14ac:dyDescent="0.25">
      <c r="A19" s="178"/>
      <c r="B19" s="178"/>
      <c r="C19" s="178"/>
      <c r="D19" s="178"/>
      <c r="E19" s="178"/>
      <c r="F19" s="178"/>
      <c r="G19" s="178"/>
      <c r="H19" s="178"/>
      <c r="I19" s="178"/>
      <c r="J19" s="178"/>
      <c r="K19" s="178"/>
    </row>
    <row r="20" spans="1:11" ht="21" hidden="1" customHeight="1" x14ac:dyDescent="0.25"/>
    <row r="21" spans="1:11" ht="21" hidden="1" customHeight="1" x14ac:dyDescent="0.25"/>
    <row r="22" spans="1:11" ht="21" hidden="1" customHeight="1" x14ac:dyDescent="0.25"/>
    <row r="23" spans="1:11" ht="21" hidden="1" customHeight="1" x14ac:dyDescent="0.25"/>
    <row r="24" spans="1:11" ht="21" hidden="1" customHeight="1" x14ac:dyDescent="0.25"/>
    <row r="25" spans="1:11" ht="21" hidden="1" customHeight="1" x14ac:dyDescent="0.25"/>
    <row r="26" spans="1:11" ht="21" hidden="1" customHeight="1" x14ac:dyDescent="0.25"/>
    <row r="27" spans="1:11" ht="21" hidden="1" customHeight="1" x14ac:dyDescent="0.25"/>
    <row r="28" spans="1:11" ht="21" hidden="1" customHeight="1" x14ac:dyDescent="0.25"/>
    <row r="29" spans="1:11" ht="21.95" hidden="1" customHeight="1" x14ac:dyDescent="0.25"/>
    <row r="30" spans="1:11" ht="21.95" hidden="1" customHeight="1" x14ac:dyDescent="0.25"/>
    <row r="31" spans="1:11" ht="21.95" hidden="1" customHeight="1" x14ac:dyDescent="0.25"/>
    <row r="32" spans="1:11" ht="21.95" hidden="1" customHeight="1" x14ac:dyDescent="0.25"/>
    <row r="33" ht="21.95" hidden="1" customHeight="1" x14ac:dyDescent="0.25"/>
    <row r="34" ht="21.95" hidden="1" customHeight="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sheetData>
  <mergeCells count="1">
    <mergeCell ref="B2:F2"/>
  </mergeCells>
  <pageMargins left="0.75" right="0.75" top="1" bottom="1" header="0.5" footer="0.5"/>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tabColor rgb="FF2DD4BF"/>
  </sheetPr>
  <dimension ref="A1:AZ220"/>
  <sheetViews>
    <sheetView showGridLines="0" zoomScaleNormal="100" workbookViewId="0">
      <selection activeCell="D14" sqref="D14"/>
    </sheetView>
  </sheetViews>
  <sheetFormatPr defaultRowHeight="14.25" x14ac:dyDescent="0.25"/>
  <cols>
    <col min="1" max="1" width="4" style="210" bestFit="1" customWidth="1"/>
    <col min="2" max="2" width="9.28515625" style="78" bestFit="1" customWidth="1"/>
    <col min="3" max="3" width="17.28515625" style="78" bestFit="1" customWidth="1"/>
    <col min="4" max="4" width="35" style="78" bestFit="1" customWidth="1"/>
    <col min="5" max="5" width="10.42578125" style="84" bestFit="1" customWidth="1"/>
    <col min="6" max="6" width="7.7109375" style="85" bestFit="1" customWidth="1"/>
    <col min="7" max="7" width="10.28515625" style="86" bestFit="1" customWidth="1"/>
    <col min="8" max="8" width="27.85546875" style="78" bestFit="1" customWidth="1"/>
    <col min="9" max="9" width="42.42578125" style="78" bestFit="1" customWidth="1"/>
    <col min="10" max="10" width="15.85546875" style="78" bestFit="1" customWidth="1"/>
    <col min="11" max="11" width="65.140625" style="78" bestFit="1" customWidth="1"/>
    <col min="12" max="12" width="34.42578125" style="78" bestFit="1" customWidth="1"/>
    <col min="13" max="13" width="13.140625" style="78" bestFit="1" customWidth="1"/>
    <col min="14" max="14" width="16.7109375" style="78" bestFit="1" customWidth="1"/>
    <col min="15" max="16384" width="9.140625" style="78"/>
  </cols>
  <sheetData>
    <row r="1" spans="1:52" ht="24" customHeight="1" x14ac:dyDescent="0.25">
      <c r="A1" s="181" t="s">
        <v>1059</v>
      </c>
      <c r="B1" s="91" t="s">
        <v>1060</v>
      </c>
      <c r="C1" s="91" t="s">
        <v>1061</v>
      </c>
      <c r="D1" s="91" t="s">
        <v>1062</v>
      </c>
      <c r="E1" s="182" t="s">
        <v>1063</v>
      </c>
      <c r="F1" s="183" t="s">
        <v>1064</v>
      </c>
      <c r="G1" s="184" t="s">
        <v>1065</v>
      </c>
      <c r="H1" s="91" t="s">
        <v>1066</v>
      </c>
      <c r="I1" s="91" t="s">
        <v>1067</v>
      </c>
      <c r="J1" s="91" t="s">
        <v>1068</v>
      </c>
      <c r="K1" s="91" t="s">
        <v>1069</v>
      </c>
      <c r="L1" s="91" t="s">
        <v>1070</v>
      </c>
      <c r="M1" s="91" t="s">
        <v>1071</v>
      </c>
      <c r="N1" s="91" t="s">
        <v>1072</v>
      </c>
      <c r="O1" s="82"/>
      <c r="P1" s="82"/>
      <c r="Q1" s="82"/>
      <c r="R1" s="82"/>
      <c r="S1" s="82"/>
      <c r="T1" s="82"/>
      <c r="U1" s="82"/>
      <c r="V1" s="82"/>
      <c r="W1" s="82"/>
      <c r="X1" s="82"/>
      <c r="Y1" s="82"/>
      <c r="Z1" s="82"/>
      <c r="AA1" s="82"/>
      <c r="AB1" s="82"/>
      <c r="AC1" s="82"/>
      <c r="AD1" s="82"/>
      <c r="AE1" s="82"/>
      <c r="AF1" s="82"/>
      <c r="AG1" s="82"/>
      <c r="AH1" s="82"/>
      <c r="AI1" s="82"/>
      <c r="AJ1" s="82"/>
      <c r="AK1" s="82"/>
      <c r="AL1" s="82"/>
      <c r="AM1" s="82"/>
      <c r="AN1" s="82"/>
      <c r="AO1" s="82"/>
      <c r="AP1" s="82"/>
      <c r="AQ1" s="82"/>
      <c r="AR1" s="82"/>
      <c r="AS1" s="82"/>
      <c r="AT1" s="82"/>
      <c r="AU1" s="82"/>
      <c r="AV1" s="82"/>
      <c r="AW1" s="82"/>
      <c r="AX1" s="82"/>
      <c r="AY1" s="82"/>
      <c r="AZ1" s="82"/>
    </row>
    <row r="2" spans="1:52" ht="15.75" customHeight="1" x14ac:dyDescent="0.25">
      <c r="A2" s="185">
        <v>108</v>
      </c>
      <c r="B2" s="186" t="s">
        <v>1073</v>
      </c>
      <c r="C2" s="186" t="s">
        <v>100</v>
      </c>
      <c r="D2" s="186" t="s">
        <v>105</v>
      </c>
      <c r="E2" s="187">
        <v>46150</v>
      </c>
      <c r="F2" s="188" t="s">
        <v>235</v>
      </c>
      <c r="G2" s="189">
        <v>19.899999999999999</v>
      </c>
      <c r="H2" s="186" t="s">
        <v>1074</v>
      </c>
      <c r="I2" s="186" t="s">
        <v>921</v>
      </c>
      <c r="J2" s="186" t="s">
        <v>1075</v>
      </c>
      <c r="K2" s="173" t="s">
        <v>1076</v>
      </c>
      <c r="L2" s="186" t="s">
        <v>570</v>
      </c>
      <c r="M2" s="186" t="s">
        <v>1077</v>
      </c>
      <c r="N2" s="186" t="s">
        <v>1078</v>
      </c>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c r="AQ2" s="82"/>
      <c r="AR2" s="82"/>
      <c r="AS2" s="82"/>
      <c r="AT2" s="82"/>
      <c r="AU2" s="82"/>
      <c r="AV2" s="82"/>
      <c r="AW2" s="82"/>
      <c r="AX2" s="82"/>
      <c r="AY2" s="82"/>
      <c r="AZ2" s="82"/>
    </row>
    <row r="3" spans="1:52" ht="15.75" customHeight="1" x14ac:dyDescent="0.25">
      <c r="A3" s="185">
        <v>110</v>
      </c>
      <c r="B3" s="186" t="s">
        <v>1073</v>
      </c>
      <c r="C3" s="186" t="s">
        <v>100</v>
      </c>
      <c r="D3" s="186" t="s">
        <v>105</v>
      </c>
      <c r="E3" s="187">
        <v>46151</v>
      </c>
      <c r="F3" s="188" t="s">
        <v>235</v>
      </c>
      <c r="G3" s="189">
        <v>20.9</v>
      </c>
      <c r="H3" s="186" t="s">
        <v>1074</v>
      </c>
      <c r="I3" s="186" t="s">
        <v>953</v>
      </c>
      <c r="J3" s="186" t="s">
        <v>1075</v>
      </c>
      <c r="K3" s="173" t="s">
        <v>1079</v>
      </c>
      <c r="L3" s="186" t="s">
        <v>956</v>
      </c>
      <c r="M3" s="186" t="s">
        <v>1077</v>
      </c>
      <c r="N3" s="186" t="s">
        <v>1078</v>
      </c>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row>
    <row r="4" spans="1:52" ht="15.75" customHeight="1" x14ac:dyDescent="0.25">
      <c r="A4" s="185">
        <v>112</v>
      </c>
      <c r="B4" s="186" t="s">
        <v>1073</v>
      </c>
      <c r="C4" s="186" t="s">
        <v>100</v>
      </c>
      <c r="D4" s="186" t="s">
        <v>105</v>
      </c>
      <c r="E4" s="187">
        <v>46158</v>
      </c>
      <c r="F4" s="188" t="s">
        <v>235</v>
      </c>
      <c r="G4" s="189">
        <v>7.95</v>
      </c>
      <c r="H4" s="186" t="s">
        <v>1074</v>
      </c>
      <c r="I4" s="186" t="s">
        <v>917</v>
      </c>
      <c r="J4" s="186" t="s">
        <v>1075</v>
      </c>
      <c r="K4" s="173" t="s">
        <v>1080</v>
      </c>
      <c r="L4" s="186" t="s">
        <v>952</v>
      </c>
      <c r="M4" s="186" t="s">
        <v>1077</v>
      </c>
      <c r="N4" s="186" t="s">
        <v>1078</v>
      </c>
      <c r="O4" s="82"/>
      <c r="P4" s="82"/>
      <c r="Q4" s="82"/>
      <c r="R4" s="82"/>
      <c r="S4" s="82"/>
      <c r="T4" s="82"/>
      <c r="U4" s="82"/>
      <c r="V4" s="82"/>
      <c r="W4" s="82"/>
      <c r="X4" s="82"/>
      <c r="Y4" s="82"/>
      <c r="Z4" s="82"/>
      <c r="AA4" s="82"/>
      <c r="AB4" s="82"/>
      <c r="AC4" s="82"/>
      <c r="AD4" s="82"/>
      <c r="AE4" s="82"/>
      <c r="AF4" s="82"/>
      <c r="AG4" s="82"/>
      <c r="AH4" s="82"/>
      <c r="AI4" s="82"/>
      <c r="AJ4" s="82"/>
      <c r="AK4" s="82"/>
      <c r="AL4" s="82"/>
      <c r="AM4" s="82"/>
      <c r="AN4" s="82"/>
      <c r="AO4" s="82"/>
      <c r="AP4" s="82"/>
      <c r="AQ4" s="82"/>
      <c r="AR4" s="82"/>
      <c r="AS4" s="82"/>
      <c r="AT4" s="82"/>
      <c r="AU4" s="82"/>
      <c r="AV4" s="82"/>
      <c r="AW4" s="82"/>
      <c r="AX4" s="82"/>
      <c r="AY4" s="82"/>
      <c r="AZ4" s="82"/>
    </row>
    <row r="5" spans="1:52" ht="15.75" customHeight="1" x14ac:dyDescent="0.25">
      <c r="A5" s="185">
        <v>115</v>
      </c>
      <c r="B5" s="186" t="s">
        <v>1073</v>
      </c>
      <c r="C5" s="186" t="s">
        <v>100</v>
      </c>
      <c r="D5" s="186" t="s">
        <v>105</v>
      </c>
      <c r="E5" s="187">
        <v>46176</v>
      </c>
      <c r="F5" s="188" t="s">
        <v>199</v>
      </c>
      <c r="G5" s="189">
        <v>35.9</v>
      </c>
      <c r="H5" s="186" t="s">
        <v>1074</v>
      </c>
      <c r="I5" s="186" t="s">
        <v>942</v>
      </c>
      <c r="J5" s="186" t="s">
        <v>1075</v>
      </c>
      <c r="K5" s="173" t="s">
        <v>1081</v>
      </c>
      <c r="L5" s="186" t="s">
        <v>945</v>
      </c>
      <c r="M5" s="186" t="s">
        <v>1077</v>
      </c>
      <c r="N5" s="186" t="s">
        <v>1078</v>
      </c>
      <c r="O5" s="82"/>
      <c r="P5" s="82"/>
      <c r="Q5" s="82"/>
      <c r="R5" s="82"/>
      <c r="S5" s="82"/>
      <c r="T5" s="82"/>
      <c r="U5" s="82"/>
      <c r="V5" s="82"/>
      <c r="W5" s="82"/>
      <c r="X5" s="82"/>
      <c r="Y5" s="82"/>
      <c r="Z5" s="82"/>
      <c r="AA5" s="82"/>
      <c r="AB5" s="82"/>
      <c r="AC5" s="82"/>
      <c r="AD5" s="82"/>
      <c r="AE5" s="82"/>
      <c r="AF5" s="82"/>
      <c r="AG5" s="82"/>
      <c r="AH5" s="82"/>
      <c r="AI5" s="82"/>
      <c r="AJ5" s="82"/>
      <c r="AK5" s="82"/>
      <c r="AL5" s="82"/>
      <c r="AM5" s="82"/>
      <c r="AN5" s="82"/>
      <c r="AO5" s="82"/>
      <c r="AP5" s="82"/>
      <c r="AQ5" s="82"/>
      <c r="AR5" s="82"/>
      <c r="AS5" s="82"/>
      <c r="AT5" s="82"/>
      <c r="AU5" s="82"/>
      <c r="AV5" s="82"/>
      <c r="AW5" s="82"/>
      <c r="AX5" s="82"/>
      <c r="AY5" s="82"/>
      <c r="AZ5" s="82"/>
    </row>
    <row r="6" spans="1:52" ht="15.75" customHeight="1" x14ac:dyDescent="0.25">
      <c r="A6" s="185">
        <v>117</v>
      </c>
      <c r="B6" s="186" t="s">
        <v>1073</v>
      </c>
      <c r="C6" s="186" t="s">
        <v>100</v>
      </c>
      <c r="D6" s="186" t="s">
        <v>105</v>
      </c>
      <c r="E6" s="187">
        <v>46180</v>
      </c>
      <c r="F6" s="188" t="s">
        <v>199</v>
      </c>
      <c r="G6" s="189">
        <v>19.899999999999999</v>
      </c>
      <c r="H6" s="186" t="s">
        <v>1074</v>
      </c>
      <c r="I6" s="186" t="s">
        <v>921</v>
      </c>
      <c r="J6" s="186" t="s">
        <v>1075</v>
      </c>
      <c r="K6" s="173" t="s">
        <v>1082</v>
      </c>
      <c r="L6" s="186" t="s">
        <v>941</v>
      </c>
      <c r="M6" s="186" t="s">
        <v>1077</v>
      </c>
      <c r="N6" s="186" t="s">
        <v>1078</v>
      </c>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row>
    <row r="7" spans="1:52" ht="15.75" customHeight="1" x14ac:dyDescent="0.25">
      <c r="A7" s="185">
        <v>119</v>
      </c>
      <c r="B7" s="186" t="s">
        <v>1073</v>
      </c>
      <c r="C7" s="186" t="s">
        <v>100</v>
      </c>
      <c r="D7" s="186" t="s">
        <v>105</v>
      </c>
      <c r="E7" s="187">
        <v>46182</v>
      </c>
      <c r="F7" s="188" t="s">
        <v>199</v>
      </c>
      <c r="G7" s="189">
        <v>20.9</v>
      </c>
      <c r="H7" s="186" t="s">
        <v>1074</v>
      </c>
      <c r="I7" s="186" t="s">
        <v>935</v>
      </c>
      <c r="J7" s="186" t="s">
        <v>1075</v>
      </c>
      <c r="K7" s="173" t="s">
        <v>1083</v>
      </c>
      <c r="L7" s="186" t="s">
        <v>938</v>
      </c>
      <c r="M7" s="186" t="s">
        <v>1077</v>
      </c>
      <c r="N7" s="186" t="s">
        <v>1078</v>
      </c>
      <c r="O7" s="82"/>
      <c r="P7" s="82"/>
      <c r="Q7" s="82"/>
      <c r="R7" s="82"/>
      <c r="S7" s="82"/>
      <c r="T7" s="82"/>
      <c r="U7" s="82"/>
      <c r="V7" s="82"/>
      <c r="W7" s="82"/>
      <c r="X7" s="82"/>
      <c r="Y7" s="82"/>
      <c r="Z7" s="82"/>
      <c r="AA7" s="82"/>
      <c r="AB7" s="82"/>
      <c r="AC7" s="82"/>
      <c r="AD7" s="82"/>
      <c r="AE7" s="82"/>
      <c r="AF7" s="82"/>
      <c r="AG7" s="82"/>
      <c r="AH7" s="82"/>
      <c r="AI7" s="82"/>
      <c r="AJ7" s="82"/>
      <c r="AK7" s="82"/>
      <c r="AL7" s="82"/>
      <c r="AM7" s="82"/>
      <c r="AN7" s="82"/>
      <c r="AO7" s="82"/>
      <c r="AP7" s="82"/>
      <c r="AQ7" s="82"/>
      <c r="AR7" s="82"/>
      <c r="AS7" s="82"/>
      <c r="AT7" s="82"/>
      <c r="AU7" s="82"/>
      <c r="AV7" s="82"/>
      <c r="AW7" s="82"/>
      <c r="AX7" s="82"/>
      <c r="AY7" s="82"/>
      <c r="AZ7" s="82"/>
    </row>
    <row r="8" spans="1:52" ht="15.75" customHeight="1" x14ac:dyDescent="0.25">
      <c r="A8" s="185">
        <v>123</v>
      </c>
      <c r="B8" s="186" t="s">
        <v>1073</v>
      </c>
      <c r="C8" s="186" t="s">
        <v>100</v>
      </c>
      <c r="D8" s="186" t="s">
        <v>105</v>
      </c>
      <c r="E8" s="187">
        <v>46206</v>
      </c>
      <c r="F8" s="188" t="s">
        <v>124</v>
      </c>
      <c r="G8" s="189">
        <v>35.9</v>
      </c>
      <c r="H8" s="186" t="s">
        <v>1074</v>
      </c>
      <c r="I8" s="186" t="s">
        <v>925</v>
      </c>
      <c r="J8" s="186" t="s">
        <v>1075</v>
      </c>
      <c r="K8" s="173" t="s">
        <v>1084</v>
      </c>
      <c r="L8" s="186" t="s">
        <v>928</v>
      </c>
      <c r="M8" s="186" t="s">
        <v>1077</v>
      </c>
      <c r="N8" s="186" t="s">
        <v>1078</v>
      </c>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c r="AY8" s="82"/>
      <c r="AZ8" s="82"/>
    </row>
    <row r="9" spans="1:52" ht="15.75" customHeight="1" x14ac:dyDescent="0.25">
      <c r="A9" s="185">
        <v>125</v>
      </c>
      <c r="B9" s="186" t="s">
        <v>1073</v>
      </c>
      <c r="C9" s="186" t="s">
        <v>100</v>
      </c>
      <c r="D9" s="186" t="s">
        <v>105</v>
      </c>
      <c r="E9" s="187">
        <v>46213</v>
      </c>
      <c r="F9" s="188" t="s">
        <v>124</v>
      </c>
      <c r="G9" s="189">
        <v>19.899999999999999</v>
      </c>
      <c r="H9" s="186" t="s">
        <v>1074</v>
      </c>
      <c r="I9" s="186" t="s">
        <v>921</v>
      </c>
      <c r="J9" s="186" t="s">
        <v>1075</v>
      </c>
      <c r="K9" s="173" t="s">
        <v>1085</v>
      </c>
      <c r="L9" s="186" t="s">
        <v>924</v>
      </c>
      <c r="M9" s="186" t="s">
        <v>1077</v>
      </c>
      <c r="N9" s="186" t="s">
        <v>1078</v>
      </c>
      <c r="O9" s="82"/>
      <c r="P9" s="82"/>
      <c r="Q9" s="82"/>
      <c r="R9" s="82"/>
      <c r="S9" s="82"/>
      <c r="T9" s="82"/>
      <c r="U9" s="82"/>
      <c r="V9" s="82"/>
      <c r="W9" s="82"/>
      <c r="X9" s="82"/>
      <c r="Y9" s="82"/>
      <c r="Z9" s="82"/>
      <c r="AA9" s="82"/>
      <c r="AB9" s="82"/>
      <c r="AC9" s="82"/>
      <c r="AD9" s="82"/>
      <c r="AE9" s="82"/>
      <c r="AF9" s="82"/>
      <c r="AG9" s="82"/>
      <c r="AH9" s="82"/>
      <c r="AI9" s="82"/>
      <c r="AJ9" s="82"/>
      <c r="AK9" s="82"/>
      <c r="AL9" s="82"/>
      <c r="AM9" s="82"/>
      <c r="AN9" s="82"/>
      <c r="AO9" s="82"/>
      <c r="AP9" s="82"/>
      <c r="AQ9" s="82"/>
      <c r="AR9" s="82"/>
      <c r="AS9" s="82"/>
      <c r="AT9" s="82"/>
      <c r="AU9" s="82"/>
      <c r="AV9" s="82"/>
      <c r="AW9" s="82"/>
      <c r="AX9" s="82"/>
      <c r="AY9" s="82"/>
      <c r="AZ9" s="82"/>
    </row>
    <row r="10" spans="1:52" ht="15.75" customHeight="1" x14ac:dyDescent="0.25">
      <c r="A10" s="190">
        <v>131</v>
      </c>
      <c r="B10" s="191" t="s">
        <v>1086</v>
      </c>
      <c r="C10" s="191" t="s">
        <v>23</v>
      </c>
      <c r="D10" s="191" t="s">
        <v>111</v>
      </c>
      <c r="E10" s="192">
        <v>46085</v>
      </c>
      <c r="F10" s="193" t="s">
        <v>337</v>
      </c>
      <c r="G10" s="194">
        <v>300</v>
      </c>
      <c r="H10" s="191" t="s">
        <v>1074</v>
      </c>
      <c r="I10" s="191" t="s">
        <v>1087</v>
      </c>
      <c r="J10" s="191" t="s">
        <v>1088</v>
      </c>
      <c r="K10" s="195" t="s">
        <v>1089</v>
      </c>
      <c r="L10" s="191" t="s">
        <v>1090</v>
      </c>
      <c r="M10" s="191" t="s">
        <v>1077</v>
      </c>
      <c r="N10" s="191"/>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2"/>
      <c r="AW10" s="82"/>
      <c r="AX10" s="82"/>
      <c r="AY10" s="82"/>
      <c r="AZ10" s="82"/>
    </row>
    <row r="11" spans="1:52" ht="15.75" customHeight="1" x14ac:dyDescent="0.25">
      <c r="A11" s="190">
        <v>151</v>
      </c>
      <c r="B11" s="191" t="s">
        <v>1073</v>
      </c>
      <c r="C11" s="191" t="s">
        <v>23</v>
      </c>
      <c r="D11" s="191" t="s">
        <v>32</v>
      </c>
      <c r="E11" s="192">
        <v>46223</v>
      </c>
      <c r="F11" s="193" t="s">
        <v>124</v>
      </c>
      <c r="G11" s="194">
        <v>327.98</v>
      </c>
      <c r="H11" s="191" t="s">
        <v>1074</v>
      </c>
      <c r="I11" s="191" t="s">
        <v>844</v>
      </c>
      <c r="J11" s="191" t="s">
        <v>1091</v>
      </c>
      <c r="K11" s="195" t="s">
        <v>1092</v>
      </c>
      <c r="L11" s="191" t="s">
        <v>847</v>
      </c>
      <c r="M11" s="191" t="s">
        <v>1077</v>
      </c>
      <c r="N11" s="191" t="s">
        <v>1078</v>
      </c>
      <c r="O11" s="82"/>
      <c r="P11" s="82"/>
      <c r="Q11" s="82"/>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row>
    <row r="12" spans="1:52" ht="15.75" customHeight="1" x14ac:dyDescent="0.25">
      <c r="A12" s="190">
        <v>153</v>
      </c>
      <c r="B12" s="191" t="s">
        <v>1086</v>
      </c>
      <c r="C12" s="191" t="s">
        <v>23</v>
      </c>
      <c r="D12" s="191" t="s">
        <v>111</v>
      </c>
      <c r="E12" s="192">
        <v>46227</v>
      </c>
      <c r="F12" s="193" t="s">
        <v>124</v>
      </c>
      <c r="G12" s="194">
        <v>220</v>
      </c>
      <c r="H12" s="191" t="s">
        <v>1074</v>
      </c>
      <c r="I12" s="191" t="s">
        <v>1087</v>
      </c>
      <c r="J12" s="191" t="s">
        <v>1088</v>
      </c>
      <c r="K12" s="195" t="s">
        <v>1093</v>
      </c>
      <c r="L12" s="191" t="s">
        <v>1094</v>
      </c>
      <c r="M12" s="191" t="s">
        <v>1077</v>
      </c>
      <c r="N12" s="191"/>
      <c r="O12" s="82"/>
      <c r="P12" s="82"/>
      <c r="Q12" s="82"/>
      <c r="R12" s="82"/>
      <c r="S12" s="82"/>
      <c r="T12" s="82"/>
      <c r="U12" s="82"/>
      <c r="V12" s="82"/>
      <c r="W12" s="82"/>
      <c r="X12" s="82"/>
      <c r="Y12" s="82"/>
      <c r="Z12" s="82"/>
      <c r="AA12" s="82"/>
      <c r="AB12" s="82"/>
      <c r="AC12" s="82"/>
      <c r="AD12" s="82"/>
      <c r="AE12" s="82"/>
      <c r="AF12" s="82"/>
      <c r="AG12" s="82"/>
      <c r="AH12" s="82"/>
      <c r="AI12" s="82"/>
      <c r="AJ12" s="82"/>
      <c r="AK12" s="82"/>
      <c r="AL12" s="82"/>
      <c r="AM12" s="82"/>
      <c r="AN12" s="82"/>
      <c r="AO12" s="82"/>
      <c r="AP12" s="82"/>
      <c r="AQ12" s="82"/>
      <c r="AR12" s="82"/>
      <c r="AS12" s="82"/>
      <c r="AT12" s="82"/>
      <c r="AU12" s="82"/>
      <c r="AV12" s="82"/>
      <c r="AW12" s="82"/>
      <c r="AX12" s="82"/>
      <c r="AY12" s="82"/>
      <c r="AZ12" s="82"/>
    </row>
    <row r="13" spans="1:52" ht="15.75" customHeight="1" x14ac:dyDescent="0.25">
      <c r="A13" s="196">
        <v>264</v>
      </c>
      <c r="B13" s="197" t="s">
        <v>1073</v>
      </c>
      <c r="C13" s="197" t="s">
        <v>75</v>
      </c>
      <c r="D13" s="197" t="s">
        <v>79</v>
      </c>
      <c r="E13" s="198">
        <v>46186</v>
      </c>
      <c r="F13" s="199" t="s">
        <v>199</v>
      </c>
      <c r="G13" s="200">
        <v>27.01</v>
      </c>
      <c r="H13" s="197" t="s">
        <v>1074</v>
      </c>
      <c r="I13" s="197" t="s">
        <v>435</v>
      </c>
      <c r="J13" s="197" t="s">
        <v>1095</v>
      </c>
      <c r="K13" s="201" t="s">
        <v>1096</v>
      </c>
      <c r="L13" s="197" t="s">
        <v>541</v>
      </c>
      <c r="M13" s="197" t="s">
        <v>1077</v>
      </c>
      <c r="N13" s="197" t="s">
        <v>1078</v>
      </c>
      <c r="O13" s="82"/>
      <c r="P13" s="82"/>
      <c r="Q13" s="82"/>
      <c r="R13" s="82"/>
      <c r="S13" s="82"/>
      <c r="T13" s="82"/>
      <c r="U13" s="82"/>
      <c r="V13" s="82"/>
      <c r="W13" s="82"/>
      <c r="X13" s="82"/>
      <c r="Y13" s="82"/>
      <c r="Z13" s="82"/>
      <c r="AA13" s="82"/>
      <c r="AB13" s="82"/>
      <c r="AC13" s="82"/>
      <c r="AD13" s="82"/>
      <c r="AE13" s="82"/>
      <c r="AF13" s="82"/>
      <c r="AG13" s="82"/>
      <c r="AH13" s="82"/>
      <c r="AI13" s="82"/>
      <c r="AJ13" s="82"/>
      <c r="AK13" s="82"/>
      <c r="AL13" s="82"/>
      <c r="AM13" s="82"/>
      <c r="AN13" s="82"/>
      <c r="AO13" s="82"/>
      <c r="AP13" s="82"/>
      <c r="AQ13" s="82"/>
      <c r="AR13" s="82"/>
      <c r="AS13" s="82"/>
      <c r="AT13" s="82"/>
      <c r="AU13" s="82"/>
      <c r="AV13" s="82"/>
      <c r="AW13" s="82"/>
      <c r="AX13" s="82"/>
      <c r="AY13" s="82"/>
      <c r="AZ13" s="82"/>
    </row>
    <row r="14" spans="1:52" ht="15.75" customHeight="1" x14ac:dyDescent="0.25">
      <c r="A14" s="196">
        <v>266</v>
      </c>
      <c r="B14" s="197" t="s">
        <v>1073</v>
      </c>
      <c r="C14" s="197" t="s">
        <v>75</v>
      </c>
      <c r="D14" s="202" t="s">
        <v>79</v>
      </c>
      <c r="E14" s="198">
        <v>46187</v>
      </c>
      <c r="F14" s="199" t="s">
        <v>199</v>
      </c>
      <c r="G14" s="200">
        <v>27.94</v>
      </c>
      <c r="H14" s="197" t="s">
        <v>1074</v>
      </c>
      <c r="I14" s="197" t="s">
        <v>435</v>
      </c>
      <c r="J14" s="197" t="s">
        <v>1095</v>
      </c>
      <c r="K14" s="201" t="s">
        <v>1097</v>
      </c>
      <c r="L14" s="197" t="s">
        <v>538</v>
      </c>
      <c r="M14" s="197" t="s">
        <v>1077</v>
      </c>
      <c r="N14" s="197" t="s">
        <v>1078</v>
      </c>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c r="AV14" s="82"/>
      <c r="AW14" s="82"/>
      <c r="AX14" s="82"/>
      <c r="AY14" s="82"/>
      <c r="AZ14" s="82"/>
    </row>
    <row r="15" spans="1:52" ht="15.75" customHeight="1" x14ac:dyDescent="0.25">
      <c r="A15" s="196">
        <v>268</v>
      </c>
      <c r="B15" s="197" t="s">
        <v>1073</v>
      </c>
      <c r="C15" s="197" t="s">
        <v>75</v>
      </c>
      <c r="D15" s="197" t="s">
        <v>79</v>
      </c>
      <c r="E15" s="198">
        <v>46189</v>
      </c>
      <c r="F15" s="199" t="s">
        <v>199</v>
      </c>
      <c r="G15" s="200">
        <v>26.96</v>
      </c>
      <c r="H15" s="197" t="s">
        <v>1074</v>
      </c>
      <c r="I15" s="197" t="s">
        <v>435</v>
      </c>
      <c r="J15" s="197" t="s">
        <v>1095</v>
      </c>
      <c r="K15" s="201" t="s">
        <v>1098</v>
      </c>
      <c r="L15" s="197" t="s">
        <v>535</v>
      </c>
      <c r="M15" s="197" t="s">
        <v>1077</v>
      </c>
      <c r="N15" s="197" t="s">
        <v>1078</v>
      </c>
      <c r="O15" s="82"/>
      <c r="P15" s="82"/>
      <c r="Q15" s="82"/>
      <c r="R15" s="82"/>
      <c r="S15" s="82"/>
      <c r="T15" s="82"/>
      <c r="U15" s="82"/>
      <c r="V15" s="82"/>
      <c r="W15" s="82"/>
      <c r="X15" s="82"/>
      <c r="Y15" s="82"/>
      <c r="Z15" s="82"/>
      <c r="AA15" s="82"/>
      <c r="AB15" s="82"/>
      <c r="AC15" s="82"/>
      <c r="AD15" s="82"/>
      <c r="AE15" s="82"/>
      <c r="AF15" s="82"/>
      <c r="AG15" s="82"/>
      <c r="AH15" s="82"/>
      <c r="AI15" s="82"/>
      <c r="AJ15" s="82"/>
      <c r="AK15" s="82"/>
      <c r="AL15" s="82"/>
      <c r="AM15" s="82"/>
      <c r="AN15" s="82"/>
      <c r="AO15" s="82"/>
      <c r="AP15" s="82"/>
      <c r="AQ15" s="82"/>
      <c r="AR15" s="82"/>
      <c r="AS15" s="82"/>
      <c r="AT15" s="82"/>
      <c r="AU15" s="82"/>
      <c r="AV15" s="82"/>
      <c r="AW15" s="82"/>
      <c r="AX15" s="82"/>
      <c r="AY15" s="82"/>
      <c r="AZ15" s="82"/>
    </row>
    <row r="16" spans="1:52" ht="15.75" customHeight="1" x14ac:dyDescent="0.25">
      <c r="A16" s="196">
        <v>269</v>
      </c>
      <c r="B16" s="197" t="s">
        <v>1073</v>
      </c>
      <c r="C16" s="197" t="s">
        <v>75</v>
      </c>
      <c r="D16" s="197" t="s">
        <v>79</v>
      </c>
      <c r="E16" s="198">
        <v>46189</v>
      </c>
      <c r="F16" s="199" t="s">
        <v>199</v>
      </c>
      <c r="G16" s="200">
        <v>16.940000000000001</v>
      </c>
      <c r="H16" s="197" t="s">
        <v>1074</v>
      </c>
      <c r="I16" s="197" t="s">
        <v>435</v>
      </c>
      <c r="J16" s="197" t="s">
        <v>1095</v>
      </c>
      <c r="K16" s="201" t="s">
        <v>1099</v>
      </c>
      <c r="L16" s="197" t="s">
        <v>533</v>
      </c>
      <c r="M16" s="197" t="s">
        <v>1077</v>
      </c>
      <c r="N16" s="197" t="s">
        <v>1078</v>
      </c>
      <c r="O16" s="82"/>
      <c r="P16" s="82"/>
      <c r="Q16" s="82"/>
      <c r="R16" s="82"/>
      <c r="S16" s="82"/>
      <c r="T16" s="82"/>
      <c r="U16" s="82"/>
      <c r="V16" s="82"/>
      <c r="W16" s="82"/>
      <c r="X16" s="82"/>
      <c r="Y16" s="82"/>
      <c r="Z16" s="82"/>
      <c r="AA16" s="82"/>
      <c r="AB16" s="82"/>
      <c r="AC16" s="82"/>
      <c r="AD16" s="82"/>
      <c r="AE16" s="82"/>
      <c r="AF16" s="82"/>
      <c r="AG16" s="82"/>
      <c r="AH16" s="82"/>
      <c r="AI16" s="82"/>
      <c r="AJ16" s="82"/>
      <c r="AK16" s="82"/>
      <c r="AL16" s="82"/>
      <c r="AM16" s="82"/>
      <c r="AN16" s="82"/>
      <c r="AO16" s="82"/>
      <c r="AP16" s="82"/>
      <c r="AQ16" s="82"/>
      <c r="AR16" s="82"/>
      <c r="AS16" s="82"/>
      <c r="AT16" s="82"/>
      <c r="AU16" s="82"/>
      <c r="AV16" s="82"/>
      <c r="AW16" s="82"/>
      <c r="AX16" s="82"/>
      <c r="AY16" s="82"/>
      <c r="AZ16" s="82"/>
    </row>
    <row r="17" spans="1:52" ht="15.75" customHeight="1" x14ac:dyDescent="0.25">
      <c r="A17" s="196">
        <v>270</v>
      </c>
      <c r="B17" s="197" t="s">
        <v>1073</v>
      </c>
      <c r="C17" s="197" t="s">
        <v>75</v>
      </c>
      <c r="D17" s="197" t="s">
        <v>79</v>
      </c>
      <c r="E17" s="198">
        <v>46189</v>
      </c>
      <c r="F17" s="199" t="s">
        <v>199</v>
      </c>
      <c r="G17" s="200">
        <v>40.24</v>
      </c>
      <c r="H17" s="197" t="s">
        <v>1074</v>
      </c>
      <c r="I17" s="197" t="s">
        <v>435</v>
      </c>
      <c r="J17" s="197" t="s">
        <v>1095</v>
      </c>
      <c r="K17" s="201" t="s">
        <v>1100</v>
      </c>
      <c r="L17" s="197" t="s">
        <v>531</v>
      </c>
      <c r="M17" s="197" t="s">
        <v>1077</v>
      </c>
      <c r="N17" s="197" t="s">
        <v>1078</v>
      </c>
      <c r="O17" s="82"/>
      <c r="P17" s="82"/>
      <c r="Q17" s="82"/>
      <c r="R17" s="82"/>
      <c r="S17" s="82"/>
      <c r="T17" s="82"/>
      <c r="U17" s="82"/>
      <c r="V17" s="82"/>
      <c r="W17" s="82"/>
      <c r="X17" s="82"/>
      <c r="Y17" s="82"/>
      <c r="Z17" s="82"/>
      <c r="AA17" s="82"/>
      <c r="AB17" s="82"/>
      <c r="AC17" s="82"/>
      <c r="AD17" s="82"/>
      <c r="AE17" s="82"/>
      <c r="AF17" s="82"/>
      <c r="AG17" s="82"/>
      <c r="AH17" s="82"/>
      <c r="AI17" s="82"/>
      <c r="AJ17" s="82"/>
      <c r="AK17" s="82"/>
      <c r="AL17" s="82"/>
      <c r="AM17" s="82"/>
      <c r="AN17" s="82"/>
      <c r="AO17" s="82"/>
      <c r="AP17" s="82"/>
      <c r="AQ17" s="82"/>
      <c r="AR17" s="82"/>
      <c r="AS17" s="82"/>
      <c r="AT17" s="82"/>
      <c r="AU17" s="82"/>
      <c r="AV17" s="82"/>
      <c r="AW17" s="82"/>
      <c r="AX17" s="82"/>
      <c r="AY17" s="82"/>
      <c r="AZ17" s="82"/>
    </row>
    <row r="18" spans="1:52" ht="15.75" customHeight="1" x14ac:dyDescent="0.25">
      <c r="A18" s="196">
        <v>275</v>
      </c>
      <c r="B18" s="197" t="s">
        <v>1073</v>
      </c>
      <c r="C18" s="197" t="s">
        <v>75</v>
      </c>
      <c r="D18" s="197" t="s">
        <v>79</v>
      </c>
      <c r="E18" s="198">
        <v>46198</v>
      </c>
      <c r="F18" s="199" t="s">
        <v>199</v>
      </c>
      <c r="G18" s="200">
        <v>25.94</v>
      </c>
      <c r="H18" s="197" t="s">
        <v>1074</v>
      </c>
      <c r="I18" s="197" t="s">
        <v>435</v>
      </c>
      <c r="J18" s="197" t="s">
        <v>1095</v>
      </c>
      <c r="K18" s="201" t="s">
        <v>1101</v>
      </c>
      <c r="L18" s="197" t="s">
        <v>526</v>
      </c>
      <c r="M18" s="197" t="s">
        <v>1077</v>
      </c>
      <c r="N18" s="197" t="s">
        <v>1078</v>
      </c>
      <c r="O18" s="82"/>
      <c r="P18" s="82"/>
      <c r="Q18" s="82"/>
      <c r="R18" s="82"/>
      <c r="S18" s="82"/>
      <c r="T18" s="82"/>
      <c r="U18" s="82"/>
      <c r="V18" s="82"/>
      <c r="W18" s="82"/>
      <c r="X18" s="82"/>
      <c r="Y18" s="82"/>
      <c r="Z18" s="82"/>
      <c r="AA18" s="82"/>
      <c r="AB18" s="82"/>
      <c r="AC18" s="82"/>
      <c r="AD18" s="82"/>
      <c r="AE18" s="82"/>
      <c r="AF18" s="82"/>
      <c r="AG18" s="82"/>
      <c r="AH18" s="82"/>
      <c r="AI18" s="82"/>
      <c r="AJ18" s="82"/>
      <c r="AK18" s="82"/>
      <c r="AL18" s="82"/>
      <c r="AM18" s="82"/>
      <c r="AN18" s="82"/>
      <c r="AO18" s="82"/>
      <c r="AP18" s="82"/>
      <c r="AQ18" s="82"/>
      <c r="AR18" s="82"/>
      <c r="AS18" s="82"/>
      <c r="AT18" s="82"/>
      <c r="AU18" s="82"/>
      <c r="AV18" s="82"/>
      <c r="AW18" s="82"/>
      <c r="AX18" s="82"/>
      <c r="AY18" s="82"/>
      <c r="AZ18" s="82"/>
    </row>
    <row r="19" spans="1:52" ht="15.75" customHeight="1" x14ac:dyDescent="0.25">
      <c r="A19" s="196">
        <v>277</v>
      </c>
      <c r="B19" s="197" t="s">
        <v>1073</v>
      </c>
      <c r="C19" s="197" t="s">
        <v>75</v>
      </c>
      <c r="D19" s="197" t="s">
        <v>79</v>
      </c>
      <c r="E19" s="198">
        <v>46201</v>
      </c>
      <c r="F19" s="199" t="s">
        <v>199</v>
      </c>
      <c r="G19" s="200">
        <v>66.91</v>
      </c>
      <c r="H19" s="197" t="s">
        <v>1074</v>
      </c>
      <c r="I19" s="197" t="s">
        <v>435</v>
      </c>
      <c r="J19" s="197" t="s">
        <v>1095</v>
      </c>
      <c r="K19" s="201" t="s">
        <v>1102</v>
      </c>
      <c r="L19" s="197" t="s">
        <v>523</v>
      </c>
      <c r="M19" s="197" t="s">
        <v>1077</v>
      </c>
      <c r="N19" s="197" t="s">
        <v>1078</v>
      </c>
      <c r="O19" s="82"/>
      <c r="P19" s="82"/>
      <c r="Q19" s="82"/>
      <c r="R19" s="82"/>
      <c r="S19" s="82"/>
      <c r="T19" s="82"/>
      <c r="U19" s="82"/>
      <c r="V19" s="82"/>
      <c r="W19" s="82"/>
      <c r="X19" s="82"/>
      <c r="Y19" s="82"/>
      <c r="Z19" s="82"/>
      <c r="AA19" s="82"/>
      <c r="AB19" s="82"/>
      <c r="AC19" s="82"/>
      <c r="AD19" s="82"/>
      <c r="AE19" s="82"/>
      <c r="AF19" s="82"/>
      <c r="AG19" s="82"/>
      <c r="AH19" s="82"/>
      <c r="AI19" s="82"/>
      <c r="AJ19" s="82"/>
      <c r="AK19" s="82"/>
      <c r="AL19" s="82"/>
      <c r="AM19" s="82"/>
      <c r="AN19" s="82"/>
      <c r="AO19" s="82"/>
      <c r="AP19" s="82"/>
      <c r="AQ19" s="82"/>
      <c r="AR19" s="82"/>
      <c r="AS19" s="82"/>
      <c r="AT19" s="82"/>
      <c r="AU19" s="82"/>
      <c r="AV19" s="82"/>
      <c r="AW19" s="82"/>
      <c r="AX19" s="82"/>
      <c r="AY19" s="82"/>
      <c r="AZ19" s="82"/>
    </row>
    <row r="20" spans="1:52" ht="15.75" customHeight="1" x14ac:dyDescent="0.25">
      <c r="A20" s="196">
        <v>279</v>
      </c>
      <c r="B20" s="197" t="s">
        <v>1073</v>
      </c>
      <c r="C20" s="197" t="s">
        <v>75</v>
      </c>
      <c r="D20" s="197" t="s">
        <v>79</v>
      </c>
      <c r="E20" s="198">
        <v>46202</v>
      </c>
      <c r="F20" s="199" t="s">
        <v>199</v>
      </c>
      <c r="G20" s="200">
        <v>52.73</v>
      </c>
      <c r="H20" s="197" t="s">
        <v>1074</v>
      </c>
      <c r="I20" s="197" t="s">
        <v>435</v>
      </c>
      <c r="J20" s="197" t="s">
        <v>1095</v>
      </c>
      <c r="K20" s="201" t="s">
        <v>1103</v>
      </c>
      <c r="L20" s="197" t="s">
        <v>520</v>
      </c>
      <c r="M20" s="197" t="s">
        <v>1077</v>
      </c>
      <c r="N20" s="197" t="s">
        <v>1078</v>
      </c>
      <c r="O20" s="82"/>
      <c r="P20" s="82"/>
      <c r="Q20" s="82"/>
      <c r="R20" s="82"/>
      <c r="S20" s="82"/>
      <c r="T20" s="82"/>
      <c r="U20" s="82"/>
      <c r="V20" s="82"/>
      <c r="W20" s="82"/>
      <c r="X20" s="82"/>
      <c r="Y20" s="82"/>
      <c r="Z20" s="82"/>
      <c r="AA20" s="82"/>
      <c r="AB20" s="82"/>
      <c r="AC20" s="82"/>
      <c r="AD20" s="82"/>
      <c r="AE20" s="82"/>
      <c r="AF20" s="82"/>
      <c r="AG20" s="82"/>
      <c r="AH20" s="82"/>
      <c r="AI20" s="82"/>
      <c r="AJ20" s="82"/>
      <c r="AK20" s="82"/>
      <c r="AL20" s="82"/>
      <c r="AM20" s="82"/>
      <c r="AN20" s="82"/>
      <c r="AO20" s="82"/>
      <c r="AP20" s="82"/>
      <c r="AQ20" s="82"/>
      <c r="AR20" s="82"/>
      <c r="AS20" s="82"/>
      <c r="AT20" s="82"/>
      <c r="AU20" s="82"/>
      <c r="AV20" s="82"/>
      <c r="AW20" s="82"/>
      <c r="AX20" s="82"/>
      <c r="AY20" s="82"/>
      <c r="AZ20" s="82"/>
    </row>
    <row r="21" spans="1:52" ht="15.75" customHeight="1" x14ac:dyDescent="0.25">
      <c r="A21" s="196">
        <v>281</v>
      </c>
      <c r="B21" s="197" t="s">
        <v>1073</v>
      </c>
      <c r="C21" s="197" t="s">
        <v>75</v>
      </c>
      <c r="D21" s="197" t="s">
        <v>79</v>
      </c>
      <c r="E21" s="198">
        <v>46203</v>
      </c>
      <c r="F21" s="199" t="s">
        <v>199</v>
      </c>
      <c r="G21" s="200">
        <v>22.57</v>
      </c>
      <c r="H21" s="197" t="s">
        <v>1074</v>
      </c>
      <c r="I21" s="197" t="s">
        <v>435</v>
      </c>
      <c r="J21" s="197" t="s">
        <v>1095</v>
      </c>
      <c r="K21" s="201" t="s">
        <v>1104</v>
      </c>
      <c r="L21" s="197" t="s">
        <v>517</v>
      </c>
      <c r="M21" s="197" t="s">
        <v>1077</v>
      </c>
      <c r="N21" s="197" t="s">
        <v>1078</v>
      </c>
      <c r="O21" s="82"/>
      <c r="P21" s="82"/>
      <c r="Q21" s="82"/>
      <c r="R21" s="82"/>
      <c r="S21" s="82"/>
      <c r="T21" s="82"/>
      <c r="U21" s="82"/>
      <c r="V21" s="82"/>
      <c r="W21" s="82"/>
      <c r="X21" s="82"/>
      <c r="Y21" s="82"/>
      <c r="Z21" s="82"/>
      <c r="AA21" s="82"/>
      <c r="AB21" s="82"/>
      <c r="AC21" s="82"/>
      <c r="AD21" s="82"/>
      <c r="AE21" s="82"/>
      <c r="AF21" s="82"/>
      <c r="AG21" s="82"/>
      <c r="AH21" s="82"/>
      <c r="AI21" s="82"/>
      <c r="AJ21" s="82"/>
      <c r="AK21" s="82"/>
      <c r="AL21" s="82"/>
      <c r="AM21" s="82"/>
      <c r="AN21" s="82"/>
      <c r="AO21" s="82"/>
      <c r="AP21" s="82"/>
      <c r="AQ21" s="82"/>
      <c r="AR21" s="82"/>
      <c r="AS21" s="82"/>
      <c r="AT21" s="82"/>
      <c r="AU21" s="82"/>
      <c r="AV21" s="82"/>
      <c r="AW21" s="82"/>
      <c r="AX21" s="82"/>
      <c r="AY21" s="82"/>
      <c r="AZ21" s="82"/>
    </row>
    <row r="22" spans="1:52" ht="15.75" customHeight="1" x14ac:dyDescent="0.25">
      <c r="A22" s="196">
        <v>282</v>
      </c>
      <c r="B22" s="197" t="s">
        <v>1073</v>
      </c>
      <c r="C22" s="197" t="s">
        <v>75</v>
      </c>
      <c r="D22" s="197" t="s">
        <v>79</v>
      </c>
      <c r="E22" s="198">
        <v>46203</v>
      </c>
      <c r="F22" s="199" t="s">
        <v>199</v>
      </c>
      <c r="G22" s="200">
        <v>32.36</v>
      </c>
      <c r="H22" s="197" t="s">
        <v>1074</v>
      </c>
      <c r="I22" s="197" t="s">
        <v>435</v>
      </c>
      <c r="J22" s="197" t="s">
        <v>1095</v>
      </c>
      <c r="K22" s="201" t="s">
        <v>1105</v>
      </c>
      <c r="L22" s="197" t="s">
        <v>515</v>
      </c>
      <c r="M22" s="197" t="s">
        <v>1077</v>
      </c>
      <c r="N22" s="197" t="s">
        <v>1078</v>
      </c>
      <c r="O22" s="82"/>
      <c r="P22" s="82"/>
      <c r="Q22" s="82"/>
      <c r="R22" s="82"/>
      <c r="S22" s="82"/>
      <c r="T22" s="82"/>
      <c r="U22" s="82"/>
      <c r="V22" s="82"/>
      <c r="W22" s="82"/>
      <c r="X22" s="82"/>
      <c r="Y22" s="82"/>
      <c r="Z22" s="82"/>
      <c r="AA22" s="82"/>
      <c r="AB22" s="82"/>
      <c r="AC22" s="82"/>
      <c r="AD22" s="82"/>
      <c r="AE22" s="82"/>
      <c r="AF22" s="82"/>
      <c r="AG22" s="82"/>
      <c r="AH22" s="82"/>
      <c r="AI22" s="82"/>
      <c r="AJ22" s="82"/>
      <c r="AK22" s="82"/>
      <c r="AL22" s="82"/>
      <c r="AM22" s="82"/>
      <c r="AN22" s="82"/>
      <c r="AO22" s="82"/>
      <c r="AP22" s="82"/>
      <c r="AQ22" s="82"/>
      <c r="AR22" s="82"/>
      <c r="AS22" s="82"/>
      <c r="AT22" s="82"/>
      <c r="AU22" s="82"/>
      <c r="AV22" s="82"/>
      <c r="AW22" s="82"/>
      <c r="AX22" s="82"/>
      <c r="AY22" s="82"/>
      <c r="AZ22" s="82"/>
    </row>
    <row r="23" spans="1:52" ht="15.75" customHeight="1" x14ac:dyDescent="0.25">
      <c r="A23" s="196">
        <v>283</v>
      </c>
      <c r="B23" s="197" t="s">
        <v>1073</v>
      </c>
      <c r="C23" s="197" t="s">
        <v>75</v>
      </c>
      <c r="D23" s="197" t="s">
        <v>79</v>
      </c>
      <c r="E23" s="198">
        <v>46203</v>
      </c>
      <c r="F23" s="199" t="s">
        <v>199</v>
      </c>
      <c r="G23" s="200">
        <v>13.98</v>
      </c>
      <c r="H23" s="197" t="s">
        <v>1074</v>
      </c>
      <c r="I23" s="197" t="s">
        <v>435</v>
      </c>
      <c r="J23" s="197" t="s">
        <v>1095</v>
      </c>
      <c r="K23" s="201" t="s">
        <v>1106</v>
      </c>
      <c r="L23" s="197" t="s">
        <v>513</v>
      </c>
      <c r="M23" s="197" t="s">
        <v>1077</v>
      </c>
      <c r="N23" s="197" t="s">
        <v>1078</v>
      </c>
      <c r="O23" s="82"/>
      <c r="P23" s="82"/>
      <c r="Q23" s="82"/>
      <c r="R23" s="82"/>
      <c r="S23" s="8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c r="AX23" s="82"/>
      <c r="AY23" s="82"/>
      <c r="AZ23" s="82"/>
    </row>
    <row r="24" spans="1:52" ht="15.75" customHeight="1" x14ac:dyDescent="0.25">
      <c r="A24" s="196">
        <v>287</v>
      </c>
      <c r="B24" s="197" t="s">
        <v>1073</v>
      </c>
      <c r="C24" s="197" t="s">
        <v>75</v>
      </c>
      <c r="D24" s="197" t="s">
        <v>79</v>
      </c>
      <c r="E24" s="198">
        <v>46205</v>
      </c>
      <c r="F24" s="199" t="s">
        <v>124</v>
      </c>
      <c r="G24" s="200">
        <v>8.94</v>
      </c>
      <c r="H24" s="197" t="s">
        <v>1074</v>
      </c>
      <c r="I24" s="197" t="s">
        <v>435</v>
      </c>
      <c r="J24" s="197" t="s">
        <v>1095</v>
      </c>
      <c r="K24" s="201" t="s">
        <v>1107</v>
      </c>
      <c r="L24" s="197" t="s">
        <v>510</v>
      </c>
      <c r="M24" s="197" t="s">
        <v>1077</v>
      </c>
      <c r="N24" s="197" t="s">
        <v>1078</v>
      </c>
      <c r="O24" s="82"/>
      <c r="P24" s="82"/>
      <c r="Q24" s="82"/>
      <c r="R24" s="82"/>
      <c r="S24" s="82"/>
      <c r="T24" s="82"/>
      <c r="U24" s="82"/>
      <c r="V24" s="82"/>
      <c r="W24" s="82"/>
      <c r="X24" s="82"/>
      <c r="Y24" s="82"/>
      <c r="Z24" s="82"/>
      <c r="AA24" s="82"/>
      <c r="AB24" s="82"/>
      <c r="AC24" s="82"/>
      <c r="AD24" s="82"/>
      <c r="AE24" s="82"/>
      <c r="AF24" s="82"/>
      <c r="AG24" s="82"/>
      <c r="AH24" s="82"/>
      <c r="AI24" s="82"/>
      <c r="AJ24" s="82"/>
      <c r="AK24" s="82"/>
      <c r="AL24" s="82"/>
      <c r="AM24" s="82"/>
      <c r="AN24" s="82"/>
      <c r="AO24" s="82"/>
      <c r="AP24" s="82"/>
      <c r="AQ24" s="82"/>
      <c r="AR24" s="82"/>
      <c r="AS24" s="82"/>
      <c r="AT24" s="82"/>
      <c r="AU24" s="82"/>
      <c r="AV24" s="82"/>
      <c r="AW24" s="82"/>
      <c r="AX24" s="82"/>
      <c r="AY24" s="82"/>
      <c r="AZ24" s="82"/>
    </row>
    <row r="25" spans="1:52" ht="15.75" customHeight="1" x14ac:dyDescent="0.25">
      <c r="A25" s="196">
        <v>288</v>
      </c>
      <c r="B25" s="197" t="s">
        <v>1073</v>
      </c>
      <c r="C25" s="197" t="s">
        <v>75</v>
      </c>
      <c r="D25" s="197" t="s">
        <v>79</v>
      </c>
      <c r="E25" s="198">
        <v>46205</v>
      </c>
      <c r="F25" s="199" t="s">
        <v>124</v>
      </c>
      <c r="G25" s="200">
        <v>23.9</v>
      </c>
      <c r="H25" s="197" t="s">
        <v>1074</v>
      </c>
      <c r="I25" s="197" t="s">
        <v>435</v>
      </c>
      <c r="J25" s="197" t="s">
        <v>1095</v>
      </c>
      <c r="K25" s="201" t="s">
        <v>1108</v>
      </c>
      <c r="L25" s="197" t="s">
        <v>508</v>
      </c>
      <c r="M25" s="197" t="s">
        <v>1077</v>
      </c>
      <c r="N25" s="197" t="s">
        <v>1078</v>
      </c>
      <c r="O25" s="82"/>
      <c r="P25" s="82"/>
      <c r="Q25" s="82"/>
      <c r="R25" s="82"/>
      <c r="S25" s="8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c r="AX25" s="82"/>
      <c r="AY25" s="82"/>
      <c r="AZ25" s="82"/>
    </row>
    <row r="26" spans="1:52" ht="15.75" customHeight="1" x14ac:dyDescent="0.25">
      <c r="A26" s="196">
        <v>289</v>
      </c>
      <c r="B26" s="197" t="s">
        <v>1073</v>
      </c>
      <c r="C26" s="197" t="s">
        <v>75</v>
      </c>
      <c r="D26" s="197" t="s">
        <v>79</v>
      </c>
      <c r="E26" s="198">
        <v>46205</v>
      </c>
      <c r="F26" s="199" t="s">
        <v>124</v>
      </c>
      <c r="G26" s="200">
        <v>27.38</v>
      </c>
      <c r="H26" s="197" t="s">
        <v>1074</v>
      </c>
      <c r="I26" s="197" t="s">
        <v>435</v>
      </c>
      <c r="J26" s="197" t="s">
        <v>1095</v>
      </c>
      <c r="K26" s="201" t="s">
        <v>1109</v>
      </c>
      <c r="L26" s="197" t="s">
        <v>506</v>
      </c>
      <c r="M26" s="197" t="s">
        <v>1077</v>
      </c>
      <c r="N26" s="197" t="s">
        <v>1078</v>
      </c>
      <c r="O26" s="82"/>
      <c r="P26" s="82"/>
      <c r="Q26" s="82"/>
      <c r="R26" s="82"/>
      <c r="S26" s="82"/>
      <c r="T26" s="82"/>
      <c r="U26" s="82"/>
      <c r="V26" s="82"/>
      <c r="W26" s="82"/>
      <c r="X26" s="82"/>
      <c r="Y26" s="82"/>
      <c r="Z26" s="82"/>
      <c r="AA26" s="82"/>
      <c r="AB26" s="82"/>
      <c r="AC26" s="82"/>
      <c r="AD26" s="82"/>
      <c r="AE26" s="82"/>
      <c r="AF26" s="82"/>
      <c r="AG26" s="82"/>
      <c r="AH26" s="82"/>
      <c r="AI26" s="82"/>
      <c r="AJ26" s="82"/>
      <c r="AK26" s="82"/>
      <c r="AL26" s="82"/>
      <c r="AM26" s="82"/>
      <c r="AN26" s="82"/>
      <c r="AO26" s="82"/>
      <c r="AP26" s="82"/>
      <c r="AQ26" s="82"/>
      <c r="AR26" s="82"/>
      <c r="AS26" s="82"/>
      <c r="AT26" s="82"/>
      <c r="AU26" s="82"/>
      <c r="AV26" s="82"/>
      <c r="AW26" s="82"/>
      <c r="AX26" s="82"/>
      <c r="AY26" s="82"/>
      <c r="AZ26" s="82"/>
    </row>
    <row r="27" spans="1:52" ht="15.75" customHeight="1" x14ac:dyDescent="0.25">
      <c r="A27" s="196">
        <v>293</v>
      </c>
      <c r="B27" s="197" t="s">
        <v>1073</v>
      </c>
      <c r="C27" s="197" t="s">
        <v>75</v>
      </c>
      <c r="D27" s="197" t="s">
        <v>79</v>
      </c>
      <c r="E27" s="198">
        <v>46206</v>
      </c>
      <c r="F27" s="199" t="s">
        <v>124</v>
      </c>
      <c r="G27" s="200">
        <v>23.52</v>
      </c>
      <c r="H27" s="197" t="s">
        <v>1074</v>
      </c>
      <c r="I27" s="197" t="s">
        <v>435</v>
      </c>
      <c r="J27" s="197" t="s">
        <v>1095</v>
      </c>
      <c r="K27" s="201" t="s">
        <v>1110</v>
      </c>
      <c r="L27" s="197" t="s">
        <v>503</v>
      </c>
      <c r="M27" s="197" t="s">
        <v>1077</v>
      </c>
      <c r="N27" s="197" t="s">
        <v>1078</v>
      </c>
      <c r="O27" s="82"/>
      <c r="P27" s="82"/>
      <c r="Q27" s="82"/>
      <c r="R27" s="82"/>
      <c r="S27" s="82"/>
      <c r="T27" s="82"/>
      <c r="U27" s="82"/>
      <c r="V27" s="82"/>
      <c r="W27" s="82"/>
      <c r="X27" s="82"/>
      <c r="Y27" s="82"/>
      <c r="Z27" s="82"/>
      <c r="AA27" s="82"/>
      <c r="AB27" s="82"/>
      <c r="AC27" s="82"/>
      <c r="AD27" s="82"/>
      <c r="AE27" s="82"/>
      <c r="AF27" s="82"/>
      <c r="AG27" s="82"/>
      <c r="AH27" s="82"/>
      <c r="AI27" s="82"/>
      <c r="AJ27" s="82"/>
      <c r="AK27" s="82"/>
      <c r="AL27" s="82"/>
      <c r="AM27" s="82"/>
      <c r="AN27" s="82"/>
      <c r="AO27" s="82"/>
      <c r="AP27" s="82"/>
      <c r="AQ27" s="82"/>
      <c r="AR27" s="82"/>
      <c r="AS27" s="82"/>
      <c r="AT27" s="82"/>
      <c r="AU27" s="82"/>
      <c r="AV27" s="82"/>
      <c r="AW27" s="82"/>
      <c r="AX27" s="82"/>
      <c r="AY27" s="82"/>
      <c r="AZ27" s="82"/>
    </row>
    <row r="28" spans="1:52" ht="15.75" customHeight="1" x14ac:dyDescent="0.25">
      <c r="A28" s="196">
        <v>294</v>
      </c>
      <c r="B28" s="197" t="s">
        <v>1073</v>
      </c>
      <c r="C28" s="197" t="s">
        <v>75</v>
      </c>
      <c r="D28" s="197" t="s">
        <v>79</v>
      </c>
      <c r="E28" s="198">
        <v>46206</v>
      </c>
      <c r="F28" s="199" t="s">
        <v>124</v>
      </c>
      <c r="G28" s="200">
        <v>16.57</v>
      </c>
      <c r="H28" s="197" t="s">
        <v>1074</v>
      </c>
      <c r="I28" s="197" t="s">
        <v>435</v>
      </c>
      <c r="J28" s="197" t="s">
        <v>1095</v>
      </c>
      <c r="K28" s="201" t="s">
        <v>1111</v>
      </c>
      <c r="L28" s="197" t="s">
        <v>501</v>
      </c>
      <c r="M28" s="197" t="s">
        <v>1077</v>
      </c>
      <c r="N28" s="197" t="s">
        <v>1078</v>
      </c>
      <c r="O28" s="82"/>
      <c r="P28" s="82"/>
      <c r="Q28" s="82"/>
      <c r="R28" s="82"/>
      <c r="S28" s="82"/>
      <c r="T28" s="82"/>
      <c r="U28" s="82"/>
      <c r="V28" s="82"/>
      <c r="W28" s="82"/>
      <c r="X28" s="82"/>
      <c r="Y28" s="82"/>
      <c r="Z28" s="82"/>
      <c r="AA28" s="82"/>
      <c r="AB28" s="82"/>
      <c r="AC28" s="82"/>
      <c r="AD28" s="82"/>
      <c r="AE28" s="82"/>
      <c r="AF28" s="82"/>
      <c r="AG28" s="82"/>
      <c r="AH28" s="82"/>
      <c r="AI28" s="82"/>
      <c r="AJ28" s="82"/>
      <c r="AK28" s="82"/>
      <c r="AL28" s="82"/>
      <c r="AM28" s="82"/>
      <c r="AN28" s="82"/>
      <c r="AO28" s="82"/>
      <c r="AP28" s="82"/>
      <c r="AQ28" s="82"/>
      <c r="AR28" s="82"/>
      <c r="AS28" s="82"/>
      <c r="AT28" s="82"/>
      <c r="AU28" s="82"/>
      <c r="AV28" s="82"/>
      <c r="AW28" s="82"/>
      <c r="AX28" s="82"/>
      <c r="AY28" s="82"/>
      <c r="AZ28" s="82"/>
    </row>
    <row r="29" spans="1:52" ht="15.75" customHeight="1" x14ac:dyDescent="0.25">
      <c r="A29" s="196">
        <v>297</v>
      </c>
      <c r="B29" s="197" t="s">
        <v>1073</v>
      </c>
      <c r="C29" s="197" t="s">
        <v>75</v>
      </c>
      <c r="D29" s="197" t="s">
        <v>79</v>
      </c>
      <c r="E29" s="198">
        <v>46209</v>
      </c>
      <c r="F29" s="199" t="s">
        <v>124</v>
      </c>
      <c r="G29" s="200">
        <v>10.96</v>
      </c>
      <c r="H29" s="197" t="s">
        <v>1074</v>
      </c>
      <c r="I29" s="197" t="s">
        <v>435</v>
      </c>
      <c r="J29" s="197" t="s">
        <v>1095</v>
      </c>
      <c r="K29" s="201" t="s">
        <v>1112</v>
      </c>
      <c r="L29" s="197" t="s">
        <v>498</v>
      </c>
      <c r="M29" s="197" t="s">
        <v>1077</v>
      </c>
      <c r="N29" s="197" t="s">
        <v>1078</v>
      </c>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c r="AV29" s="82"/>
      <c r="AW29" s="82"/>
      <c r="AX29" s="82"/>
      <c r="AY29" s="82"/>
      <c r="AZ29" s="82"/>
    </row>
    <row r="30" spans="1:52" ht="15.75" customHeight="1" x14ac:dyDescent="0.25">
      <c r="A30" s="196">
        <v>299</v>
      </c>
      <c r="B30" s="197" t="s">
        <v>1073</v>
      </c>
      <c r="C30" s="197" t="s">
        <v>75</v>
      </c>
      <c r="D30" s="197" t="s">
        <v>79</v>
      </c>
      <c r="E30" s="198">
        <v>46209</v>
      </c>
      <c r="F30" s="199" t="s">
        <v>124</v>
      </c>
      <c r="G30" s="200">
        <v>11.69</v>
      </c>
      <c r="H30" s="197" t="s">
        <v>1074</v>
      </c>
      <c r="I30" s="197" t="s">
        <v>435</v>
      </c>
      <c r="J30" s="197" t="s">
        <v>1095</v>
      </c>
      <c r="K30" s="201" t="s">
        <v>1113</v>
      </c>
      <c r="L30" s="197" t="s">
        <v>496</v>
      </c>
      <c r="M30" s="197" t="s">
        <v>1077</v>
      </c>
      <c r="N30" s="197" t="s">
        <v>1078</v>
      </c>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c r="AV30" s="82"/>
      <c r="AW30" s="82"/>
      <c r="AX30" s="82"/>
      <c r="AY30" s="82"/>
      <c r="AZ30" s="82"/>
    </row>
    <row r="31" spans="1:52" ht="15.75" customHeight="1" x14ac:dyDescent="0.25">
      <c r="A31" s="196">
        <v>304</v>
      </c>
      <c r="B31" s="197" t="s">
        <v>1073</v>
      </c>
      <c r="C31" s="197" t="s">
        <v>75</v>
      </c>
      <c r="D31" s="197" t="s">
        <v>79</v>
      </c>
      <c r="E31" s="198">
        <v>46213</v>
      </c>
      <c r="F31" s="199" t="s">
        <v>124</v>
      </c>
      <c r="G31" s="200">
        <v>13.95</v>
      </c>
      <c r="H31" s="197" t="s">
        <v>1074</v>
      </c>
      <c r="I31" s="197" t="s">
        <v>435</v>
      </c>
      <c r="J31" s="197" t="s">
        <v>1095</v>
      </c>
      <c r="K31" s="201" t="s">
        <v>1114</v>
      </c>
      <c r="L31" s="197" t="s">
        <v>485</v>
      </c>
      <c r="M31" s="197" t="s">
        <v>1077</v>
      </c>
      <c r="N31" s="197" t="s">
        <v>1078</v>
      </c>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c r="AV31" s="82"/>
      <c r="AW31" s="82"/>
      <c r="AX31" s="82"/>
      <c r="AY31" s="82"/>
      <c r="AZ31" s="82"/>
    </row>
    <row r="32" spans="1:52" ht="15.75" customHeight="1" x14ac:dyDescent="0.25">
      <c r="A32" s="196">
        <v>305</v>
      </c>
      <c r="B32" s="197" t="s">
        <v>1073</v>
      </c>
      <c r="C32" s="197" t="s">
        <v>75</v>
      </c>
      <c r="D32" s="197" t="s">
        <v>79</v>
      </c>
      <c r="E32" s="198">
        <v>46213</v>
      </c>
      <c r="F32" s="199" t="s">
        <v>124</v>
      </c>
      <c r="G32" s="200">
        <v>53.51</v>
      </c>
      <c r="H32" s="197" t="s">
        <v>1074</v>
      </c>
      <c r="I32" s="197" t="s">
        <v>435</v>
      </c>
      <c r="J32" s="197" t="s">
        <v>1095</v>
      </c>
      <c r="K32" s="201" t="s">
        <v>1115</v>
      </c>
      <c r="L32" s="197" t="s">
        <v>487</v>
      </c>
      <c r="M32" s="197" t="s">
        <v>1077</v>
      </c>
      <c r="N32" s="197" t="s">
        <v>1078</v>
      </c>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c r="AV32" s="82"/>
      <c r="AW32" s="82"/>
      <c r="AX32" s="82"/>
      <c r="AY32" s="82"/>
      <c r="AZ32" s="82"/>
    </row>
    <row r="33" spans="1:52" ht="15.75" customHeight="1" x14ac:dyDescent="0.25">
      <c r="A33" s="203">
        <v>329</v>
      </c>
      <c r="B33" s="204" t="s">
        <v>1086</v>
      </c>
      <c r="C33" s="204" t="s">
        <v>48</v>
      </c>
      <c r="D33" s="204" t="s">
        <v>99</v>
      </c>
      <c r="E33" s="205">
        <v>46087</v>
      </c>
      <c r="F33" s="206" t="s">
        <v>337</v>
      </c>
      <c r="G33" s="207">
        <v>350</v>
      </c>
      <c r="H33" s="204" t="s">
        <v>1074</v>
      </c>
      <c r="I33" s="204" t="s">
        <v>1116</v>
      </c>
      <c r="J33" s="204" t="s">
        <v>1088</v>
      </c>
      <c r="K33" s="208" t="s">
        <v>1117</v>
      </c>
      <c r="L33" s="204" t="s">
        <v>1118</v>
      </c>
      <c r="M33" s="204" t="s">
        <v>1077</v>
      </c>
      <c r="N33" s="204"/>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c r="AV33" s="82"/>
      <c r="AW33" s="82"/>
      <c r="AX33" s="82"/>
      <c r="AY33" s="82"/>
      <c r="AZ33" s="82"/>
    </row>
    <row r="34" spans="1:52" ht="15.75" customHeight="1" x14ac:dyDescent="0.25">
      <c r="A34" s="203">
        <v>331</v>
      </c>
      <c r="B34" s="204" t="s">
        <v>1086</v>
      </c>
      <c r="C34" s="204" t="s">
        <v>48</v>
      </c>
      <c r="D34" s="204" t="s">
        <v>99</v>
      </c>
      <c r="E34" s="205">
        <v>46126</v>
      </c>
      <c r="F34" s="206" t="s">
        <v>275</v>
      </c>
      <c r="G34" s="207">
        <v>262.5</v>
      </c>
      <c r="H34" s="204" t="s">
        <v>1074</v>
      </c>
      <c r="I34" s="204" t="s">
        <v>1116</v>
      </c>
      <c r="J34" s="204" t="s">
        <v>1088</v>
      </c>
      <c r="K34" s="208" t="s">
        <v>1119</v>
      </c>
      <c r="L34" s="204" t="s">
        <v>1120</v>
      </c>
      <c r="M34" s="204" t="s">
        <v>1077</v>
      </c>
      <c r="N34" s="204"/>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c r="AV34" s="82"/>
      <c r="AW34" s="82"/>
      <c r="AX34" s="82"/>
      <c r="AY34" s="82"/>
      <c r="AZ34" s="82"/>
    </row>
    <row r="35" spans="1:52" ht="15.75" customHeight="1" x14ac:dyDescent="0.25">
      <c r="A35" s="203">
        <v>333</v>
      </c>
      <c r="B35" s="204" t="s">
        <v>1086</v>
      </c>
      <c r="C35" s="204" t="s">
        <v>48</v>
      </c>
      <c r="D35" s="204" t="s">
        <v>99</v>
      </c>
      <c r="E35" s="205">
        <v>46153</v>
      </c>
      <c r="F35" s="206" t="s">
        <v>235</v>
      </c>
      <c r="G35" s="207">
        <v>350</v>
      </c>
      <c r="H35" s="204" t="s">
        <v>1074</v>
      </c>
      <c r="I35" s="204" t="s">
        <v>1121</v>
      </c>
      <c r="J35" s="204" t="s">
        <v>1088</v>
      </c>
      <c r="K35" s="208" t="s">
        <v>1122</v>
      </c>
      <c r="L35" s="204" t="s">
        <v>1123</v>
      </c>
      <c r="M35" s="204" t="s">
        <v>1077</v>
      </c>
      <c r="N35" s="204"/>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c r="AV35" s="82"/>
      <c r="AW35" s="82"/>
      <c r="AX35" s="82"/>
      <c r="AY35" s="82"/>
      <c r="AZ35" s="82"/>
    </row>
    <row r="36" spans="1:52" ht="15.75" customHeight="1" x14ac:dyDescent="0.25">
      <c r="A36" s="203">
        <v>336</v>
      </c>
      <c r="B36" s="204" t="s">
        <v>1086</v>
      </c>
      <c r="C36" s="204" t="s">
        <v>48</v>
      </c>
      <c r="D36" s="204" t="s">
        <v>99</v>
      </c>
      <c r="E36" s="205">
        <v>46189</v>
      </c>
      <c r="F36" s="206" t="s">
        <v>199</v>
      </c>
      <c r="G36" s="207">
        <v>175</v>
      </c>
      <c r="H36" s="204" t="s">
        <v>1074</v>
      </c>
      <c r="I36" s="204" t="s">
        <v>1116</v>
      </c>
      <c r="J36" s="204" t="s">
        <v>1088</v>
      </c>
      <c r="K36" s="208" t="s">
        <v>1124</v>
      </c>
      <c r="L36" s="204" t="s">
        <v>1125</v>
      </c>
      <c r="M36" s="204" t="s">
        <v>1077</v>
      </c>
      <c r="N36" s="204"/>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c r="AV36" s="82"/>
      <c r="AW36" s="82"/>
      <c r="AX36" s="82"/>
      <c r="AY36" s="82"/>
      <c r="AZ36" s="82"/>
    </row>
    <row r="37" spans="1:52" ht="15.75" customHeight="1" x14ac:dyDescent="0.25">
      <c r="A37" s="203">
        <v>338</v>
      </c>
      <c r="B37" s="204" t="s">
        <v>1086</v>
      </c>
      <c r="C37" s="204" t="s">
        <v>48</v>
      </c>
      <c r="D37" s="204" t="s">
        <v>99</v>
      </c>
      <c r="E37" s="205">
        <v>46209</v>
      </c>
      <c r="F37" s="206" t="s">
        <v>124</v>
      </c>
      <c r="G37" s="207">
        <v>200</v>
      </c>
      <c r="H37" s="204" t="s">
        <v>1126</v>
      </c>
      <c r="I37" s="204" t="s">
        <v>1127</v>
      </c>
      <c r="J37" s="204" t="s">
        <v>1088</v>
      </c>
      <c r="K37" s="208" t="s">
        <v>1128</v>
      </c>
      <c r="L37" s="204" t="s">
        <v>1129</v>
      </c>
      <c r="M37" s="204" t="s">
        <v>1077</v>
      </c>
      <c r="N37" s="204"/>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c r="AV37" s="82"/>
      <c r="AW37" s="82"/>
      <c r="AX37" s="82"/>
      <c r="AY37" s="82"/>
      <c r="AZ37" s="82"/>
    </row>
    <row r="38" spans="1:52" ht="15.75" customHeight="1" x14ac:dyDescent="0.25">
      <c r="A38" s="203">
        <v>340</v>
      </c>
      <c r="B38" s="204" t="s">
        <v>1086</v>
      </c>
      <c r="C38" s="204" t="s">
        <v>48</v>
      </c>
      <c r="D38" s="204" t="s">
        <v>99</v>
      </c>
      <c r="E38" s="205">
        <v>46217</v>
      </c>
      <c r="F38" s="206" t="s">
        <v>124</v>
      </c>
      <c r="G38" s="207">
        <v>350</v>
      </c>
      <c r="H38" s="204" t="s">
        <v>1074</v>
      </c>
      <c r="I38" s="204" t="s">
        <v>1121</v>
      </c>
      <c r="J38" s="204" t="s">
        <v>1088</v>
      </c>
      <c r="K38" s="208" t="s">
        <v>1130</v>
      </c>
      <c r="L38" s="204" t="s">
        <v>1131</v>
      </c>
      <c r="M38" s="204" t="s">
        <v>1077</v>
      </c>
      <c r="N38" s="204"/>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c r="AV38" s="82"/>
      <c r="AW38" s="82"/>
      <c r="AX38" s="82"/>
      <c r="AY38" s="82"/>
      <c r="AZ38" s="82"/>
    </row>
    <row r="39" spans="1:52" ht="15.75" customHeight="1" x14ac:dyDescent="0.25">
      <c r="A39" s="203">
        <v>341</v>
      </c>
      <c r="B39" s="204" t="s">
        <v>1086</v>
      </c>
      <c r="C39" s="204" t="s">
        <v>48</v>
      </c>
      <c r="D39" s="204" t="s">
        <v>99</v>
      </c>
      <c r="E39" s="205">
        <v>46240</v>
      </c>
      <c r="F39" s="206" t="s">
        <v>386</v>
      </c>
      <c r="G39" s="207">
        <v>300</v>
      </c>
      <c r="H39" s="204" t="s">
        <v>1126</v>
      </c>
      <c r="I39" s="204" t="s">
        <v>1132</v>
      </c>
      <c r="J39" s="204" t="s">
        <v>1088</v>
      </c>
      <c r="K39" s="208" t="s">
        <v>1133</v>
      </c>
      <c r="L39" s="204" t="s">
        <v>1134</v>
      </c>
      <c r="M39" s="204" t="s">
        <v>1077</v>
      </c>
      <c r="N39" s="204"/>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c r="AV39" s="82"/>
      <c r="AW39" s="82"/>
      <c r="AX39" s="82"/>
      <c r="AY39" s="82"/>
      <c r="AZ39" s="82"/>
    </row>
    <row r="40" spans="1:52" x14ac:dyDescent="0.25">
      <c r="A40" s="209"/>
      <c r="B40" s="82"/>
      <c r="C40" s="82"/>
      <c r="D40" s="82"/>
      <c r="E40" s="87"/>
      <c r="F40" s="88"/>
      <c r="G40" s="89"/>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c r="AV40" s="82"/>
      <c r="AW40" s="82"/>
      <c r="AX40" s="82"/>
      <c r="AY40" s="82"/>
      <c r="AZ40" s="82"/>
    </row>
    <row r="41" spans="1:52" x14ac:dyDescent="0.25">
      <c r="A41" s="209"/>
      <c r="B41" s="82"/>
      <c r="C41" s="82"/>
      <c r="D41" s="82"/>
      <c r="E41" s="87"/>
      <c r="F41" s="88"/>
      <c r="G41" s="89"/>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c r="AV41" s="82"/>
      <c r="AW41" s="82"/>
      <c r="AX41" s="82"/>
      <c r="AY41" s="82"/>
      <c r="AZ41" s="82"/>
    </row>
    <row r="42" spans="1:52" x14ac:dyDescent="0.25">
      <c r="A42" s="209"/>
      <c r="B42" s="82"/>
      <c r="C42" s="82"/>
      <c r="D42" s="82"/>
      <c r="E42" s="87"/>
      <c r="F42" s="88"/>
      <c r="G42" s="89"/>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c r="AV42" s="82"/>
      <c r="AW42" s="82"/>
      <c r="AX42" s="82"/>
      <c r="AY42" s="82"/>
      <c r="AZ42" s="82"/>
    </row>
    <row r="43" spans="1:52" x14ac:dyDescent="0.25">
      <c r="A43" s="209"/>
      <c r="B43" s="82"/>
      <c r="C43" s="82"/>
      <c r="D43" s="82"/>
      <c r="E43" s="87"/>
      <c r="F43" s="88"/>
      <c r="G43" s="89"/>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c r="AV43" s="82"/>
      <c r="AW43" s="82"/>
      <c r="AX43" s="82"/>
      <c r="AY43" s="82"/>
      <c r="AZ43" s="82"/>
    </row>
    <row r="44" spans="1:52" x14ac:dyDescent="0.25">
      <c r="A44" s="209"/>
      <c r="B44" s="82"/>
      <c r="C44" s="82"/>
      <c r="D44" s="82"/>
      <c r="E44" s="87"/>
      <c r="F44" s="88"/>
      <c r="G44" s="89"/>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c r="AV44" s="82"/>
      <c r="AW44" s="82"/>
      <c r="AX44" s="82"/>
      <c r="AY44" s="82"/>
      <c r="AZ44" s="82"/>
    </row>
    <row r="45" spans="1:52" x14ac:dyDescent="0.25">
      <c r="A45" s="209"/>
      <c r="B45" s="82"/>
      <c r="C45" s="82"/>
      <c r="D45" s="82"/>
      <c r="E45" s="87"/>
      <c r="F45" s="88"/>
      <c r="G45" s="89"/>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c r="AV45" s="82"/>
      <c r="AW45" s="82"/>
      <c r="AX45" s="82"/>
      <c r="AY45" s="82"/>
      <c r="AZ45" s="82"/>
    </row>
    <row r="46" spans="1:52" x14ac:dyDescent="0.25">
      <c r="A46" s="209"/>
      <c r="B46" s="82"/>
      <c r="C46" s="82"/>
      <c r="D46" s="82"/>
      <c r="E46" s="87"/>
      <c r="F46" s="88"/>
      <c r="G46" s="89"/>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c r="AV46" s="82"/>
      <c r="AW46" s="82"/>
      <c r="AX46" s="82"/>
      <c r="AY46" s="82"/>
      <c r="AZ46" s="82"/>
    </row>
    <row r="47" spans="1:52" x14ac:dyDescent="0.25">
      <c r="A47" s="209"/>
      <c r="B47" s="82"/>
      <c r="C47" s="82"/>
      <c r="D47" s="82"/>
      <c r="E47" s="87"/>
      <c r="F47" s="88"/>
      <c r="G47" s="89"/>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c r="AV47" s="82"/>
      <c r="AW47" s="82"/>
      <c r="AX47" s="82"/>
      <c r="AY47" s="82"/>
      <c r="AZ47" s="82"/>
    </row>
    <row r="48" spans="1:52" x14ac:dyDescent="0.25">
      <c r="A48" s="209"/>
      <c r="B48" s="82"/>
      <c r="C48" s="82"/>
      <c r="D48" s="82"/>
      <c r="E48" s="87"/>
      <c r="F48" s="88"/>
      <c r="G48" s="89"/>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c r="AV48" s="82"/>
      <c r="AW48" s="82"/>
      <c r="AX48" s="82"/>
      <c r="AY48" s="82"/>
      <c r="AZ48" s="82"/>
    </row>
    <row r="49" spans="1:52" x14ac:dyDescent="0.25">
      <c r="A49" s="209"/>
      <c r="B49" s="82"/>
      <c r="C49" s="82"/>
      <c r="D49" s="82"/>
      <c r="E49" s="87"/>
      <c r="F49" s="88"/>
      <c r="G49" s="89"/>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c r="AV49" s="82"/>
      <c r="AW49" s="82"/>
      <c r="AX49" s="82"/>
      <c r="AY49" s="82"/>
      <c r="AZ49" s="82"/>
    </row>
    <row r="50" spans="1:52" x14ac:dyDescent="0.25">
      <c r="A50" s="209"/>
      <c r="B50" s="82"/>
      <c r="C50" s="82"/>
      <c r="D50" s="82"/>
      <c r="E50" s="87"/>
      <c r="F50" s="88"/>
      <c r="G50" s="89"/>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c r="AV50" s="82"/>
      <c r="AW50" s="82"/>
      <c r="AX50" s="82"/>
      <c r="AY50" s="82"/>
      <c r="AZ50" s="82"/>
    </row>
    <row r="51" spans="1:52" x14ac:dyDescent="0.25">
      <c r="A51" s="209"/>
      <c r="B51" s="82"/>
      <c r="C51" s="82"/>
      <c r="D51" s="82"/>
      <c r="E51" s="87"/>
      <c r="F51" s="88"/>
      <c r="G51" s="89"/>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c r="AY51" s="82"/>
      <c r="AZ51" s="82"/>
    </row>
    <row r="52" spans="1:52" x14ac:dyDescent="0.25">
      <c r="A52" s="209"/>
      <c r="B52" s="82"/>
      <c r="C52" s="82"/>
      <c r="D52" s="82"/>
      <c r="E52" s="87"/>
      <c r="F52" s="88"/>
      <c r="G52" s="89"/>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c r="AV52" s="82"/>
      <c r="AW52" s="82"/>
      <c r="AX52" s="82"/>
      <c r="AY52" s="82"/>
      <c r="AZ52" s="82"/>
    </row>
    <row r="53" spans="1:52" x14ac:dyDescent="0.25">
      <c r="A53" s="209"/>
      <c r="B53" s="82"/>
      <c r="C53" s="82"/>
      <c r="D53" s="82"/>
      <c r="E53" s="87"/>
      <c r="F53" s="88"/>
      <c r="G53" s="89"/>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c r="AV53" s="82"/>
      <c r="AW53" s="82"/>
      <c r="AX53" s="82"/>
      <c r="AY53" s="82"/>
      <c r="AZ53" s="82"/>
    </row>
    <row r="54" spans="1:52" x14ac:dyDescent="0.25">
      <c r="A54" s="209"/>
      <c r="B54" s="82"/>
      <c r="C54" s="82"/>
      <c r="D54" s="82"/>
      <c r="E54" s="87"/>
      <c r="F54" s="88"/>
      <c r="G54" s="89"/>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c r="AV54" s="82"/>
      <c r="AW54" s="82"/>
      <c r="AX54" s="82"/>
      <c r="AY54" s="82"/>
      <c r="AZ54" s="82"/>
    </row>
    <row r="55" spans="1:52" x14ac:dyDescent="0.25">
      <c r="A55" s="209"/>
      <c r="B55" s="82"/>
      <c r="C55" s="82"/>
      <c r="D55" s="82"/>
      <c r="E55" s="87"/>
      <c r="F55" s="88"/>
      <c r="G55" s="89"/>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c r="AV55" s="82"/>
      <c r="AW55" s="82"/>
      <c r="AX55" s="82"/>
      <c r="AY55" s="82"/>
      <c r="AZ55" s="82"/>
    </row>
    <row r="56" spans="1:52" x14ac:dyDescent="0.25">
      <c r="A56" s="209"/>
      <c r="B56" s="82"/>
      <c r="C56" s="82"/>
      <c r="D56" s="82"/>
      <c r="E56" s="87"/>
      <c r="F56" s="88"/>
      <c r="G56" s="89"/>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c r="AV56" s="82"/>
      <c r="AW56" s="82"/>
      <c r="AX56" s="82"/>
      <c r="AY56" s="82"/>
      <c r="AZ56" s="82"/>
    </row>
    <row r="57" spans="1:52" x14ac:dyDescent="0.25">
      <c r="A57" s="209"/>
      <c r="B57" s="82"/>
      <c r="C57" s="82"/>
      <c r="D57" s="82"/>
      <c r="E57" s="87"/>
      <c r="F57" s="88"/>
      <c r="G57" s="89"/>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c r="AV57" s="82"/>
      <c r="AW57" s="82"/>
      <c r="AX57" s="82"/>
      <c r="AY57" s="82"/>
      <c r="AZ57" s="82"/>
    </row>
    <row r="58" spans="1:52" x14ac:dyDescent="0.25">
      <c r="A58" s="209"/>
      <c r="B58" s="82"/>
      <c r="C58" s="82"/>
      <c r="D58" s="82"/>
      <c r="E58" s="87"/>
      <c r="F58" s="88"/>
      <c r="G58" s="89"/>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c r="AV58" s="82"/>
      <c r="AW58" s="82"/>
      <c r="AX58" s="82"/>
      <c r="AY58" s="82"/>
      <c r="AZ58" s="82"/>
    </row>
    <row r="59" spans="1:52" x14ac:dyDescent="0.25">
      <c r="A59" s="209"/>
      <c r="B59" s="82"/>
      <c r="C59" s="82"/>
      <c r="D59" s="82"/>
      <c r="E59" s="87"/>
      <c r="F59" s="88"/>
      <c r="G59" s="89"/>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c r="AV59" s="82"/>
      <c r="AW59" s="82"/>
      <c r="AX59" s="82"/>
      <c r="AY59" s="82"/>
      <c r="AZ59" s="82"/>
    </row>
    <row r="60" spans="1:52" x14ac:dyDescent="0.25">
      <c r="A60" s="209"/>
      <c r="B60" s="82"/>
      <c r="C60" s="82"/>
      <c r="D60" s="82"/>
      <c r="E60" s="87"/>
      <c r="F60" s="88"/>
      <c r="G60" s="89"/>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c r="AV60" s="82"/>
      <c r="AW60" s="82"/>
      <c r="AX60" s="82"/>
      <c r="AY60" s="82"/>
      <c r="AZ60" s="82"/>
    </row>
    <row r="61" spans="1:52" x14ac:dyDescent="0.25">
      <c r="A61" s="209"/>
      <c r="B61" s="82"/>
      <c r="C61" s="82"/>
      <c r="D61" s="82"/>
      <c r="E61" s="87"/>
      <c r="F61" s="88"/>
      <c r="G61" s="89"/>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c r="AV61" s="82"/>
      <c r="AW61" s="82"/>
      <c r="AX61" s="82"/>
      <c r="AY61" s="82"/>
      <c r="AZ61" s="82"/>
    </row>
    <row r="62" spans="1:52" x14ac:dyDescent="0.25">
      <c r="A62" s="209"/>
      <c r="B62" s="82"/>
      <c r="C62" s="82"/>
      <c r="D62" s="82"/>
      <c r="E62" s="87"/>
      <c r="F62" s="88"/>
      <c r="G62" s="89"/>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c r="AV62" s="82"/>
      <c r="AW62" s="82"/>
      <c r="AX62" s="82"/>
      <c r="AY62" s="82"/>
      <c r="AZ62" s="82"/>
    </row>
    <row r="63" spans="1:52" x14ac:dyDescent="0.25">
      <c r="A63" s="209"/>
      <c r="B63" s="82"/>
      <c r="C63" s="82"/>
      <c r="D63" s="82"/>
      <c r="E63" s="87"/>
      <c r="F63" s="88"/>
      <c r="G63" s="89"/>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c r="AV63" s="82"/>
      <c r="AW63" s="82"/>
      <c r="AX63" s="82"/>
      <c r="AY63" s="82"/>
      <c r="AZ63" s="82"/>
    </row>
    <row r="64" spans="1:52" x14ac:dyDescent="0.25">
      <c r="A64" s="209"/>
      <c r="B64" s="82"/>
      <c r="C64" s="82"/>
      <c r="D64" s="82"/>
      <c r="E64" s="87"/>
      <c r="F64" s="88"/>
      <c r="G64" s="89"/>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c r="AV64" s="82"/>
      <c r="AW64" s="82"/>
      <c r="AX64" s="82"/>
      <c r="AY64" s="82"/>
      <c r="AZ64" s="82"/>
    </row>
    <row r="65" spans="1:52" x14ac:dyDescent="0.25">
      <c r="A65" s="209"/>
      <c r="B65" s="82"/>
      <c r="C65" s="82"/>
      <c r="D65" s="82"/>
      <c r="E65" s="87"/>
      <c r="F65" s="88"/>
      <c r="G65" s="89"/>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c r="AV65" s="82"/>
      <c r="AW65" s="82"/>
      <c r="AX65" s="82"/>
      <c r="AY65" s="82"/>
      <c r="AZ65" s="82"/>
    </row>
    <row r="66" spans="1:52" x14ac:dyDescent="0.25">
      <c r="A66" s="209"/>
      <c r="B66" s="82"/>
      <c r="C66" s="82"/>
      <c r="D66" s="82"/>
      <c r="E66" s="87"/>
      <c r="F66" s="88"/>
      <c r="G66" s="89"/>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c r="AV66" s="82"/>
      <c r="AW66" s="82"/>
      <c r="AX66" s="82"/>
      <c r="AY66" s="82"/>
      <c r="AZ66" s="82"/>
    </row>
    <row r="67" spans="1:52" x14ac:dyDescent="0.25">
      <c r="A67" s="209"/>
      <c r="B67" s="82"/>
      <c r="C67" s="82"/>
      <c r="D67" s="82"/>
      <c r="E67" s="87"/>
      <c r="F67" s="88"/>
      <c r="G67" s="89"/>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c r="AV67" s="82"/>
      <c r="AW67" s="82"/>
      <c r="AX67" s="82"/>
      <c r="AY67" s="82"/>
      <c r="AZ67" s="82"/>
    </row>
    <row r="68" spans="1:52" x14ac:dyDescent="0.25">
      <c r="A68" s="209"/>
      <c r="B68" s="82"/>
      <c r="C68" s="82"/>
      <c r="D68" s="82"/>
      <c r="E68" s="87"/>
      <c r="F68" s="88"/>
      <c r="G68" s="89"/>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c r="AV68" s="82"/>
      <c r="AW68" s="82"/>
      <c r="AX68" s="82"/>
      <c r="AY68" s="82"/>
      <c r="AZ68" s="82"/>
    </row>
    <row r="69" spans="1:52" x14ac:dyDescent="0.25">
      <c r="A69" s="209"/>
      <c r="B69" s="82"/>
      <c r="C69" s="82"/>
      <c r="D69" s="82"/>
      <c r="E69" s="87"/>
      <c r="F69" s="88"/>
      <c r="G69" s="89"/>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c r="AV69" s="82"/>
      <c r="AW69" s="82"/>
      <c r="AX69" s="82"/>
      <c r="AY69" s="82"/>
      <c r="AZ69" s="82"/>
    </row>
    <row r="70" spans="1:52" x14ac:dyDescent="0.25">
      <c r="A70" s="209"/>
      <c r="B70" s="82"/>
      <c r="C70" s="82"/>
      <c r="D70" s="82"/>
      <c r="E70" s="87"/>
      <c r="F70" s="88"/>
      <c r="G70" s="89"/>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c r="AV70" s="82"/>
      <c r="AW70" s="82"/>
      <c r="AX70" s="82"/>
      <c r="AY70" s="82"/>
      <c r="AZ70" s="82"/>
    </row>
    <row r="71" spans="1:52" x14ac:dyDescent="0.25">
      <c r="A71" s="209"/>
      <c r="B71" s="82"/>
      <c r="C71" s="82"/>
      <c r="D71" s="82"/>
      <c r="E71" s="87"/>
      <c r="F71" s="88"/>
      <c r="G71" s="89"/>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c r="AV71" s="82"/>
      <c r="AW71" s="82"/>
      <c r="AX71" s="82"/>
      <c r="AY71" s="82"/>
      <c r="AZ71" s="82"/>
    </row>
    <row r="72" spans="1:52" x14ac:dyDescent="0.25">
      <c r="A72" s="209"/>
      <c r="B72" s="82"/>
      <c r="C72" s="82"/>
      <c r="D72" s="82"/>
      <c r="E72" s="87"/>
      <c r="F72" s="88"/>
      <c r="G72" s="89"/>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c r="AV72" s="82"/>
      <c r="AW72" s="82"/>
      <c r="AX72" s="82"/>
      <c r="AY72" s="82"/>
      <c r="AZ72" s="82"/>
    </row>
    <row r="73" spans="1:52" x14ac:dyDescent="0.25">
      <c r="A73" s="209"/>
      <c r="B73" s="82"/>
      <c r="C73" s="82"/>
      <c r="D73" s="82"/>
      <c r="E73" s="87"/>
      <c r="F73" s="88"/>
      <c r="G73" s="89"/>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c r="AV73" s="82"/>
      <c r="AW73" s="82"/>
      <c r="AX73" s="82"/>
      <c r="AY73" s="82"/>
      <c r="AZ73" s="82"/>
    </row>
    <row r="74" spans="1:52" x14ac:dyDescent="0.25">
      <c r="A74" s="209"/>
      <c r="B74" s="82"/>
      <c r="C74" s="82"/>
      <c r="D74" s="82"/>
      <c r="E74" s="87"/>
      <c r="F74" s="88"/>
      <c r="G74" s="89"/>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c r="AV74" s="82"/>
      <c r="AW74" s="82"/>
      <c r="AX74" s="82"/>
      <c r="AY74" s="82"/>
      <c r="AZ74" s="82"/>
    </row>
    <row r="75" spans="1:52" x14ac:dyDescent="0.25">
      <c r="A75" s="209"/>
      <c r="B75" s="82"/>
      <c r="C75" s="82"/>
      <c r="D75" s="82"/>
      <c r="E75" s="87"/>
      <c r="F75" s="88"/>
      <c r="G75" s="89"/>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c r="AV75" s="82"/>
      <c r="AW75" s="82"/>
      <c r="AX75" s="82"/>
      <c r="AY75" s="82"/>
      <c r="AZ75" s="82"/>
    </row>
    <row r="76" spans="1:52" x14ac:dyDescent="0.25">
      <c r="A76" s="209"/>
      <c r="B76" s="82"/>
      <c r="C76" s="82"/>
      <c r="D76" s="82"/>
      <c r="E76" s="87"/>
      <c r="F76" s="88"/>
      <c r="G76" s="89"/>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c r="AV76" s="82"/>
      <c r="AW76" s="82"/>
      <c r="AX76" s="82"/>
      <c r="AY76" s="82"/>
      <c r="AZ76" s="82"/>
    </row>
    <row r="77" spans="1:52" x14ac:dyDescent="0.25">
      <c r="A77" s="209"/>
      <c r="B77" s="82"/>
      <c r="C77" s="82"/>
      <c r="D77" s="82"/>
      <c r="E77" s="87"/>
      <c r="F77" s="88"/>
      <c r="G77" s="89"/>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c r="AV77" s="82"/>
      <c r="AW77" s="82"/>
      <c r="AX77" s="82"/>
      <c r="AY77" s="82"/>
      <c r="AZ77" s="82"/>
    </row>
    <row r="78" spans="1:52" x14ac:dyDescent="0.25">
      <c r="A78" s="209"/>
      <c r="B78" s="82"/>
      <c r="C78" s="82"/>
      <c r="D78" s="82"/>
      <c r="E78" s="87"/>
      <c r="F78" s="88"/>
      <c r="G78" s="89"/>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c r="AV78" s="82"/>
      <c r="AW78" s="82"/>
      <c r="AX78" s="82"/>
      <c r="AY78" s="82"/>
      <c r="AZ78" s="82"/>
    </row>
    <row r="79" spans="1:52" x14ac:dyDescent="0.25">
      <c r="A79" s="209"/>
      <c r="B79" s="82"/>
      <c r="C79" s="82"/>
      <c r="D79" s="82"/>
      <c r="E79" s="87"/>
      <c r="F79" s="88"/>
      <c r="G79" s="89"/>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c r="AV79" s="82"/>
      <c r="AW79" s="82"/>
      <c r="AX79" s="82"/>
      <c r="AY79" s="82"/>
      <c r="AZ79" s="82"/>
    </row>
    <row r="80" spans="1:52" x14ac:dyDescent="0.25">
      <c r="A80" s="209"/>
      <c r="B80" s="82"/>
      <c r="C80" s="82"/>
      <c r="D80" s="82"/>
      <c r="E80" s="87"/>
      <c r="F80" s="88"/>
      <c r="G80" s="89"/>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c r="AV80" s="82"/>
      <c r="AW80" s="82"/>
      <c r="AX80" s="82"/>
      <c r="AY80" s="82"/>
      <c r="AZ80" s="82"/>
    </row>
    <row r="81" spans="1:52" x14ac:dyDescent="0.25">
      <c r="A81" s="209"/>
      <c r="B81" s="82"/>
      <c r="C81" s="82"/>
      <c r="D81" s="82"/>
      <c r="E81" s="87"/>
      <c r="F81" s="88"/>
      <c r="G81" s="89"/>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c r="AV81" s="82"/>
      <c r="AW81" s="82"/>
      <c r="AX81" s="82"/>
      <c r="AY81" s="82"/>
      <c r="AZ81" s="82"/>
    </row>
    <row r="82" spans="1:52" x14ac:dyDescent="0.25">
      <c r="A82" s="209"/>
      <c r="B82" s="82"/>
      <c r="C82" s="82"/>
      <c r="D82" s="82"/>
      <c r="E82" s="87"/>
      <c r="F82" s="88"/>
      <c r="G82" s="89"/>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c r="AV82" s="82"/>
      <c r="AW82" s="82"/>
      <c r="AX82" s="82"/>
      <c r="AY82" s="82"/>
      <c r="AZ82" s="82"/>
    </row>
    <row r="83" spans="1:52" x14ac:dyDescent="0.25">
      <c r="A83" s="209"/>
      <c r="B83" s="82"/>
      <c r="C83" s="82"/>
      <c r="D83" s="82"/>
      <c r="E83" s="87"/>
      <c r="F83" s="88"/>
      <c r="G83" s="89"/>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c r="AV83" s="82"/>
      <c r="AW83" s="82"/>
      <c r="AX83" s="82"/>
      <c r="AY83" s="82"/>
      <c r="AZ83" s="82"/>
    </row>
    <row r="84" spans="1:52" x14ac:dyDescent="0.25">
      <c r="A84" s="209"/>
      <c r="B84" s="82"/>
      <c r="C84" s="82"/>
      <c r="D84" s="82"/>
      <c r="E84" s="87"/>
      <c r="F84" s="88"/>
      <c r="G84" s="89"/>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c r="AV84" s="82"/>
      <c r="AW84" s="82"/>
      <c r="AX84" s="82"/>
      <c r="AY84" s="82"/>
      <c r="AZ84" s="82"/>
    </row>
    <row r="85" spans="1:52" x14ac:dyDescent="0.25">
      <c r="A85" s="209"/>
      <c r="B85" s="82"/>
      <c r="C85" s="82"/>
      <c r="D85" s="82"/>
      <c r="E85" s="87"/>
      <c r="F85" s="88"/>
      <c r="G85" s="89"/>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c r="AV85" s="82"/>
      <c r="AW85" s="82"/>
      <c r="AX85" s="82"/>
      <c r="AY85" s="82"/>
      <c r="AZ85" s="82"/>
    </row>
    <row r="86" spans="1:52" x14ac:dyDescent="0.25">
      <c r="A86" s="209"/>
      <c r="B86" s="82"/>
      <c r="C86" s="82"/>
      <c r="D86" s="82"/>
      <c r="E86" s="87"/>
      <c r="F86" s="88"/>
      <c r="G86" s="89"/>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c r="AV86" s="82"/>
      <c r="AW86" s="82"/>
      <c r="AX86" s="82"/>
      <c r="AY86" s="82"/>
      <c r="AZ86" s="82"/>
    </row>
    <row r="87" spans="1:52" x14ac:dyDescent="0.25">
      <c r="A87" s="209"/>
      <c r="B87" s="82"/>
      <c r="C87" s="82"/>
      <c r="D87" s="82"/>
      <c r="E87" s="87"/>
      <c r="F87" s="88"/>
      <c r="G87" s="89"/>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c r="AV87" s="82"/>
      <c r="AW87" s="82"/>
      <c r="AX87" s="82"/>
      <c r="AY87" s="82"/>
      <c r="AZ87" s="82"/>
    </row>
    <row r="88" spans="1:52" x14ac:dyDescent="0.25">
      <c r="A88" s="209"/>
      <c r="B88" s="82"/>
      <c r="C88" s="82"/>
      <c r="D88" s="82"/>
      <c r="E88" s="87"/>
      <c r="F88" s="88"/>
      <c r="G88" s="89"/>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c r="AV88" s="82"/>
      <c r="AW88" s="82"/>
      <c r="AX88" s="82"/>
      <c r="AY88" s="82"/>
      <c r="AZ88" s="82"/>
    </row>
    <row r="89" spans="1:52" x14ac:dyDescent="0.25">
      <c r="A89" s="209"/>
      <c r="B89" s="82"/>
      <c r="C89" s="82"/>
      <c r="D89" s="82"/>
      <c r="E89" s="87"/>
      <c r="F89" s="88"/>
      <c r="G89" s="89"/>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c r="AV89" s="82"/>
      <c r="AW89" s="82"/>
      <c r="AX89" s="82"/>
      <c r="AY89" s="82"/>
      <c r="AZ89" s="82"/>
    </row>
    <row r="90" spans="1:52" x14ac:dyDescent="0.25">
      <c r="A90" s="209"/>
      <c r="B90" s="82"/>
      <c r="C90" s="82"/>
      <c r="D90" s="82"/>
      <c r="E90" s="87"/>
      <c r="F90" s="88"/>
      <c r="G90" s="89"/>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c r="AV90" s="82"/>
      <c r="AW90" s="82"/>
      <c r="AX90" s="82"/>
      <c r="AY90" s="82"/>
      <c r="AZ90" s="82"/>
    </row>
    <row r="91" spans="1:52" x14ac:dyDescent="0.25">
      <c r="A91" s="209"/>
      <c r="B91" s="82"/>
      <c r="C91" s="82"/>
      <c r="D91" s="82"/>
      <c r="E91" s="87"/>
      <c r="F91" s="88"/>
      <c r="G91" s="89"/>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c r="AV91" s="82"/>
      <c r="AW91" s="82"/>
      <c r="AX91" s="82"/>
      <c r="AY91" s="82"/>
      <c r="AZ91" s="82"/>
    </row>
    <row r="92" spans="1:52" x14ac:dyDescent="0.25">
      <c r="A92" s="209"/>
      <c r="B92" s="82"/>
      <c r="C92" s="82"/>
      <c r="D92" s="82"/>
      <c r="E92" s="87"/>
      <c r="F92" s="88"/>
      <c r="G92" s="89"/>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c r="AV92" s="82"/>
      <c r="AW92" s="82"/>
      <c r="AX92" s="82"/>
      <c r="AY92" s="82"/>
      <c r="AZ92" s="82"/>
    </row>
    <row r="93" spans="1:52" x14ac:dyDescent="0.25">
      <c r="A93" s="209"/>
      <c r="B93" s="82"/>
      <c r="C93" s="82"/>
      <c r="D93" s="82"/>
      <c r="E93" s="87"/>
      <c r="F93" s="88"/>
      <c r="G93" s="89"/>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c r="AV93" s="82"/>
      <c r="AW93" s="82"/>
      <c r="AX93" s="82"/>
      <c r="AY93" s="82"/>
      <c r="AZ93" s="82"/>
    </row>
    <row r="94" spans="1:52" x14ac:dyDescent="0.25">
      <c r="A94" s="209"/>
      <c r="B94" s="82"/>
      <c r="C94" s="82"/>
      <c r="D94" s="82"/>
      <c r="E94" s="87"/>
      <c r="F94" s="88"/>
      <c r="G94" s="89"/>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row>
    <row r="95" spans="1:52" x14ac:dyDescent="0.25">
      <c r="A95" s="209"/>
      <c r="B95" s="82"/>
      <c r="C95" s="82"/>
      <c r="D95" s="82"/>
      <c r="E95" s="87"/>
      <c r="F95" s="88"/>
      <c r="G95" s="89"/>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c r="AV95" s="82"/>
      <c r="AW95" s="82"/>
      <c r="AX95" s="82"/>
      <c r="AY95" s="82"/>
      <c r="AZ95" s="82"/>
    </row>
    <row r="96" spans="1:52" x14ac:dyDescent="0.25">
      <c r="A96" s="209"/>
      <c r="B96" s="82"/>
      <c r="C96" s="82"/>
      <c r="D96" s="82"/>
      <c r="E96" s="87"/>
      <c r="F96" s="88"/>
      <c r="G96" s="89"/>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c r="AV96" s="82"/>
      <c r="AW96" s="82"/>
      <c r="AX96" s="82"/>
      <c r="AY96" s="82"/>
      <c r="AZ96" s="82"/>
    </row>
    <row r="97" spans="1:52" x14ac:dyDescent="0.25">
      <c r="A97" s="209"/>
      <c r="B97" s="82"/>
      <c r="C97" s="82"/>
      <c r="D97" s="82"/>
      <c r="E97" s="87"/>
      <c r="F97" s="88"/>
      <c r="G97" s="89"/>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c r="AV97" s="82"/>
      <c r="AW97" s="82"/>
      <c r="AX97" s="82"/>
      <c r="AY97" s="82"/>
      <c r="AZ97" s="82"/>
    </row>
    <row r="98" spans="1:52" x14ac:dyDescent="0.25">
      <c r="A98" s="209"/>
      <c r="B98" s="82"/>
      <c r="C98" s="82"/>
      <c r="D98" s="82"/>
      <c r="E98" s="87"/>
      <c r="F98" s="88"/>
      <c r="G98" s="89"/>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c r="AV98" s="82"/>
      <c r="AW98" s="82"/>
      <c r="AX98" s="82"/>
      <c r="AY98" s="82"/>
      <c r="AZ98" s="82"/>
    </row>
    <row r="99" spans="1:52" x14ac:dyDescent="0.25">
      <c r="A99" s="209"/>
      <c r="B99" s="82"/>
      <c r="C99" s="82"/>
      <c r="D99" s="82"/>
      <c r="E99" s="87"/>
      <c r="F99" s="88"/>
      <c r="G99" s="89"/>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c r="AV99" s="82"/>
      <c r="AW99" s="82"/>
      <c r="AX99" s="82"/>
      <c r="AY99" s="82"/>
      <c r="AZ99" s="82"/>
    </row>
    <row r="100" spans="1:52" x14ac:dyDescent="0.25">
      <c r="A100" s="209"/>
      <c r="B100" s="82"/>
      <c r="C100" s="82"/>
      <c r="D100" s="82"/>
      <c r="E100" s="87"/>
      <c r="F100" s="88"/>
      <c r="G100" s="89"/>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c r="AV100" s="82"/>
      <c r="AW100" s="82"/>
      <c r="AX100" s="82"/>
      <c r="AY100" s="82"/>
      <c r="AZ100" s="82"/>
    </row>
    <row r="101" spans="1:52" x14ac:dyDescent="0.25">
      <c r="A101" s="209"/>
      <c r="B101" s="82"/>
      <c r="C101" s="82"/>
      <c r="D101" s="82"/>
      <c r="E101" s="87"/>
      <c r="F101" s="88"/>
      <c r="G101" s="89"/>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c r="AV101" s="82"/>
      <c r="AW101" s="82"/>
      <c r="AX101" s="82"/>
      <c r="AY101" s="82"/>
      <c r="AZ101" s="82"/>
    </row>
    <row r="102" spans="1:52" x14ac:dyDescent="0.25">
      <c r="A102" s="209"/>
      <c r="B102" s="82"/>
      <c r="C102" s="82"/>
      <c r="D102" s="82"/>
      <c r="E102" s="87"/>
      <c r="F102" s="88"/>
      <c r="G102" s="89"/>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c r="AV102" s="82"/>
      <c r="AW102" s="82"/>
      <c r="AX102" s="82"/>
      <c r="AY102" s="82"/>
      <c r="AZ102" s="82"/>
    </row>
    <row r="103" spans="1:52" x14ac:dyDescent="0.25">
      <c r="A103" s="209"/>
      <c r="B103" s="82"/>
      <c r="C103" s="82"/>
      <c r="D103" s="82"/>
      <c r="E103" s="87"/>
      <c r="F103" s="88"/>
      <c r="G103" s="89"/>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c r="AV103" s="82"/>
      <c r="AW103" s="82"/>
      <c r="AX103" s="82"/>
      <c r="AY103" s="82"/>
      <c r="AZ103" s="82"/>
    </row>
    <row r="104" spans="1:52" x14ac:dyDescent="0.25">
      <c r="A104" s="209"/>
      <c r="B104" s="82"/>
      <c r="C104" s="82"/>
      <c r="D104" s="82"/>
      <c r="E104" s="87"/>
      <c r="F104" s="88"/>
      <c r="G104" s="89"/>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c r="AV104" s="82"/>
      <c r="AW104" s="82"/>
      <c r="AX104" s="82"/>
      <c r="AY104" s="82"/>
      <c r="AZ104" s="82"/>
    </row>
    <row r="105" spans="1:52" x14ac:dyDescent="0.25">
      <c r="A105" s="209"/>
      <c r="B105" s="82"/>
      <c r="C105" s="82"/>
      <c r="D105" s="82"/>
      <c r="E105" s="87"/>
      <c r="F105" s="88"/>
      <c r="G105" s="89"/>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c r="AV105" s="82"/>
      <c r="AW105" s="82"/>
      <c r="AX105" s="82"/>
      <c r="AY105" s="82"/>
      <c r="AZ105" s="82"/>
    </row>
    <row r="106" spans="1:52" x14ac:dyDescent="0.25">
      <c r="A106" s="209"/>
      <c r="B106" s="82"/>
      <c r="C106" s="82"/>
      <c r="D106" s="82"/>
      <c r="E106" s="87"/>
      <c r="F106" s="88"/>
      <c r="G106" s="89"/>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c r="AV106" s="82"/>
      <c r="AW106" s="82"/>
      <c r="AX106" s="82"/>
      <c r="AY106" s="82"/>
      <c r="AZ106" s="82"/>
    </row>
    <row r="107" spans="1:52" x14ac:dyDescent="0.25">
      <c r="A107" s="209"/>
      <c r="B107" s="82"/>
      <c r="C107" s="82"/>
      <c r="D107" s="82"/>
      <c r="E107" s="87"/>
      <c r="F107" s="88"/>
      <c r="G107" s="89"/>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c r="AV107" s="82"/>
      <c r="AW107" s="82"/>
      <c r="AX107" s="82"/>
      <c r="AY107" s="82"/>
      <c r="AZ107" s="82"/>
    </row>
    <row r="108" spans="1:52" x14ac:dyDescent="0.25">
      <c r="A108" s="209"/>
      <c r="B108" s="82"/>
      <c r="C108" s="82"/>
      <c r="D108" s="82"/>
      <c r="E108" s="87"/>
      <c r="F108" s="88"/>
      <c r="G108" s="89"/>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c r="AV108" s="82"/>
      <c r="AW108" s="82"/>
      <c r="AX108" s="82"/>
      <c r="AY108" s="82"/>
      <c r="AZ108" s="82"/>
    </row>
    <row r="109" spans="1:52" x14ac:dyDescent="0.25">
      <c r="A109" s="209"/>
      <c r="B109" s="82"/>
      <c r="C109" s="82"/>
      <c r="D109" s="82"/>
      <c r="E109" s="87"/>
      <c r="F109" s="88"/>
      <c r="G109" s="89"/>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c r="AV109" s="82"/>
      <c r="AW109" s="82"/>
      <c r="AX109" s="82"/>
      <c r="AY109" s="82"/>
      <c r="AZ109" s="82"/>
    </row>
    <row r="110" spans="1:52" x14ac:dyDescent="0.25">
      <c r="A110" s="209"/>
      <c r="B110" s="82"/>
      <c r="C110" s="82"/>
      <c r="D110" s="82"/>
      <c r="E110" s="87"/>
      <c r="F110" s="88"/>
      <c r="G110" s="89"/>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c r="AV110" s="82"/>
      <c r="AW110" s="82"/>
      <c r="AX110" s="82"/>
      <c r="AY110" s="82"/>
      <c r="AZ110" s="82"/>
    </row>
    <row r="111" spans="1:52" x14ac:dyDescent="0.25">
      <c r="A111" s="209"/>
      <c r="B111" s="82"/>
      <c r="C111" s="82"/>
      <c r="D111" s="82"/>
      <c r="E111" s="87"/>
      <c r="F111" s="88"/>
      <c r="G111" s="89"/>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c r="AV111" s="82"/>
      <c r="AW111" s="82"/>
      <c r="AX111" s="82"/>
      <c r="AY111" s="82"/>
      <c r="AZ111" s="82"/>
    </row>
    <row r="112" spans="1:52" x14ac:dyDescent="0.25">
      <c r="A112" s="209"/>
      <c r="B112" s="82"/>
      <c r="C112" s="82"/>
      <c r="D112" s="82"/>
      <c r="E112" s="87"/>
      <c r="F112" s="88"/>
      <c r="G112" s="89"/>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c r="AV112" s="82"/>
      <c r="AW112" s="82"/>
      <c r="AX112" s="82"/>
      <c r="AY112" s="82"/>
      <c r="AZ112" s="82"/>
    </row>
    <row r="113" spans="1:52" x14ac:dyDescent="0.25">
      <c r="A113" s="209"/>
      <c r="B113" s="82"/>
      <c r="C113" s="82"/>
      <c r="D113" s="82"/>
      <c r="E113" s="87"/>
      <c r="F113" s="88"/>
      <c r="G113" s="89"/>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c r="AV113" s="82"/>
      <c r="AW113" s="82"/>
      <c r="AX113" s="82"/>
      <c r="AY113" s="82"/>
      <c r="AZ113" s="82"/>
    </row>
    <row r="114" spans="1:52" x14ac:dyDescent="0.25">
      <c r="A114" s="209"/>
      <c r="B114" s="82"/>
      <c r="C114" s="82"/>
      <c r="D114" s="82"/>
      <c r="E114" s="87"/>
      <c r="F114" s="88"/>
      <c r="G114" s="89"/>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c r="AV114" s="82"/>
      <c r="AW114" s="82"/>
      <c r="AX114" s="82"/>
      <c r="AY114" s="82"/>
      <c r="AZ114" s="82"/>
    </row>
    <row r="115" spans="1:52" x14ac:dyDescent="0.25">
      <c r="A115" s="209"/>
      <c r="B115" s="82"/>
      <c r="C115" s="82"/>
      <c r="D115" s="82"/>
      <c r="E115" s="87"/>
      <c r="F115" s="88"/>
      <c r="G115" s="89"/>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c r="AV115" s="82"/>
      <c r="AW115" s="82"/>
      <c r="AX115" s="82"/>
      <c r="AY115" s="82"/>
      <c r="AZ115" s="82"/>
    </row>
    <row r="116" spans="1:52" x14ac:dyDescent="0.25">
      <c r="A116" s="209"/>
      <c r="B116" s="82"/>
      <c r="C116" s="82"/>
      <c r="D116" s="82"/>
      <c r="E116" s="87"/>
      <c r="F116" s="88"/>
      <c r="G116" s="89"/>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c r="AV116" s="82"/>
      <c r="AW116" s="82"/>
      <c r="AX116" s="82"/>
      <c r="AY116" s="82"/>
      <c r="AZ116" s="82"/>
    </row>
    <row r="117" spans="1:52" x14ac:dyDescent="0.25">
      <c r="A117" s="209"/>
      <c r="B117" s="82"/>
      <c r="C117" s="82"/>
      <c r="D117" s="82"/>
      <c r="E117" s="87"/>
      <c r="F117" s="88"/>
      <c r="G117" s="89"/>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c r="AV117" s="82"/>
      <c r="AW117" s="82"/>
      <c r="AX117" s="82"/>
      <c r="AY117" s="82"/>
      <c r="AZ117" s="82"/>
    </row>
    <row r="118" spans="1:52" x14ac:dyDescent="0.25">
      <c r="A118" s="209"/>
      <c r="B118" s="82"/>
      <c r="C118" s="82"/>
      <c r="D118" s="82"/>
      <c r="E118" s="87"/>
      <c r="F118" s="88"/>
      <c r="G118" s="89"/>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c r="AV118" s="82"/>
      <c r="AW118" s="82"/>
      <c r="AX118" s="82"/>
      <c r="AY118" s="82"/>
      <c r="AZ118" s="82"/>
    </row>
    <row r="119" spans="1:52" x14ac:dyDescent="0.25">
      <c r="A119" s="209"/>
      <c r="B119" s="82"/>
      <c r="C119" s="82"/>
      <c r="D119" s="82"/>
      <c r="E119" s="87"/>
      <c r="F119" s="88"/>
      <c r="G119" s="89"/>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c r="AV119" s="82"/>
      <c r="AW119" s="82"/>
      <c r="AX119" s="82"/>
      <c r="AY119" s="82"/>
      <c r="AZ119" s="82"/>
    </row>
    <row r="120" spans="1:52" x14ac:dyDescent="0.25">
      <c r="A120" s="209"/>
      <c r="B120" s="82"/>
      <c r="C120" s="82"/>
      <c r="D120" s="82"/>
      <c r="E120" s="87"/>
      <c r="F120" s="88"/>
      <c r="G120" s="89"/>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c r="AV120" s="82"/>
      <c r="AW120" s="82"/>
      <c r="AX120" s="82"/>
      <c r="AY120" s="82"/>
      <c r="AZ120" s="82"/>
    </row>
    <row r="121" spans="1:52" x14ac:dyDescent="0.25">
      <c r="A121" s="209"/>
      <c r="B121" s="82"/>
      <c r="C121" s="82"/>
      <c r="D121" s="82"/>
      <c r="E121" s="87"/>
      <c r="F121" s="88"/>
      <c r="G121" s="89"/>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c r="AV121" s="82"/>
      <c r="AW121" s="82"/>
      <c r="AX121" s="82"/>
      <c r="AY121" s="82"/>
      <c r="AZ121" s="82"/>
    </row>
    <row r="122" spans="1:52" x14ac:dyDescent="0.25">
      <c r="A122" s="209"/>
      <c r="B122" s="82"/>
      <c r="C122" s="82"/>
      <c r="D122" s="82"/>
      <c r="E122" s="87"/>
      <c r="F122" s="88"/>
      <c r="G122" s="89"/>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c r="AV122" s="82"/>
      <c r="AW122" s="82"/>
      <c r="AX122" s="82"/>
      <c r="AY122" s="82"/>
      <c r="AZ122" s="82"/>
    </row>
    <row r="123" spans="1:52" x14ac:dyDescent="0.25">
      <c r="A123" s="209"/>
      <c r="B123" s="82"/>
      <c r="C123" s="82"/>
      <c r="D123" s="82"/>
      <c r="E123" s="87"/>
      <c r="F123" s="88"/>
      <c r="G123" s="89"/>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c r="AV123" s="82"/>
      <c r="AW123" s="82"/>
      <c r="AX123" s="82"/>
      <c r="AY123" s="82"/>
      <c r="AZ123" s="82"/>
    </row>
    <row r="124" spans="1:52" x14ac:dyDescent="0.25">
      <c r="A124" s="209"/>
      <c r="B124" s="82"/>
      <c r="C124" s="82"/>
      <c r="D124" s="82"/>
      <c r="E124" s="87"/>
      <c r="F124" s="88"/>
      <c r="G124" s="89"/>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c r="AV124" s="82"/>
      <c r="AW124" s="82"/>
      <c r="AX124" s="82"/>
      <c r="AY124" s="82"/>
      <c r="AZ124" s="82"/>
    </row>
    <row r="125" spans="1:52" x14ac:dyDescent="0.25">
      <c r="A125" s="209"/>
      <c r="B125" s="82"/>
      <c r="C125" s="82"/>
      <c r="D125" s="82"/>
      <c r="E125" s="87"/>
      <c r="F125" s="88"/>
      <c r="G125" s="89"/>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c r="AV125" s="82"/>
      <c r="AW125" s="82"/>
      <c r="AX125" s="82"/>
      <c r="AY125" s="82"/>
      <c r="AZ125" s="82"/>
    </row>
    <row r="126" spans="1:52" x14ac:dyDescent="0.25">
      <c r="A126" s="209"/>
      <c r="B126" s="82"/>
      <c r="C126" s="82"/>
      <c r="D126" s="82"/>
      <c r="E126" s="87"/>
      <c r="F126" s="88"/>
      <c r="G126" s="89"/>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c r="AV126" s="82"/>
      <c r="AW126" s="82"/>
      <c r="AX126" s="82"/>
      <c r="AY126" s="82"/>
      <c r="AZ126" s="82"/>
    </row>
    <row r="127" spans="1:52" x14ac:dyDescent="0.25">
      <c r="A127" s="209"/>
      <c r="B127" s="82"/>
      <c r="C127" s="82"/>
      <c r="D127" s="82"/>
      <c r="E127" s="87"/>
      <c r="F127" s="88"/>
      <c r="G127" s="89"/>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c r="AV127" s="82"/>
      <c r="AW127" s="82"/>
      <c r="AX127" s="82"/>
      <c r="AY127" s="82"/>
      <c r="AZ127" s="82"/>
    </row>
    <row r="128" spans="1:52" x14ac:dyDescent="0.25">
      <c r="A128" s="209"/>
      <c r="B128" s="82"/>
      <c r="C128" s="82"/>
      <c r="D128" s="82"/>
      <c r="E128" s="87"/>
      <c r="F128" s="88"/>
      <c r="G128" s="89"/>
      <c r="H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c r="AV128" s="82"/>
      <c r="AW128" s="82"/>
      <c r="AX128" s="82"/>
      <c r="AY128" s="82"/>
      <c r="AZ128" s="82"/>
    </row>
    <row r="129" spans="1:52" x14ac:dyDescent="0.25">
      <c r="A129" s="209"/>
      <c r="B129" s="82"/>
      <c r="C129" s="82"/>
      <c r="D129" s="82"/>
      <c r="E129" s="87"/>
      <c r="F129" s="88"/>
      <c r="G129" s="89"/>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c r="AV129" s="82"/>
      <c r="AW129" s="82"/>
      <c r="AX129" s="82"/>
      <c r="AY129" s="82"/>
      <c r="AZ129" s="82"/>
    </row>
    <row r="130" spans="1:52" x14ac:dyDescent="0.25">
      <c r="A130" s="209"/>
      <c r="B130" s="82"/>
      <c r="C130" s="82"/>
      <c r="D130" s="82"/>
      <c r="E130" s="87"/>
      <c r="F130" s="88"/>
      <c r="G130" s="89"/>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c r="AV130" s="82"/>
      <c r="AW130" s="82"/>
      <c r="AX130" s="82"/>
      <c r="AY130" s="82"/>
      <c r="AZ130" s="82"/>
    </row>
    <row r="131" spans="1:52" x14ac:dyDescent="0.25">
      <c r="A131" s="209"/>
      <c r="B131" s="82"/>
      <c r="C131" s="82"/>
      <c r="D131" s="82"/>
      <c r="E131" s="87"/>
      <c r="F131" s="88"/>
      <c r="G131" s="89"/>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c r="AV131" s="82"/>
      <c r="AW131" s="82"/>
      <c r="AX131" s="82"/>
      <c r="AY131" s="82"/>
      <c r="AZ131" s="82"/>
    </row>
    <row r="132" spans="1:52" x14ac:dyDescent="0.25">
      <c r="A132" s="209"/>
      <c r="B132" s="82"/>
      <c r="C132" s="82"/>
      <c r="D132" s="82"/>
      <c r="E132" s="87"/>
      <c r="F132" s="88"/>
      <c r="G132" s="89"/>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c r="AV132" s="82"/>
      <c r="AW132" s="82"/>
      <c r="AX132" s="82"/>
      <c r="AY132" s="82"/>
      <c r="AZ132" s="82"/>
    </row>
    <row r="133" spans="1:52" x14ac:dyDescent="0.25">
      <c r="A133" s="209"/>
      <c r="B133" s="82"/>
      <c r="C133" s="82"/>
      <c r="D133" s="82"/>
      <c r="E133" s="87"/>
      <c r="F133" s="88"/>
      <c r="G133" s="89"/>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c r="AV133" s="82"/>
      <c r="AW133" s="82"/>
      <c r="AX133" s="82"/>
      <c r="AY133" s="82"/>
      <c r="AZ133" s="82"/>
    </row>
    <row r="134" spans="1:52" x14ac:dyDescent="0.25">
      <c r="A134" s="209"/>
      <c r="B134" s="82"/>
      <c r="C134" s="82"/>
      <c r="D134" s="82"/>
      <c r="E134" s="87"/>
      <c r="F134" s="88"/>
      <c r="G134" s="89"/>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c r="AV134" s="82"/>
      <c r="AW134" s="82"/>
      <c r="AX134" s="82"/>
      <c r="AY134" s="82"/>
      <c r="AZ134" s="82"/>
    </row>
    <row r="135" spans="1:52" x14ac:dyDescent="0.25">
      <c r="A135" s="209"/>
      <c r="B135" s="82"/>
      <c r="C135" s="82"/>
      <c r="D135" s="82"/>
      <c r="E135" s="87"/>
      <c r="F135" s="88"/>
      <c r="G135" s="89"/>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c r="AV135" s="82"/>
      <c r="AW135" s="82"/>
      <c r="AX135" s="82"/>
      <c r="AY135" s="82"/>
      <c r="AZ135" s="82"/>
    </row>
    <row r="136" spans="1:52" x14ac:dyDescent="0.25">
      <c r="A136" s="209"/>
      <c r="B136" s="82"/>
      <c r="C136" s="82"/>
      <c r="D136" s="82"/>
      <c r="E136" s="87"/>
      <c r="F136" s="88"/>
      <c r="G136" s="89"/>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c r="AV136" s="82"/>
      <c r="AW136" s="82"/>
      <c r="AX136" s="82"/>
      <c r="AY136" s="82"/>
      <c r="AZ136" s="82"/>
    </row>
    <row r="137" spans="1:52" x14ac:dyDescent="0.25">
      <c r="A137" s="209"/>
      <c r="B137" s="82"/>
      <c r="C137" s="82"/>
      <c r="D137" s="82"/>
      <c r="E137" s="87"/>
      <c r="F137" s="88"/>
      <c r="G137" s="89"/>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c r="AV137" s="82"/>
      <c r="AW137" s="82"/>
      <c r="AX137" s="82"/>
      <c r="AY137" s="82"/>
      <c r="AZ137" s="82"/>
    </row>
    <row r="138" spans="1:52" x14ac:dyDescent="0.25">
      <c r="A138" s="209"/>
      <c r="B138" s="82"/>
      <c r="C138" s="82"/>
      <c r="D138" s="82"/>
      <c r="E138" s="87"/>
      <c r="F138" s="88"/>
      <c r="G138" s="89"/>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c r="AV138" s="82"/>
      <c r="AW138" s="82"/>
      <c r="AX138" s="82"/>
      <c r="AY138" s="82"/>
      <c r="AZ138" s="82"/>
    </row>
    <row r="139" spans="1:52" x14ac:dyDescent="0.25">
      <c r="A139" s="209"/>
      <c r="B139" s="82"/>
      <c r="C139" s="82"/>
      <c r="D139" s="82"/>
      <c r="E139" s="87"/>
      <c r="F139" s="88"/>
      <c r="G139" s="89"/>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c r="AV139" s="82"/>
      <c r="AW139" s="82"/>
      <c r="AX139" s="82"/>
      <c r="AY139" s="82"/>
      <c r="AZ139" s="82"/>
    </row>
    <row r="140" spans="1:52" x14ac:dyDescent="0.25">
      <c r="A140" s="209"/>
      <c r="B140" s="82"/>
      <c r="C140" s="82"/>
      <c r="D140" s="82"/>
      <c r="E140" s="87"/>
      <c r="F140" s="88"/>
      <c r="G140" s="89"/>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c r="AV140" s="82"/>
      <c r="AW140" s="82"/>
      <c r="AX140" s="82"/>
      <c r="AY140" s="82"/>
      <c r="AZ140" s="82"/>
    </row>
    <row r="141" spans="1:52" x14ac:dyDescent="0.25">
      <c r="A141" s="209"/>
      <c r="B141" s="82"/>
      <c r="C141" s="82"/>
      <c r="D141" s="82"/>
      <c r="E141" s="87"/>
      <c r="F141" s="88"/>
      <c r="G141" s="89"/>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c r="AV141" s="82"/>
      <c r="AW141" s="82"/>
      <c r="AX141" s="82"/>
      <c r="AY141" s="82"/>
      <c r="AZ141" s="82"/>
    </row>
    <row r="142" spans="1:52" x14ac:dyDescent="0.25">
      <c r="A142" s="209"/>
      <c r="B142" s="82"/>
      <c r="C142" s="82"/>
      <c r="D142" s="82"/>
      <c r="E142" s="87"/>
      <c r="F142" s="88"/>
      <c r="G142" s="89"/>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c r="AV142" s="82"/>
      <c r="AW142" s="82"/>
      <c r="AX142" s="82"/>
      <c r="AY142" s="82"/>
      <c r="AZ142" s="82"/>
    </row>
    <row r="143" spans="1:52" x14ac:dyDescent="0.25">
      <c r="A143" s="209"/>
      <c r="B143" s="82"/>
      <c r="C143" s="82"/>
      <c r="D143" s="82"/>
      <c r="E143" s="87"/>
      <c r="F143" s="88"/>
      <c r="G143" s="89"/>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c r="AV143" s="82"/>
      <c r="AW143" s="82"/>
      <c r="AX143" s="82"/>
      <c r="AY143" s="82"/>
      <c r="AZ143" s="82"/>
    </row>
    <row r="144" spans="1:52" x14ac:dyDescent="0.25">
      <c r="A144" s="209"/>
      <c r="B144" s="82"/>
      <c r="C144" s="82"/>
      <c r="D144" s="82"/>
      <c r="E144" s="87"/>
      <c r="F144" s="88"/>
      <c r="G144" s="89"/>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c r="AV144" s="82"/>
      <c r="AW144" s="82"/>
      <c r="AX144" s="82"/>
      <c r="AY144" s="82"/>
      <c r="AZ144" s="82"/>
    </row>
    <row r="145" spans="1:52" x14ac:dyDescent="0.25">
      <c r="A145" s="209"/>
      <c r="B145" s="82"/>
      <c r="C145" s="82"/>
      <c r="D145" s="82"/>
      <c r="E145" s="87"/>
      <c r="F145" s="88"/>
      <c r="G145" s="89"/>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c r="AV145" s="82"/>
      <c r="AW145" s="82"/>
      <c r="AX145" s="82"/>
      <c r="AY145" s="82"/>
      <c r="AZ145" s="82"/>
    </row>
    <row r="146" spans="1:52" x14ac:dyDescent="0.25">
      <c r="A146" s="209"/>
      <c r="B146" s="82"/>
      <c r="C146" s="82"/>
      <c r="D146" s="82"/>
      <c r="E146" s="87"/>
      <c r="F146" s="88"/>
      <c r="G146" s="89"/>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c r="AV146" s="82"/>
      <c r="AW146" s="82"/>
      <c r="AX146" s="82"/>
      <c r="AY146" s="82"/>
      <c r="AZ146" s="82"/>
    </row>
    <row r="147" spans="1:52" x14ac:dyDescent="0.25">
      <c r="A147" s="209"/>
      <c r="B147" s="82"/>
      <c r="C147" s="82"/>
      <c r="D147" s="82"/>
      <c r="E147" s="87"/>
      <c r="F147" s="88"/>
      <c r="G147" s="89"/>
      <c r="H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c r="AV147" s="82"/>
      <c r="AW147" s="82"/>
      <c r="AX147" s="82"/>
      <c r="AY147" s="82"/>
      <c r="AZ147" s="82"/>
    </row>
    <row r="148" spans="1:52" x14ac:dyDescent="0.25">
      <c r="A148" s="209"/>
      <c r="B148" s="82"/>
      <c r="C148" s="82"/>
      <c r="D148" s="82"/>
      <c r="E148" s="87"/>
      <c r="F148" s="88"/>
      <c r="G148" s="89"/>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c r="AV148" s="82"/>
      <c r="AW148" s="82"/>
      <c r="AX148" s="82"/>
      <c r="AY148" s="82"/>
      <c r="AZ148" s="82"/>
    </row>
    <row r="149" spans="1:52" x14ac:dyDescent="0.25">
      <c r="A149" s="209"/>
      <c r="B149" s="82"/>
      <c r="C149" s="82"/>
      <c r="D149" s="82"/>
      <c r="E149" s="87"/>
      <c r="F149" s="88"/>
      <c r="G149" s="89"/>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c r="AV149" s="82"/>
      <c r="AW149" s="82"/>
      <c r="AX149" s="82"/>
      <c r="AY149" s="82"/>
      <c r="AZ149" s="82"/>
    </row>
    <row r="150" spans="1:52" x14ac:dyDescent="0.25">
      <c r="A150" s="209"/>
      <c r="B150" s="82"/>
      <c r="C150" s="82"/>
      <c r="D150" s="82"/>
      <c r="E150" s="87"/>
      <c r="F150" s="88"/>
      <c r="G150" s="89"/>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c r="AV150" s="82"/>
      <c r="AW150" s="82"/>
      <c r="AX150" s="82"/>
      <c r="AY150" s="82"/>
      <c r="AZ150" s="82"/>
    </row>
    <row r="151" spans="1:52" x14ac:dyDescent="0.25">
      <c r="A151" s="209"/>
      <c r="B151" s="82"/>
      <c r="C151" s="82"/>
      <c r="D151" s="82"/>
      <c r="E151" s="87"/>
      <c r="F151" s="88"/>
      <c r="G151" s="89"/>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c r="AV151" s="82"/>
      <c r="AW151" s="82"/>
      <c r="AX151" s="82"/>
      <c r="AY151" s="82"/>
      <c r="AZ151" s="82"/>
    </row>
    <row r="152" spans="1:52" x14ac:dyDescent="0.25">
      <c r="A152" s="209"/>
      <c r="B152" s="82"/>
      <c r="C152" s="82"/>
      <c r="D152" s="82"/>
      <c r="E152" s="87"/>
      <c r="F152" s="88"/>
      <c r="G152" s="89"/>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c r="AV152" s="82"/>
      <c r="AW152" s="82"/>
      <c r="AX152" s="82"/>
      <c r="AY152" s="82"/>
      <c r="AZ152" s="82"/>
    </row>
    <row r="153" spans="1:52" x14ac:dyDescent="0.25">
      <c r="A153" s="209"/>
      <c r="B153" s="82"/>
      <c r="C153" s="82"/>
      <c r="D153" s="82"/>
      <c r="E153" s="87"/>
      <c r="F153" s="88"/>
      <c r="G153" s="89"/>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c r="AV153" s="82"/>
      <c r="AW153" s="82"/>
      <c r="AX153" s="82"/>
      <c r="AY153" s="82"/>
      <c r="AZ153" s="82"/>
    </row>
    <row r="154" spans="1:52" x14ac:dyDescent="0.25">
      <c r="A154" s="209"/>
      <c r="B154" s="82"/>
      <c r="C154" s="82"/>
      <c r="D154" s="82"/>
      <c r="E154" s="87"/>
      <c r="F154" s="88"/>
      <c r="G154" s="89"/>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c r="AV154" s="82"/>
      <c r="AW154" s="82"/>
      <c r="AX154" s="82"/>
      <c r="AY154" s="82"/>
      <c r="AZ154" s="82"/>
    </row>
    <row r="155" spans="1:52" x14ac:dyDescent="0.25">
      <c r="A155" s="209"/>
      <c r="B155" s="82"/>
      <c r="C155" s="82"/>
      <c r="D155" s="82"/>
      <c r="E155" s="87"/>
      <c r="F155" s="88"/>
      <c r="G155" s="89"/>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c r="AV155" s="82"/>
      <c r="AW155" s="82"/>
      <c r="AX155" s="82"/>
      <c r="AY155" s="82"/>
      <c r="AZ155" s="82"/>
    </row>
    <row r="156" spans="1:52" x14ac:dyDescent="0.25">
      <c r="A156" s="209"/>
      <c r="B156" s="82"/>
      <c r="C156" s="82"/>
      <c r="D156" s="82"/>
      <c r="E156" s="87"/>
      <c r="F156" s="88"/>
      <c r="G156" s="89"/>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c r="AV156" s="82"/>
      <c r="AW156" s="82"/>
      <c r="AX156" s="82"/>
      <c r="AY156" s="82"/>
      <c r="AZ156" s="82"/>
    </row>
    <row r="157" spans="1:52" x14ac:dyDescent="0.25">
      <c r="A157" s="209"/>
      <c r="B157" s="82"/>
      <c r="C157" s="82"/>
      <c r="D157" s="82"/>
      <c r="E157" s="87"/>
      <c r="F157" s="88"/>
      <c r="G157" s="89"/>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c r="AV157" s="82"/>
      <c r="AW157" s="82"/>
      <c r="AX157" s="82"/>
      <c r="AY157" s="82"/>
      <c r="AZ157" s="82"/>
    </row>
    <row r="158" spans="1:52" x14ac:dyDescent="0.25">
      <c r="A158" s="209"/>
      <c r="B158" s="82"/>
      <c r="C158" s="82"/>
      <c r="D158" s="82"/>
      <c r="E158" s="87"/>
      <c r="F158" s="88"/>
      <c r="G158" s="89"/>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c r="AV158" s="82"/>
      <c r="AW158" s="82"/>
      <c r="AX158" s="82"/>
      <c r="AY158" s="82"/>
      <c r="AZ158" s="82"/>
    </row>
    <row r="159" spans="1:52" x14ac:dyDescent="0.25">
      <c r="A159" s="209"/>
      <c r="B159" s="82"/>
      <c r="C159" s="82"/>
      <c r="D159" s="82"/>
      <c r="E159" s="87"/>
      <c r="F159" s="88"/>
      <c r="G159" s="89"/>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c r="AV159" s="82"/>
      <c r="AW159" s="82"/>
      <c r="AX159" s="82"/>
      <c r="AY159" s="82"/>
      <c r="AZ159" s="82"/>
    </row>
    <row r="160" spans="1:52" x14ac:dyDescent="0.25">
      <c r="A160" s="209"/>
      <c r="B160" s="82"/>
      <c r="C160" s="82"/>
      <c r="D160" s="82"/>
      <c r="E160" s="87"/>
      <c r="F160" s="88"/>
      <c r="G160" s="89"/>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c r="AV160" s="82"/>
      <c r="AW160" s="82"/>
      <c r="AX160" s="82"/>
      <c r="AY160" s="82"/>
      <c r="AZ160" s="82"/>
    </row>
    <row r="161" spans="1:52" x14ac:dyDescent="0.25">
      <c r="A161" s="209"/>
      <c r="B161" s="82"/>
      <c r="C161" s="82"/>
      <c r="D161" s="82"/>
      <c r="E161" s="87"/>
      <c r="F161" s="88"/>
      <c r="G161" s="89"/>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c r="AV161" s="82"/>
      <c r="AW161" s="82"/>
      <c r="AX161" s="82"/>
      <c r="AY161" s="82"/>
      <c r="AZ161" s="82"/>
    </row>
    <row r="162" spans="1:52" x14ac:dyDescent="0.25">
      <c r="A162" s="209"/>
      <c r="B162" s="82"/>
      <c r="C162" s="82"/>
      <c r="D162" s="82"/>
      <c r="E162" s="87"/>
      <c r="F162" s="88"/>
      <c r="G162" s="89"/>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c r="AV162" s="82"/>
      <c r="AW162" s="82"/>
      <c r="AX162" s="82"/>
      <c r="AY162" s="82"/>
      <c r="AZ162" s="82"/>
    </row>
    <row r="163" spans="1:52" x14ac:dyDescent="0.25">
      <c r="A163" s="209"/>
      <c r="B163" s="82"/>
      <c r="C163" s="82"/>
      <c r="D163" s="82"/>
      <c r="E163" s="87"/>
      <c r="F163" s="88"/>
      <c r="G163" s="89"/>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c r="AV163" s="82"/>
      <c r="AW163" s="82"/>
      <c r="AX163" s="82"/>
      <c r="AY163" s="82"/>
      <c r="AZ163" s="82"/>
    </row>
    <row r="164" spans="1:52" x14ac:dyDescent="0.25">
      <c r="A164" s="209"/>
      <c r="B164" s="82"/>
      <c r="C164" s="82"/>
      <c r="D164" s="82"/>
      <c r="E164" s="87"/>
      <c r="F164" s="88"/>
      <c r="G164" s="89"/>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c r="AV164" s="82"/>
      <c r="AW164" s="82"/>
      <c r="AX164" s="82"/>
      <c r="AY164" s="82"/>
      <c r="AZ164" s="82"/>
    </row>
    <row r="165" spans="1:52" x14ac:dyDescent="0.25">
      <c r="A165" s="209"/>
      <c r="B165" s="82"/>
      <c r="C165" s="82"/>
      <c r="D165" s="82"/>
      <c r="E165" s="87"/>
      <c r="F165" s="88"/>
      <c r="G165" s="89"/>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c r="AV165" s="82"/>
      <c r="AW165" s="82"/>
      <c r="AX165" s="82"/>
      <c r="AY165" s="82"/>
      <c r="AZ165" s="82"/>
    </row>
    <row r="166" spans="1:52" x14ac:dyDescent="0.25">
      <c r="A166" s="209"/>
      <c r="B166" s="82"/>
      <c r="C166" s="82"/>
      <c r="D166" s="82"/>
      <c r="E166" s="87"/>
      <c r="F166" s="88"/>
      <c r="G166" s="89"/>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c r="AV166" s="82"/>
      <c r="AW166" s="82"/>
      <c r="AX166" s="82"/>
      <c r="AY166" s="82"/>
      <c r="AZ166" s="82"/>
    </row>
    <row r="167" spans="1:52" x14ac:dyDescent="0.25">
      <c r="A167" s="209"/>
      <c r="B167" s="82"/>
      <c r="C167" s="82"/>
      <c r="D167" s="82"/>
      <c r="E167" s="87"/>
      <c r="F167" s="88"/>
      <c r="G167" s="89"/>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c r="AV167" s="82"/>
      <c r="AW167" s="82"/>
      <c r="AX167" s="82"/>
      <c r="AY167" s="82"/>
      <c r="AZ167" s="82"/>
    </row>
    <row r="168" spans="1:52" x14ac:dyDescent="0.25">
      <c r="A168" s="209"/>
      <c r="B168" s="82"/>
      <c r="C168" s="82"/>
      <c r="D168" s="82"/>
      <c r="E168" s="87"/>
      <c r="F168" s="88"/>
      <c r="G168" s="89"/>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c r="AV168" s="82"/>
      <c r="AW168" s="82"/>
      <c r="AX168" s="82"/>
      <c r="AY168" s="82"/>
      <c r="AZ168" s="82"/>
    </row>
    <row r="169" spans="1:52" x14ac:dyDescent="0.25">
      <c r="A169" s="209"/>
      <c r="B169" s="82"/>
      <c r="C169" s="82"/>
      <c r="D169" s="82"/>
      <c r="E169" s="87"/>
      <c r="F169" s="88"/>
      <c r="G169" s="89"/>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c r="AV169" s="82"/>
      <c r="AW169" s="82"/>
      <c r="AX169" s="82"/>
      <c r="AY169" s="82"/>
      <c r="AZ169" s="82"/>
    </row>
    <row r="170" spans="1:52" x14ac:dyDescent="0.25">
      <c r="A170" s="209"/>
      <c r="B170" s="82"/>
      <c r="C170" s="82"/>
      <c r="D170" s="82"/>
      <c r="E170" s="87"/>
      <c r="F170" s="88"/>
      <c r="G170" s="89"/>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c r="AV170" s="82"/>
      <c r="AW170" s="82"/>
      <c r="AX170" s="82"/>
      <c r="AY170" s="82"/>
      <c r="AZ170" s="82"/>
    </row>
    <row r="171" spans="1:52" x14ac:dyDescent="0.25">
      <c r="A171" s="209"/>
      <c r="B171" s="82"/>
      <c r="C171" s="82"/>
      <c r="D171" s="82"/>
      <c r="E171" s="87"/>
      <c r="F171" s="88"/>
      <c r="G171" s="89"/>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c r="AV171" s="82"/>
      <c r="AW171" s="82"/>
      <c r="AX171" s="82"/>
      <c r="AY171" s="82"/>
      <c r="AZ171" s="82"/>
    </row>
    <row r="172" spans="1:52" x14ac:dyDescent="0.25">
      <c r="A172" s="209"/>
      <c r="B172" s="82"/>
      <c r="C172" s="82"/>
      <c r="D172" s="82"/>
      <c r="E172" s="87"/>
      <c r="F172" s="88"/>
      <c r="G172" s="89"/>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c r="AV172" s="82"/>
      <c r="AW172" s="82"/>
      <c r="AX172" s="82"/>
      <c r="AY172" s="82"/>
      <c r="AZ172" s="82"/>
    </row>
    <row r="173" spans="1:52" x14ac:dyDescent="0.25">
      <c r="A173" s="209"/>
      <c r="B173" s="82"/>
      <c r="C173" s="82"/>
      <c r="D173" s="82"/>
      <c r="E173" s="87"/>
      <c r="F173" s="88"/>
      <c r="G173" s="89"/>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c r="AV173" s="82"/>
      <c r="AW173" s="82"/>
      <c r="AX173" s="82"/>
      <c r="AY173" s="82"/>
      <c r="AZ173" s="82"/>
    </row>
    <row r="174" spans="1:52" x14ac:dyDescent="0.25">
      <c r="A174" s="209"/>
      <c r="B174" s="82"/>
      <c r="C174" s="82"/>
      <c r="D174" s="82"/>
      <c r="E174" s="87"/>
      <c r="F174" s="88"/>
      <c r="G174" s="89"/>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c r="AV174" s="82"/>
      <c r="AW174" s="82"/>
      <c r="AX174" s="82"/>
      <c r="AY174" s="82"/>
      <c r="AZ174" s="82"/>
    </row>
    <row r="175" spans="1:52" x14ac:dyDescent="0.25">
      <c r="A175" s="209"/>
      <c r="B175" s="82"/>
      <c r="C175" s="82"/>
      <c r="D175" s="82"/>
      <c r="E175" s="87"/>
      <c r="F175" s="88"/>
      <c r="G175" s="89"/>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c r="AV175" s="82"/>
      <c r="AW175" s="82"/>
      <c r="AX175" s="82"/>
      <c r="AY175" s="82"/>
      <c r="AZ175" s="82"/>
    </row>
    <row r="176" spans="1:52" x14ac:dyDescent="0.25">
      <c r="A176" s="209"/>
      <c r="B176" s="82"/>
      <c r="C176" s="82"/>
      <c r="D176" s="82"/>
      <c r="E176" s="87"/>
      <c r="F176" s="88"/>
      <c r="G176" s="89"/>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c r="AV176" s="82"/>
      <c r="AW176" s="82"/>
      <c r="AX176" s="82"/>
      <c r="AY176" s="82"/>
      <c r="AZ176" s="82"/>
    </row>
    <row r="177" spans="1:52" x14ac:dyDescent="0.25">
      <c r="A177" s="209"/>
      <c r="B177" s="82"/>
      <c r="C177" s="82"/>
      <c r="D177" s="82"/>
      <c r="E177" s="87"/>
      <c r="F177" s="88"/>
      <c r="G177" s="89"/>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c r="AV177" s="82"/>
      <c r="AW177" s="82"/>
      <c r="AX177" s="82"/>
      <c r="AY177" s="82"/>
      <c r="AZ177" s="82"/>
    </row>
    <row r="178" spans="1:52" x14ac:dyDescent="0.25">
      <c r="A178" s="209"/>
      <c r="B178" s="82"/>
      <c r="C178" s="82"/>
      <c r="D178" s="82"/>
      <c r="E178" s="87"/>
      <c r="F178" s="88"/>
      <c r="G178" s="89"/>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c r="AV178" s="82"/>
      <c r="AW178" s="82"/>
      <c r="AX178" s="82"/>
      <c r="AY178" s="82"/>
      <c r="AZ178" s="82"/>
    </row>
    <row r="179" spans="1:52" x14ac:dyDescent="0.25">
      <c r="A179" s="209"/>
      <c r="B179" s="82"/>
      <c r="C179" s="82"/>
      <c r="D179" s="82"/>
      <c r="E179" s="87"/>
      <c r="F179" s="88"/>
      <c r="G179" s="89"/>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c r="AV179" s="82"/>
      <c r="AW179" s="82"/>
      <c r="AX179" s="82"/>
      <c r="AY179" s="82"/>
      <c r="AZ179" s="82"/>
    </row>
    <row r="180" spans="1:52" x14ac:dyDescent="0.25">
      <c r="A180" s="209"/>
      <c r="B180" s="82"/>
      <c r="C180" s="82"/>
      <c r="D180" s="82"/>
      <c r="E180" s="87"/>
      <c r="F180" s="88"/>
      <c r="G180" s="89"/>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c r="AV180" s="82"/>
      <c r="AW180" s="82"/>
      <c r="AX180" s="82"/>
      <c r="AY180" s="82"/>
      <c r="AZ180" s="82"/>
    </row>
    <row r="181" spans="1:52" x14ac:dyDescent="0.25">
      <c r="A181" s="209"/>
      <c r="B181" s="82"/>
      <c r="C181" s="82"/>
      <c r="D181" s="82"/>
      <c r="E181" s="87"/>
      <c r="F181" s="88"/>
      <c r="G181" s="89"/>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c r="AV181" s="82"/>
      <c r="AW181" s="82"/>
      <c r="AX181" s="82"/>
      <c r="AY181" s="82"/>
      <c r="AZ181" s="82"/>
    </row>
    <row r="182" spans="1:52" x14ac:dyDescent="0.25">
      <c r="A182" s="209"/>
      <c r="B182" s="82"/>
      <c r="C182" s="82"/>
      <c r="D182" s="82"/>
      <c r="E182" s="87"/>
      <c r="F182" s="88"/>
      <c r="G182" s="89"/>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c r="AV182" s="82"/>
      <c r="AW182" s="82"/>
      <c r="AX182" s="82"/>
      <c r="AY182" s="82"/>
      <c r="AZ182" s="82"/>
    </row>
    <row r="183" spans="1:52" x14ac:dyDescent="0.25">
      <c r="A183" s="209"/>
      <c r="B183" s="82"/>
      <c r="C183" s="82"/>
      <c r="D183" s="82"/>
      <c r="E183" s="87"/>
      <c r="F183" s="88"/>
      <c r="G183" s="89"/>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c r="AV183" s="82"/>
      <c r="AW183" s="82"/>
      <c r="AX183" s="82"/>
      <c r="AY183" s="82"/>
      <c r="AZ183" s="82"/>
    </row>
    <row r="184" spans="1:52" x14ac:dyDescent="0.25">
      <c r="A184" s="209"/>
      <c r="B184" s="82"/>
      <c r="C184" s="82"/>
      <c r="D184" s="82"/>
      <c r="E184" s="87"/>
      <c r="F184" s="88"/>
      <c r="G184" s="89"/>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c r="AV184" s="82"/>
      <c r="AW184" s="82"/>
      <c r="AX184" s="82"/>
      <c r="AY184" s="82"/>
      <c r="AZ184" s="82"/>
    </row>
    <row r="185" spans="1:52" x14ac:dyDescent="0.25">
      <c r="A185" s="209"/>
      <c r="B185" s="82"/>
      <c r="C185" s="82"/>
      <c r="D185" s="82"/>
      <c r="E185" s="87"/>
      <c r="F185" s="88"/>
      <c r="G185" s="89"/>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c r="AV185" s="82"/>
      <c r="AW185" s="82"/>
      <c r="AX185" s="82"/>
      <c r="AY185" s="82"/>
      <c r="AZ185" s="82"/>
    </row>
    <row r="186" spans="1:52" x14ac:dyDescent="0.25">
      <c r="A186" s="209"/>
      <c r="B186" s="82"/>
      <c r="C186" s="82"/>
      <c r="D186" s="82"/>
      <c r="E186" s="87"/>
      <c r="F186" s="88"/>
      <c r="G186" s="89"/>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c r="AV186" s="82"/>
      <c r="AW186" s="82"/>
      <c r="AX186" s="82"/>
      <c r="AY186" s="82"/>
      <c r="AZ186" s="82"/>
    </row>
    <row r="187" spans="1:52" x14ac:dyDescent="0.25">
      <c r="A187" s="209"/>
      <c r="B187" s="82"/>
      <c r="C187" s="82"/>
      <c r="D187" s="82"/>
      <c r="E187" s="87"/>
      <c r="F187" s="88"/>
      <c r="G187" s="89"/>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c r="AV187" s="82"/>
      <c r="AW187" s="82"/>
      <c r="AX187" s="82"/>
      <c r="AY187" s="82"/>
      <c r="AZ187" s="82"/>
    </row>
    <row r="188" spans="1:52" x14ac:dyDescent="0.25">
      <c r="A188" s="209"/>
      <c r="B188" s="82"/>
      <c r="C188" s="82"/>
      <c r="D188" s="82"/>
      <c r="E188" s="87"/>
      <c r="F188" s="88"/>
      <c r="G188" s="89"/>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c r="AV188" s="82"/>
      <c r="AW188" s="82"/>
      <c r="AX188" s="82"/>
      <c r="AY188" s="82"/>
      <c r="AZ188" s="82"/>
    </row>
    <row r="189" spans="1:52" x14ac:dyDescent="0.25">
      <c r="A189" s="209"/>
      <c r="B189" s="82"/>
      <c r="C189" s="82"/>
      <c r="D189" s="82"/>
      <c r="E189" s="87"/>
      <c r="F189" s="88"/>
      <c r="G189" s="89"/>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c r="AV189" s="82"/>
      <c r="AW189" s="82"/>
      <c r="AX189" s="82"/>
      <c r="AY189" s="82"/>
      <c r="AZ189" s="82"/>
    </row>
    <row r="190" spans="1:52" x14ac:dyDescent="0.25">
      <c r="A190" s="209"/>
      <c r="B190" s="82"/>
      <c r="C190" s="82"/>
      <c r="D190" s="82"/>
      <c r="E190" s="87"/>
      <c r="F190" s="88"/>
      <c r="G190" s="89"/>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c r="AV190" s="82"/>
      <c r="AW190" s="82"/>
      <c r="AX190" s="82"/>
      <c r="AY190" s="82"/>
      <c r="AZ190" s="82"/>
    </row>
    <row r="191" spans="1:52" x14ac:dyDescent="0.25">
      <c r="A191" s="209"/>
      <c r="B191" s="82"/>
      <c r="C191" s="82"/>
      <c r="D191" s="82"/>
      <c r="E191" s="87"/>
      <c r="F191" s="88"/>
      <c r="G191" s="89"/>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c r="AV191" s="82"/>
      <c r="AW191" s="82"/>
      <c r="AX191" s="82"/>
      <c r="AY191" s="82"/>
      <c r="AZ191" s="82"/>
    </row>
    <row r="192" spans="1:52" x14ac:dyDescent="0.25">
      <c r="A192" s="209"/>
      <c r="B192" s="82"/>
      <c r="C192" s="82"/>
      <c r="D192" s="82"/>
      <c r="E192" s="87"/>
      <c r="F192" s="88"/>
      <c r="G192" s="89"/>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c r="AV192" s="82"/>
      <c r="AW192" s="82"/>
      <c r="AX192" s="82"/>
      <c r="AY192" s="82"/>
      <c r="AZ192" s="82"/>
    </row>
    <row r="193" spans="1:52" x14ac:dyDescent="0.25">
      <c r="A193" s="209"/>
      <c r="B193" s="82"/>
      <c r="C193" s="82"/>
      <c r="D193" s="82"/>
      <c r="E193" s="87"/>
      <c r="F193" s="88"/>
      <c r="G193" s="89"/>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c r="AV193" s="82"/>
      <c r="AW193" s="82"/>
      <c r="AX193" s="82"/>
      <c r="AY193" s="82"/>
      <c r="AZ193" s="82"/>
    </row>
    <row r="194" spans="1:52" x14ac:dyDescent="0.25">
      <c r="A194" s="209"/>
      <c r="B194" s="82"/>
      <c r="C194" s="82"/>
      <c r="D194" s="82"/>
      <c r="E194" s="87"/>
      <c r="F194" s="88"/>
      <c r="G194" s="89"/>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c r="AV194" s="82"/>
      <c r="AW194" s="82"/>
      <c r="AX194" s="82"/>
      <c r="AY194" s="82"/>
      <c r="AZ194" s="82"/>
    </row>
    <row r="195" spans="1:52" x14ac:dyDescent="0.25">
      <c r="A195" s="209"/>
      <c r="B195" s="82"/>
      <c r="C195" s="82"/>
      <c r="D195" s="82"/>
      <c r="E195" s="87"/>
      <c r="F195" s="88"/>
      <c r="G195" s="89"/>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c r="AV195" s="82"/>
      <c r="AW195" s="82"/>
      <c r="AX195" s="82"/>
      <c r="AY195" s="82"/>
      <c r="AZ195" s="82"/>
    </row>
    <row r="196" spans="1:52" x14ac:dyDescent="0.25">
      <c r="A196" s="209"/>
      <c r="B196" s="82"/>
      <c r="C196" s="82"/>
      <c r="D196" s="82"/>
      <c r="E196" s="87"/>
      <c r="F196" s="88"/>
      <c r="G196" s="89"/>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c r="AV196" s="82"/>
      <c r="AW196" s="82"/>
      <c r="AX196" s="82"/>
      <c r="AY196" s="82"/>
      <c r="AZ196" s="82"/>
    </row>
    <row r="197" spans="1:52" x14ac:dyDescent="0.25">
      <c r="A197" s="209"/>
      <c r="B197" s="82"/>
      <c r="C197" s="82"/>
      <c r="D197" s="82"/>
      <c r="E197" s="87"/>
      <c r="F197" s="88"/>
      <c r="G197" s="89"/>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c r="AV197" s="82"/>
      <c r="AW197" s="82"/>
      <c r="AX197" s="82"/>
      <c r="AY197" s="82"/>
      <c r="AZ197" s="82"/>
    </row>
    <row r="198" spans="1:52" x14ac:dyDescent="0.25">
      <c r="A198" s="209"/>
      <c r="B198" s="82"/>
      <c r="C198" s="82"/>
      <c r="D198" s="82"/>
      <c r="E198" s="87"/>
      <c r="F198" s="88"/>
      <c r="G198" s="89"/>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c r="AV198" s="82"/>
      <c r="AW198" s="82"/>
      <c r="AX198" s="82"/>
      <c r="AY198" s="82"/>
      <c r="AZ198" s="82"/>
    </row>
    <row r="199" spans="1:52" x14ac:dyDescent="0.25">
      <c r="A199" s="209"/>
      <c r="B199" s="82"/>
      <c r="C199" s="82"/>
      <c r="D199" s="82"/>
      <c r="E199" s="87"/>
      <c r="F199" s="88"/>
      <c r="G199" s="89"/>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c r="AV199" s="82"/>
      <c r="AW199" s="82"/>
      <c r="AX199" s="82"/>
      <c r="AY199" s="82"/>
      <c r="AZ199" s="82"/>
    </row>
    <row r="200" spans="1:52" x14ac:dyDescent="0.25">
      <c r="A200" s="209"/>
      <c r="B200" s="82"/>
      <c r="C200" s="82"/>
      <c r="D200" s="82"/>
      <c r="E200" s="87"/>
      <c r="F200" s="88"/>
      <c r="G200" s="89"/>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c r="AV200" s="82"/>
      <c r="AW200" s="82"/>
      <c r="AX200" s="82"/>
      <c r="AY200" s="82"/>
      <c r="AZ200" s="82"/>
    </row>
    <row r="201" spans="1:52" x14ac:dyDescent="0.25">
      <c r="A201" s="209"/>
      <c r="B201" s="82"/>
      <c r="C201" s="82"/>
      <c r="D201" s="82"/>
      <c r="E201" s="87"/>
      <c r="F201" s="88"/>
      <c r="G201" s="89"/>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c r="AV201" s="82"/>
      <c r="AW201" s="82"/>
      <c r="AX201" s="82"/>
      <c r="AY201" s="82"/>
      <c r="AZ201" s="82"/>
    </row>
    <row r="202" spans="1:52" x14ac:dyDescent="0.25">
      <c r="A202" s="209"/>
      <c r="B202" s="82"/>
      <c r="C202" s="82"/>
      <c r="D202" s="82"/>
      <c r="E202" s="87"/>
      <c r="F202" s="88"/>
      <c r="G202" s="89"/>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c r="AV202" s="82"/>
      <c r="AW202" s="82"/>
      <c r="AX202" s="82"/>
      <c r="AY202" s="82"/>
      <c r="AZ202" s="82"/>
    </row>
    <row r="203" spans="1:52" x14ac:dyDescent="0.25">
      <c r="A203" s="209"/>
      <c r="B203" s="82"/>
      <c r="C203" s="82"/>
      <c r="D203" s="82"/>
      <c r="E203" s="87"/>
      <c r="F203" s="88"/>
      <c r="G203" s="89"/>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c r="AV203" s="82"/>
      <c r="AW203" s="82"/>
      <c r="AX203" s="82"/>
      <c r="AY203" s="82"/>
      <c r="AZ203" s="82"/>
    </row>
    <row r="204" spans="1:52" x14ac:dyDescent="0.25">
      <c r="A204" s="209"/>
      <c r="B204" s="82"/>
      <c r="C204" s="82"/>
      <c r="D204" s="82"/>
      <c r="E204" s="87"/>
      <c r="F204" s="88"/>
      <c r="G204" s="89"/>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c r="AV204" s="82"/>
      <c r="AW204" s="82"/>
      <c r="AX204" s="82"/>
      <c r="AY204" s="82"/>
      <c r="AZ204" s="82"/>
    </row>
    <row r="205" spans="1:52" x14ac:dyDescent="0.25">
      <c r="A205" s="209"/>
      <c r="B205" s="82"/>
      <c r="C205" s="82"/>
      <c r="D205" s="82"/>
      <c r="E205" s="87"/>
      <c r="F205" s="88"/>
      <c r="G205" s="89"/>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c r="AV205" s="82"/>
      <c r="AW205" s="82"/>
      <c r="AX205" s="82"/>
      <c r="AY205" s="82"/>
      <c r="AZ205" s="82"/>
    </row>
    <row r="206" spans="1:52" x14ac:dyDescent="0.25">
      <c r="A206" s="209"/>
      <c r="B206" s="82"/>
      <c r="C206" s="82"/>
      <c r="D206" s="82"/>
      <c r="E206" s="87"/>
      <c r="F206" s="88"/>
      <c r="G206" s="89"/>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c r="AV206" s="82"/>
      <c r="AW206" s="82"/>
      <c r="AX206" s="82"/>
      <c r="AY206" s="82"/>
      <c r="AZ206" s="82"/>
    </row>
    <row r="207" spans="1:52" x14ac:dyDescent="0.25">
      <c r="A207" s="209"/>
      <c r="B207" s="82"/>
      <c r="C207" s="82"/>
      <c r="D207" s="82"/>
      <c r="E207" s="87"/>
      <c r="F207" s="88"/>
      <c r="G207" s="89"/>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c r="AV207" s="82"/>
      <c r="AW207" s="82"/>
      <c r="AX207" s="82"/>
      <c r="AY207" s="82"/>
      <c r="AZ207" s="82"/>
    </row>
    <row r="208" spans="1:52" x14ac:dyDescent="0.25">
      <c r="A208" s="209"/>
      <c r="B208" s="82"/>
      <c r="C208" s="82"/>
      <c r="D208" s="82"/>
      <c r="E208" s="87"/>
      <c r="F208" s="88"/>
      <c r="G208" s="89"/>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c r="AV208" s="82"/>
      <c r="AW208" s="82"/>
      <c r="AX208" s="82"/>
      <c r="AY208" s="82"/>
      <c r="AZ208" s="82"/>
    </row>
    <row r="209" spans="1:52" x14ac:dyDescent="0.25">
      <c r="A209" s="209"/>
      <c r="B209" s="82"/>
      <c r="C209" s="82"/>
      <c r="D209" s="82"/>
      <c r="E209" s="87"/>
      <c r="F209" s="88"/>
      <c r="G209" s="89"/>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c r="AV209" s="82"/>
      <c r="AW209" s="82"/>
      <c r="AX209" s="82"/>
      <c r="AY209" s="82"/>
      <c r="AZ209" s="82"/>
    </row>
    <row r="210" spans="1:52" x14ac:dyDescent="0.25">
      <c r="A210" s="209"/>
      <c r="B210" s="82"/>
      <c r="C210" s="82"/>
      <c r="D210" s="82"/>
      <c r="E210" s="87"/>
      <c r="F210" s="88"/>
      <c r="G210" s="89"/>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c r="AV210" s="82"/>
      <c r="AW210" s="82"/>
      <c r="AX210" s="82"/>
      <c r="AY210" s="82"/>
      <c r="AZ210" s="82"/>
    </row>
    <row r="211" spans="1:52" x14ac:dyDescent="0.25">
      <c r="A211" s="209"/>
      <c r="B211" s="82"/>
      <c r="C211" s="82"/>
      <c r="D211" s="82"/>
      <c r="E211" s="87"/>
      <c r="F211" s="88"/>
      <c r="G211" s="89"/>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c r="AV211" s="82"/>
      <c r="AW211" s="82"/>
      <c r="AX211" s="82"/>
      <c r="AY211" s="82"/>
      <c r="AZ211" s="82"/>
    </row>
    <row r="212" spans="1:52" x14ac:dyDescent="0.25">
      <c r="A212" s="209"/>
      <c r="B212" s="82"/>
      <c r="C212" s="82"/>
      <c r="D212" s="82"/>
      <c r="E212" s="87"/>
      <c r="F212" s="88"/>
      <c r="G212" s="89"/>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c r="AV212" s="82"/>
      <c r="AW212" s="82"/>
      <c r="AX212" s="82"/>
      <c r="AY212" s="82"/>
      <c r="AZ212" s="82"/>
    </row>
    <row r="213" spans="1:52" x14ac:dyDescent="0.25">
      <c r="A213" s="209"/>
      <c r="B213" s="82"/>
      <c r="C213" s="82"/>
      <c r="D213" s="82"/>
      <c r="E213" s="87"/>
      <c r="F213" s="88"/>
      <c r="G213" s="89"/>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c r="AV213" s="82"/>
      <c r="AW213" s="82"/>
      <c r="AX213" s="82"/>
      <c r="AY213" s="82"/>
      <c r="AZ213" s="82"/>
    </row>
    <row r="214" spans="1:52" x14ac:dyDescent="0.25">
      <c r="A214" s="209"/>
      <c r="B214" s="82"/>
      <c r="C214" s="82"/>
      <c r="D214" s="82"/>
      <c r="E214" s="87"/>
      <c r="F214" s="88"/>
      <c r="G214" s="89"/>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c r="AV214" s="82"/>
      <c r="AW214" s="82"/>
      <c r="AX214" s="82"/>
      <c r="AY214" s="82"/>
      <c r="AZ214" s="82"/>
    </row>
    <row r="215" spans="1:52" x14ac:dyDescent="0.25">
      <c r="A215" s="209"/>
      <c r="B215" s="82"/>
      <c r="C215" s="82"/>
      <c r="D215" s="82"/>
      <c r="E215" s="87"/>
      <c r="F215" s="88"/>
      <c r="G215" s="89"/>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c r="AV215" s="82"/>
      <c r="AW215" s="82"/>
      <c r="AX215" s="82"/>
      <c r="AY215" s="82"/>
      <c r="AZ215" s="82"/>
    </row>
    <row r="216" spans="1:52" x14ac:dyDescent="0.25">
      <c r="A216" s="209"/>
      <c r="B216" s="82"/>
      <c r="C216" s="82"/>
      <c r="D216" s="82"/>
      <c r="E216" s="87"/>
      <c r="F216" s="88"/>
      <c r="G216" s="89"/>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c r="AV216" s="82"/>
      <c r="AW216" s="82"/>
      <c r="AX216" s="82"/>
      <c r="AY216" s="82"/>
      <c r="AZ216" s="82"/>
    </row>
    <row r="217" spans="1:52" x14ac:dyDescent="0.25">
      <c r="A217" s="209"/>
      <c r="B217" s="82"/>
      <c r="C217" s="82"/>
      <c r="D217" s="82"/>
      <c r="E217" s="87"/>
      <c r="F217" s="88"/>
      <c r="G217" s="89"/>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c r="AV217" s="82"/>
      <c r="AW217" s="82"/>
      <c r="AX217" s="82"/>
      <c r="AY217" s="82"/>
      <c r="AZ217" s="82"/>
    </row>
    <row r="218" spans="1:52" x14ac:dyDescent="0.25">
      <c r="A218" s="209"/>
      <c r="B218" s="82"/>
      <c r="C218" s="82"/>
      <c r="D218" s="82"/>
      <c r="E218" s="87"/>
      <c r="F218" s="88"/>
      <c r="G218" s="89"/>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c r="AV218" s="82"/>
      <c r="AW218" s="82"/>
      <c r="AX218" s="82"/>
      <c r="AY218" s="82"/>
      <c r="AZ218" s="82"/>
    </row>
    <row r="219" spans="1:52" x14ac:dyDescent="0.25">
      <c r="A219" s="209"/>
      <c r="B219" s="82"/>
      <c r="C219" s="82"/>
      <c r="D219" s="82"/>
      <c r="E219" s="87"/>
      <c r="F219" s="88"/>
      <c r="G219" s="89"/>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c r="AV219" s="82"/>
      <c r="AW219" s="82"/>
      <c r="AX219" s="82"/>
      <c r="AY219" s="82"/>
      <c r="AZ219" s="82"/>
    </row>
    <row r="220" spans="1:52" x14ac:dyDescent="0.25">
      <c r="A220" s="209"/>
      <c r="B220" s="82"/>
      <c r="C220" s="82"/>
      <c r="D220" s="82"/>
      <c r="E220" s="87"/>
      <c r="F220" s="88"/>
      <c r="G220" s="89"/>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c r="AV220" s="82"/>
      <c r="AW220" s="82"/>
      <c r="AX220" s="82"/>
      <c r="AY220" s="82"/>
      <c r="AZ220" s="82"/>
    </row>
  </sheetData>
  <hyperlinks>
    <hyperlink ref="K2" r:id="rId1"/>
    <hyperlink ref="K3" r:id="rId2"/>
    <hyperlink ref="K4" r:id="rId3"/>
    <hyperlink ref="K5" r:id="rId4"/>
    <hyperlink ref="K6" r:id="rId5"/>
    <hyperlink ref="K7" r:id="rId6"/>
    <hyperlink ref="K8" r:id="rId7"/>
    <hyperlink ref="K9" r:id="rId8"/>
    <hyperlink ref="K10" r:id="rId9"/>
    <hyperlink ref="K11" r:id="rId10"/>
    <hyperlink ref="K12" r:id="rId11"/>
    <hyperlink ref="K13" r:id="rId12"/>
    <hyperlink ref="K14" r:id="rId13"/>
    <hyperlink ref="K15" r:id="rId14"/>
    <hyperlink ref="K16" r:id="rId15"/>
    <hyperlink ref="K17" r:id="rId16"/>
    <hyperlink ref="K18" r:id="rId17"/>
    <hyperlink ref="K19" r:id="rId18"/>
    <hyperlink ref="K20" r:id="rId19"/>
    <hyperlink ref="K21" r:id="rId20"/>
    <hyperlink ref="K22" r:id="rId21"/>
    <hyperlink ref="K23" r:id="rId22"/>
    <hyperlink ref="K24" r:id="rId23"/>
    <hyperlink ref="K25" r:id="rId24"/>
    <hyperlink ref="K26" r:id="rId25"/>
    <hyperlink ref="K27" r:id="rId26"/>
    <hyperlink ref="K28" r:id="rId27"/>
    <hyperlink ref="K29" r:id="rId28"/>
    <hyperlink ref="K30" r:id="rId29"/>
    <hyperlink ref="K31" r:id="rId30"/>
    <hyperlink ref="K32" r:id="rId31"/>
    <hyperlink ref="K33" r:id="rId32"/>
    <hyperlink ref="K34" r:id="rId33"/>
    <hyperlink ref="K35" r:id="rId34"/>
    <hyperlink ref="K36" r:id="rId35"/>
    <hyperlink ref="K37" r:id="rId36"/>
    <hyperlink ref="K38" r:id="rId37"/>
    <hyperlink ref="K39" r:id="rId38"/>
  </hyperlinks>
  <pageMargins left="0.75" right="0.75" top="1" bottom="1" header="0.5" footer="0.5"/>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rgb="FF93C5FD"/>
  </sheetPr>
  <dimension ref="A1:AZ220"/>
  <sheetViews>
    <sheetView showGridLines="0" zoomScaleNormal="100" workbookViewId="0">
      <selection activeCell="D17" sqref="D17"/>
    </sheetView>
  </sheetViews>
  <sheetFormatPr defaultRowHeight="14.25" x14ac:dyDescent="0.25"/>
  <cols>
    <col min="1" max="1" width="4.7109375" style="78" customWidth="1"/>
    <col min="2" max="2" width="20.7109375" style="78" customWidth="1"/>
    <col min="3" max="3" width="3.7109375" style="78" customWidth="1"/>
    <col min="4" max="4" width="26.7109375" style="78" customWidth="1"/>
    <col min="5" max="5" width="2.7109375" style="78" customWidth="1"/>
    <col min="6" max="7" width="18.7109375" style="78" customWidth="1"/>
    <col min="8" max="8" width="3.7109375" style="78" customWidth="1"/>
    <col min="9" max="9" width="9.140625" style="78" customWidth="1"/>
    <col min="10" max="16384" width="9.140625" style="78"/>
  </cols>
  <sheetData>
    <row r="1" spans="1:52" ht="20.100000000000001" customHeight="1" x14ac:dyDescent="0.25">
      <c r="A1" s="82"/>
      <c r="B1" s="82"/>
      <c r="C1" s="82"/>
      <c r="D1" s="82"/>
      <c r="E1" s="82"/>
      <c r="F1" s="82"/>
      <c r="G1" s="82"/>
      <c r="H1" s="82"/>
      <c r="I1" s="82"/>
      <c r="J1" s="82"/>
      <c r="K1" s="82"/>
      <c r="L1" s="82"/>
      <c r="M1" s="82"/>
      <c r="N1" s="82"/>
      <c r="O1" s="82"/>
      <c r="P1" s="82"/>
      <c r="Q1" s="82"/>
      <c r="R1" s="82"/>
      <c r="S1" s="82"/>
      <c r="T1" s="82"/>
      <c r="U1" s="82"/>
      <c r="V1" s="82"/>
      <c r="W1" s="82"/>
      <c r="X1" s="82"/>
      <c r="Y1" s="82"/>
      <c r="Z1" s="82"/>
      <c r="AA1" s="82"/>
      <c r="AB1" s="82"/>
      <c r="AC1" s="82"/>
      <c r="AD1" s="82"/>
      <c r="AE1" s="82"/>
      <c r="AF1" s="82"/>
      <c r="AG1" s="82"/>
      <c r="AH1" s="82"/>
      <c r="AI1" s="82"/>
      <c r="AJ1" s="82"/>
      <c r="AK1" s="82"/>
      <c r="AL1" s="82"/>
      <c r="AM1" s="82"/>
      <c r="AN1" s="82"/>
      <c r="AO1" s="82"/>
      <c r="AP1" s="82"/>
      <c r="AQ1" s="82"/>
      <c r="AR1" s="82"/>
      <c r="AS1" s="82"/>
      <c r="AT1" s="82"/>
      <c r="AU1" s="82"/>
      <c r="AV1" s="82"/>
      <c r="AW1" s="82"/>
      <c r="AX1" s="82"/>
      <c r="AY1" s="82"/>
      <c r="AZ1" s="82"/>
    </row>
    <row r="2" spans="1:52" ht="20.100000000000001" customHeight="1" x14ac:dyDescent="0.25">
      <c r="A2" s="82"/>
      <c r="B2" s="267" t="s">
        <v>1135</v>
      </c>
      <c r="C2" s="268"/>
      <c r="D2" s="268"/>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c r="AQ2" s="82"/>
      <c r="AR2" s="82"/>
      <c r="AS2" s="82"/>
      <c r="AT2" s="82"/>
      <c r="AU2" s="82"/>
      <c r="AV2" s="82"/>
      <c r="AW2" s="82"/>
      <c r="AX2" s="82"/>
      <c r="AY2" s="82"/>
      <c r="AZ2" s="82"/>
    </row>
    <row r="3" spans="1:52" ht="20.100000000000001" customHeight="1" x14ac:dyDescent="0.25">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row>
    <row r="4" spans="1:52" ht="20.100000000000001" customHeight="1" x14ac:dyDescent="0.25">
      <c r="A4" s="82"/>
      <c r="B4" s="83" t="s">
        <v>1136</v>
      </c>
      <c r="C4" s="82"/>
      <c r="D4" s="83" t="s">
        <v>1137</v>
      </c>
      <c r="E4" s="82"/>
      <c r="F4" s="82"/>
      <c r="G4" s="82"/>
      <c r="H4" s="82"/>
      <c r="I4" s="82"/>
      <c r="J4" s="82"/>
      <c r="K4" s="82"/>
      <c r="L4" s="82"/>
      <c r="M4" s="82"/>
      <c r="N4" s="82"/>
      <c r="O4" s="82"/>
      <c r="P4" s="82"/>
      <c r="Q4" s="82"/>
      <c r="R4" s="82"/>
      <c r="S4" s="82"/>
      <c r="T4" s="82"/>
      <c r="U4" s="82"/>
      <c r="V4" s="82"/>
      <c r="W4" s="82"/>
      <c r="X4" s="82"/>
      <c r="Y4" s="82"/>
      <c r="Z4" s="82"/>
      <c r="AA4" s="82"/>
      <c r="AB4" s="82"/>
      <c r="AC4" s="82"/>
      <c r="AD4" s="82"/>
      <c r="AE4" s="82"/>
      <c r="AF4" s="82"/>
      <c r="AG4" s="82"/>
      <c r="AH4" s="82"/>
      <c r="AI4" s="82"/>
      <c r="AJ4" s="82"/>
      <c r="AK4" s="82"/>
      <c r="AL4" s="82"/>
      <c r="AM4" s="82"/>
      <c r="AN4" s="82"/>
      <c r="AO4" s="82"/>
      <c r="AP4" s="82"/>
      <c r="AQ4" s="82"/>
      <c r="AR4" s="82"/>
      <c r="AS4" s="82"/>
      <c r="AT4" s="82"/>
      <c r="AU4" s="82"/>
      <c r="AV4" s="82"/>
      <c r="AW4" s="82"/>
      <c r="AX4" s="82"/>
      <c r="AY4" s="82"/>
      <c r="AZ4" s="82"/>
    </row>
    <row r="5" spans="1:52" ht="20.100000000000001" customHeight="1" x14ac:dyDescent="0.25">
      <c r="A5" s="82"/>
      <c r="B5" s="83" t="s">
        <v>1138</v>
      </c>
      <c r="C5" s="82"/>
      <c r="D5" s="82">
        <v>2</v>
      </c>
      <c r="E5" s="82"/>
      <c r="F5" s="82"/>
      <c r="G5" s="82"/>
      <c r="H5" s="82"/>
      <c r="I5" s="82"/>
      <c r="J5" s="82"/>
      <c r="K5" s="82"/>
      <c r="L5" s="82"/>
      <c r="M5" s="82"/>
      <c r="N5" s="82"/>
      <c r="O5" s="82"/>
      <c r="P5" s="82"/>
      <c r="Q5" s="82"/>
      <c r="R5" s="82"/>
      <c r="S5" s="82"/>
      <c r="T5" s="82"/>
      <c r="U5" s="82"/>
      <c r="V5" s="82"/>
      <c r="W5" s="82"/>
      <c r="X5" s="82"/>
      <c r="Y5" s="82"/>
      <c r="Z5" s="82"/>
      <c r="AA5" s="82"/>
      <c r="AB5" s="82"/>
      <c r="AC5" s="82"/>
      <c r="AD5" s="82"/>
      <c r="AE5" s="82"/>
      <c r="AF5" s="82"/>
      <c r="AG5" s="82"/>
      <c r="AH5" s="82"/>
      <c r="AI5" s="82"/>
      <c r="AJ5" s="82"/>
      <c r="AK5" s="82"/>
      <c r="AL5" s="82"/>
      <c r="AM5" s="82"/>
      <c r="AN5" s="82"/>
      <c r="AO5" s="82"/>
      <c r="AP5" s="82"/>
      <c r="AQ5" s="82"/>
      <c r="AR5" s="82"/>
      <c r="AS5" s="82"/>
      <c r="AT5" s="82"/>
      <c r="AU5" s="82"/>
      <c r="AV5" s="82"/>
      <c r="AW5" s="82"/>
      <c r="AX5" s="82"/>
      <c r="AY5" s="82"/>
      <c r="AZ5" s="82"/>
    </row>
    <row r="6" spans="1:52" ht="20.100000000000001" customHeight="1" x14ac:dyDescent="0.25">
      <c r="A6" s="82"/>
      <c r="B6" s="83"/>
      <c r="C6" s="82"/>
      <c r="D6" s="82"/>
      <c r="E6" s="82"/>
      <c r="F6" s="82"/>
      <c r="G6" s="82"/>
      <c r="H6" s="82"/>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row>
    <row r="7" spans="1:52" ht="20.100000000000001" customHeight="1" x14ac:dyDescent="0.25">
      <c r="A7" s="82"/>
      <c r="B7" s="83"/>
      <c r="C7" s="82"/>
      <c r="D7" s="82"/>
      <c r="E7" s="82"/>
      <c r="F7" s="82"/>
      <c r="G7" s="82"/>
      <c r="H7" s="82"/>
      <c r="I7" s="82"/>
      <c r="J7" s="82"/>
      <c r="K7" s="82"/>
      <c r="L7" s="82"/>
      <c r="M7" s="82"/>
      <c r="N7" s="82"/>
      <c r="O7" s="82"/>
      <c r="P7" s="82"/>
      <c r="Q7" s="82"/>
      <c r="R7" s="82"/>
      <c r="S7" s="82"/>
      <c r="T7" s="82"/>
      <c r="U7" s="82"/>
      <c r="V7" s="82"/>
      <c r="W7" s="82"/>
      <c r="X7" s="82"/>
      <c r="Y7" s="82"/>
      <c r="Z7" s="82"/>
      <c r="AA7" s="82"/>
      <c r="AB7" s="82"/>
      <c r="AC7" s="82"/>
      <c r="AD7" s="82"/>
      <c r="AE7" s="82"/>
      <c r="AF7" s="82"/>
      <c r="AG7" s="82"/>
      <c r="AH7" s="82"/>
      <c r="AI7" s="82"/>
      <c r="AJ7" s="82"/>
      <c r="AK7" s="82"/>
      <c r="AL7" s="82"/>
      <c r="AM7" s="82"/>
      <c r="AN7" s="82"/>
      <c r="AO7" s="82"/>
      <c r="AP7" s="82"/>
      <c r="AQ7" s="82"/>
      <c r="AR7" s="82"/>
      <c r="AS7" s="82"/>
      <c r="AT7" s="82"/>
      <c r="AU7" s="82"/>
      <c r="AV7" s="82"/>
      <c r="AW7" s="82"/>
      <c r="AX7" s="82"/>
      <c r="AY7" s="82"/>
      <c r="AZ7" s="82"/>
    </row>
    <row r="8" spans="1:52" ht="20.100000000000001" customHeight="1" x14ac:dyDescent="0.25">
      <c r="A8" s="82"/>
      <c r="B8" s="83" t="s">
        <v>1</v>
      </c>
      <c r="C8" s="82"/>
      <c r="D8" s="82"/>
      <c r="E8" s="82"/>
      <c r="F8" s="82"/>
      <c r="G8" s="82"/>
      <c r="H8" s="82"/>
      <c r="I8" s="82"/>
      <c r="J8" s="82"/>
      <c r="K8" s="82"/>
      <c r="L8" s="82"/>
      <c r="M8" s="82"/>
      <c r="N8" s="82"/>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c r="AY8" s="82"/>
      <c r="AZ8" s="82"/>
    </row>
    <row r="9" spans="1:52" ht="20.100000000000001" customHeight="1" x14ac:dyDescent="0.25">
      <c r="A9" s="82"/>
      <c r="B9" s="83" t="s">
        <v>1139</v>
      </c>
      <c r="C9" s="82"/>
      <c r="D9" s="82"/>
      <c r="E9" s="82"/>
      <c r="F9" s="82"/>
      <c r="G9" s="82"/>
      <c r="H9" s="82"/>
      <c r="I9" s="82"/>
      <c r="J9" s="82"/>
      <c r="K9" s="82"/>
      <c r="L9" s="82"/>
      <c r="M9" s="82"/>
      <c r="N9" s="82"/>
      <c r="O9" s="82"/>
      <c r="P9" s="82"/>
      <c r="Q9" s="82"/>
      <c r="R9" s="82"/>
      <c r="S9" s="82"/>
      <c r="T9" s="82"/>
      <c r="U9" s="82"/>
      <c r="V9" s="82"/>
      <c r="W9" s="82"/>
      <c r="X9" s="82"/>
      <c r="Y9" s="82"/>
      <c r="Z9" s="82"/>
      <c r="AA9" s="82"/>
      <c r="AB9" s="82"/>
      <c r="AC9" s="82"/>
      <c r="AD9" s="82"/>
      <c r="AE9" s="82"/>
      <c r="AF9" s="82"/>
      <c r="AG9" s="82"/>
      <c r="AH9" s="82"/>
      <c r="AI9" s="82"/>
      <c r="AJ9" s="82"/>
      <c r="AK9" s="82"/>
      <c r="AL9" s="82"/>
      <c r="AM9" s="82"/>
      <c r="AN9" s="82"/>
      <c r="AO9" s="82"/>
      <c r="AP9" s="82"/>
      <c r="AQ9" s="82"/>
      <c r="AR9" s="82"/>
      <c r="AS9" s="82"/>
      <c r="AT9" s="82"/>
      <c r="AU9" s="82"/>
      <c r="AV9" s="82"/>
      <c r="AW9" s="82"/>
      <c r="AX9" s="82"/>
      <c r="AY9" s="82"/>
      <c r="AZ9" s="82"/>
    </row>
    <row r="10" spans="1:52" ht="20.100000000000001" customHeight="1" x14ac:dyDescent="0.25">
      <c r="A10" s="82"/>
      <c r="B10" s="83" t="s">
        <v>1140</v>
      </c>
      <c r="C10" s="82"/>
      <c r="D10" s="87"/>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2"/>
      <c r="AW10" s="82"/>
      <c r="AX10" s="82"/>
      <c r="AY10" s="82"/>
      <c r="AZ10" s="82"/>
    </row>
    <row r="11" spans="1:52" ht="20.100000000000001" customHeight="1" x14ac:dyDescent="0.25">
      <c r="A11" s="82"/>
      <c r="B11" s="83" t="s">
        <v>1141</v>
      </c>
      <c r="C11" s="82"/>
      <c r="D11" s="88"/>
      <c r="E11" s="82"/>
      <c r="F11" s="82"/>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row>
    <row r="12" spans="1:52" ht="20.100000000000001" customHeight="1" x14ac:dyDescent="0.25">
      <c r="A12" s="82"/>
      <c r="B12" s="83" t="s">
        <v>1142</v>
      </c>
      <c r="C12" s="82"/>
      <c r="D12" s="89"/>
      <c r="E12" s="82"/>
      <c r="F12" s="82"/>
      <c r="G12" s="82"/>
      <c r="H12" s="82"/>
      <c r="I12" s="82"/>
      <c r="J12" s="82"/>
      <c r="K12" s="82"/>
      <c r="L12" s="82"/>
      <c r="M12" s="82"/>
      <c r="N12" s="82"/>
      <c r="O12" s="82"/>
      <c r="P12" s="82"/>
      <c r="Q12" s="82"/>
      <c r="R12" s="82"/>
      <c r="S12" s="82"/>
      <c r="T12" s="82"/>
      <c r="U12" s="82"/>
      <c r="V12" s="82"/>
      <c r="W12" s="82"/>
      <c r="X12" s="82"/>
      <c r="Y12" s="82"/>
      <c r="Z12" s="82"/>
      <c r="AA12" s="82"/>
      <c r="AB12" s="82"/>
      <c r="AC12" s="82"/>
      <c r="AD12" s="82"/>
      <c r="AE12" s="82"/>
      <c r="AF12" s="82"/>
      <c r="AG12" s="82"/>
      <c r="AH12" s="82"/>
      <c r="AI12" s="82"/>
      <c r="AJ12" s="82"/>
      <c r="AK12" s="82"/>
      <c r="AL12" s="82"/>
      <c r="AM12" s="82"/>
      <c r="AN12" s="82"/>
      <c r="AO12" s="82"/>
      <c r="AP12" s="82"/>
      <c r="AQ12" s="82"/>
      <c r="AR12" s="82"/>
      <c r="AS12" s="82"/>
      <c r="AT12" s="82"/>
      <c r="AU12" s="82"/>
      <c r="AV12" s="82"/>
      <c r="AW12" s="82"/>
      <c r="AX12" s="82"/>
      <c r="AY12" s="82"/>
      <c r="AZ12" s="82"/>
    </row>
    <row r="13" spans="1:52" ht="20.100000000000001" customHeight="1" x14ac:dyDescent="0.25">
      <c r="A13" s="82"/>
      <c r="B13" s="83" t="s">
        <v>1143</v>
      </c>
      <c r="C13" s="82"/>
      <c r="D13" s="82"/>
      <c r="E13" s="82"/>
      <c r="F13" s="82"/>
      <c r="G13" s="82"/>
      <c r="H13" s="82"/>
      <c r="I13" s="82"/>
      <c r="J13" s="82"/>
      <c r="K13" s="82"/>
      <c r="L13" s="82"/>
      <c r="M13" s="82"/>
      <c r="N13" s="82"/>
      <c r="O13" s="82"/>
      <c r="P13" s="82"/>
      <c r="Q13" s="82"/>
      <c r="R13" s="82"/>
      <c r="S13" s="82"/>
      <c r="T13" s="82"/>
      <c r="U13" s="82"/>
      <c r="V13" s="82"/>
      <c r="W13" s="82"/>
      <c r="X13" s="82"/>
      <c r="Y13" s="82"/>
      <c r="Z13" s="82"/>
      <c r="AA13" s="82"/>
      <c r="AB13" s="82"/>
      <c r="AC13" s="82"/>
      <c r="AD13" s="82"/>
      <c r="AE13" s="82"/>
      <c r="AF13" s="82"/>
      <c r="AG13" s="82"/>
      <c r="AH13" s="82"/>
      <c r="AI13" s="82"/>
      <c r="AJ13" s="82"/>
      <c r="AK13" s="82"/>
      <c r="AL13" s="82"/>
      <c r="AM13" s="82"/>
      <c r="AN13" s="82"/>
      <c r="AO13" s="82"/>
      <c r="AP13" s="82"/>
      <c r="AQ13" s="82"/>
      <c r="AR13" s="82"/>
      <c r="AS13" s="82"/>
      <c r="AT13" s="82"/>
      <c r="AU13" s="82"/>
      <c r="AV13" s="82"/>
      <c r="AW13" s="82"/>
      <c r="AX13" s="82"/>
      <c r="AY13" s="82"/>
      <c r="AZ13" s="82"/>
    </row>
    <row r="14" spans="1:52" ht="20.100000000000001" customHeight="1" x14ac:dyDescent="0.25">
      <c r="A14" s="82"/>
      <c r="B14" s="83" t="s">
        <v>1144</v>
      </c>
      <c r="C14" s="82"/>
      <c r="D14" s="82"/>
      <c r="E14" s="82"/>
      <c r="F14" s="82"/>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c r="AV14" s="82"/>
      <c r="AW14" s="82"/>
      <c r="AX14" s="82"/>
      <c r="AY14" s="82"/>
      <c r="AZ14" s="82"/>
    </row>
    <row r="15" spans="1:52" ht="20.100000000000001" customHeight="1" x14ac:dyDescent="0.25">
      <c r="A15" s="82"/>
      <c r="B15" s="83" t="s">
        <v>1145</v>
      </c>
      <c r="C15" s="82"/>
      <c r="D15" s="82"/>
      <c r="E15" s="82"/>
      <c r="F15" s="82"/>
      <c r="G15" s="82"/>
      <c r="H15" s="82"/>
      <c r="I15" s="82"/>
      <c r="J15" s="82"/>
      <c r="K15" s="82"/>
      <c r="L15" s="82"/>
      <c r="M15" s="82"/>
      <c r="N15" s="82"/>
      <c r="O15" s="82"/>
      <c r="P15" s="82"/>
      <c r="Q15" s="82"/>
      <c r="R15" s="82"/>
      <c r="S15" s="82"/>
      <c r="T15" s="82"/>
      <c r="U15" s="82"/>
      <c r="V15" s="82"/>
      <c r="W15" s="82"/>
      <c r="X15" s="82"/>
      <c r="Y15" s="82"/>
      <c r="Z15" s="82"/>
      <c r="AA15" s="82"/>
      <c r="AB15" s="82"/>
      <c r="AC15" s="82"/>
      <c r="AD15" s="82"/>
      <c r="AE15" s="82"/>
      <c r="AF15" s="82"/>
      <c r="AG15" s="82"/>
      <c r="AH15" s="82"/>
      <c r="AI15" s="82"/>
      <c r="AJ15" s="82"/>
      <c r="AK15" s="82"/>
      <c r="AL15" s="82"/>
      <c r="AM15" s="82"/>
      <c r="AN15" s="82"/>
      <c r="AO15" s="82"/>
      <c r="AP15" s="82"/>
      <c r="AQ15" s="82"/>
      <c r="AR15" s="82"/>
      <c r="AS15" s="82"/>
      <c r="AT15" s="82"/>
      <c r="AU15" s="82"/>
      <c r="AV15" s="82"/>
      <c r="AW15" s="82"/>
      <c r="AX15" s="82"/>
      <c r="AY15" s="82"/>
      <c r="AZ15" s="82"/>
    </row>
    <row r="16" spans="1:52" ht="20.100000000000001" customHeight="1" x14ac:dyDescent="0.25">
      <c r="A16" s="82"/>
      <c r="B16" s="83" t="s">
        <v>1146</v>
      </c>
      <c r="C16" s="82"/>
      <c r="D16" s="82"/>
      <c r="E16" s="82"/>
      <c r="F16" s="82"/>
      <c r="G16" s="82"/>
      <c r="H16" s="82"/>
      <c r="I16" s="82"/>
      <c r="J16" s="82"/>
      <c r="K16" s="82"/>
      <c r="L16" s="82"/>
      <c r="M16" s="82"/>
      <c r="N16" s="82"/>
      <c r="O16" s="82"/>
      <c r="P16" s="82"/>
      <c r="Q16" s="82"/>
      <c r="R16" s="82"/>
      <c r="S16" s="82"/>
      <c r="T16" s="82"/>
      <c r="U16" s="82"/>
      <c r="V16" s="82"/>
      <c r="W16" s="82"/>
      <c r="X16" s="82"/>
      <c r="Y16" s="82"/>
      <c r="Z16" s="82"/>
      <c r="AA16" s="82"/>
      <c r="AB16" s="82"/>
      <c r="AC16" s="82"/>
      <c r="AD16" s="82"/>
      <c r="AE16" s="82"/>
      <c r="AF16" s="82"/>
      <c r="AG16" s="82"/>
      <c r="AH16" s="82"/>
      <c r="AI16" s="82"/>
      <c r="AJ16" s="82"/>
      <c r="AK16" s="82"/>
      <c r="AL16" s="82"/>
      <c r="AM16" s="82"/>
      <c r="AN16" s="82"/>
      <c r="AO16" s="82"/>
      <c r="AP16" s="82"/>
      <c r="AQ16" s="82"/>
      <c r="AR16" s="82"/>
      <c r="AS16" s="82"/>
      <c r="AT16" s="82"/>
      <c r="AU16" s="82"/>
      <c r="AV16" s="82"/>
      <c r="AW16" s="82"/>
      <c r="AX16" s="82"/>
      <c r="AY16" s="82"/>
      <c r="AZ16" s="82"/>
    </row>
    <row r="17" spans="1:52" ht="20.100000000000001" customHeight="1" x14ac:dyDescent="0.25">
      <c r="A17" s="82"/>
      <c r="B17" s="83" t="s">
        <v>1147</v>
      </c>
      <c r="C17" s="82"/>
      <c r="D17" s="82"/>
      <c r="E17" s="82"/>
      <c r="F17" s="82"/>
      <c r="G17" s="82"/>
      <c r="H17" s="82"/>
      <c r="I17" s="82"/>
      <c r="J17" s="82"/>
      <c r="K17" s="82"/>
      <c r="L17" s="82"/>
      <c r="M17" s="82"/>
      <c r="N17" s="82"/>
      <c r="O17" s="82"/>
      <c r="P17" s="82"/>
      <c r="Q17" s="82"/>
      <c r="R17" s="82"/>
      <c r="S17" s="82"/>
      <c r="T17" s="82"/>
      <c r="U17" s="82"/>
      <c r="V17" s="82"/>
      <c r="W17" s="82"/>
      <c r="X17" s="82"/>
      <c r="Y17" s="82"/>
      <c r="Z17" s="82"/>
      <c r="AA17" s="82"/>
      <c r="AB17" s="82"/>
      <c r="AC17" s="82"/>
      <c r="AD17" s="82"/>
      <c r="AE17" s="82"/>
      <c r="AF17" s="82"/>
      <c r="AG17" s="82"/>
      <c r="AH17" s="82"/>
      <c r="AI17" s="82"/>
      <c r="AJ17" s="82"/>
      <c r="AK17" s="82"/>
      <c r="AL17" s="82"/>
      <c r="AM17" s="82"/>
      <c r="AN17" s="82"/>
      <c r="AO17" s="82"/>
      <c r="AP17" s="82"/>
      <c r="AQ17" s="82"/>
      <c r="AR17" s="82"/>
      <c r="AS17" s="82"/>
      <c r="AT17" s="82"/>
      <c r="AU17" s="82"/>
      <c r="AV17" s="82"/>
      <c r="AW17" s="82"/>
      <c r="AX17" s="82"/>
      <c r="AY17" s="82"/>
      <c r="AZ17" s="82"/>
    </row>
    <row r="18" spans="1:52" ht="20.100000000000001" customHeight="1" x14ac:dyDescent="0.25">
      <c r="A18" s="82"/>
      <c r="B18" s="83" t="s">
        <v>18</v>
      </c>
      <c r="C18" s="82"/>
      <c r="D18" s="82"/>
      <c r="E18" s="82"/>
      <c r="F18" s="82"/>
      <c r="G18" s="82"/>
      <c r="H18" s="82"/>
      <c r="I18" s="82"/>
      <c r="J18" s="82"/>
      <c r="K18" s="82"/>
      <c r="L18" s="82"/>
      <c r="M18" s="82"/>
      <c r="N18" s="82"/>
      <c r="O18" s="82"/>
      <c r="P18" s="82"/>
      <c r="Q18" s="82"/>
      <c r="R18" s="82"/>
      <c r="S18" s="82"/>
      <c r="T18" s="82"/>
      <c r="U18" s="82"/>
      <c r="V18" s="82"/>
      <c r="W18" s="82"/>
      <c r="X18" s="82"/>
      <c r="Y18" s="82"/>
      <c r="Z18" s="82"/>
      <c r="AA18" s="82"/>
      <c r="AB18" s="82"/>
      <c r="AC18" s="82"/>
      <c r="AD18" s="82"/>
      <c r="AE18" s="82"/>
      <c r="AF18" s="82"/>
      <c r="AG18" s="82"/>
      <c r="AH18" s="82"/>
      <c r="AI18" s="82"/>
      <c r="AJ18" s="82"/>
      <c r="AK18" s="82"/>
      <c r="AL18" s="82"/>
      <c r="AM18" s="82"/>
      <c r="AN18" s="82"/>
      <c r="AO18" s="82"/>
      <c r="AP18" s="82"/>
      <c r="AQ18" s="82"/>
      <c r="AR18" s="82"/>
      <c r="AS18" s="82"/>
      <c r="AT18" s="82"/>
      <c r="AU18" s="82"/>
      <c r="AV18" s="82"/>
      <c r="AW18" s="82"/>
      <c r="AX18" s="82"/>
      <c r="AY18" s="82"/>
      <c r="AZ18" s="82"/>
    </row>
    <row r="19" spans="1:52" ht="20.100000000000001" customHeight="1" x14ac:dyDescent="0.25">
      <c r="A19" s="82"/>
      <c r="B19" s="82"/>
      <c r="C19" s="82"/>
      <c r="D19" s="82"/>
      <c r="E19" s="82"/>
      <c r="F19" s="82"/>
      <c r="G19" s="82"/>
      <c r="H19" s="82"/>
      <c r="I19" s="82"/>
      <c r="J19" s="82"/>
      <c r="K19" s="82"/>
      <c r="L19" s="82"/>
      <c r="M19" s="82"/>
      <c r="N19" s="82"/>
      <c r="O19" s="82"/>
      <c r="P19" s="82"/>
      <c r="Q19" s="82"/>
      <c r="R19" s="82"/>
      <c r="S19" s="82"/>
      <c r="T19" s="82"/>
      <c r="U19" s="82"/>
      <c r="V19" s="82"/>
      <c r="W19" s="82"/>
      <c r="X19" s="82"/>
      <c r="Y19" s="82"/>
      <c r="Z19" s="82"/>
      <c r="AA19" s="82"/>
      <c r="AB19" s="82"/>
      <c r="AC19" s="82"/>
      <c r="AD19" s="82"/>
      <c r="AE19" s="82"/>
      <c r="AF19" s="82"/>
      <c r="AG19" s="82"/>
      <c r="AH19" s="82"/>
      <c r="AI19" s="82"/>
      <c r="AJ19" s="82"/>
      <c r="AK19" s="82"/>
      <c r="AL19" s="82"/>
      <c r="AM19" s="82"/>
      <c r="AN19" s="82"/>
      <c r="AO19" s="82"/>
      <c r="AP19" s="82"/>
      <c r="AQ19" s="82"/>
      <c r="AR19" s="82"/>
      <c r="AS19" s="82"/>
      <c r="AT19" s="82"/>
      <c r="AU19" s="82"/>
      <c r="AV19" s="82"/>
      <c r="AW19" s="82"/>
      <c r="AX19" s="82"/>
      <c r="AY19" s="82"/>
      <c r="AZ19" s="82"/>
    </row>
    <row r="20" spans="1:52" ht="20.100000000000001" customHeight="1" x14ac:dyDescent="0.25">
      <c r="A20" s="82"/>
      <c r="B20" s="82"/>
      <c r="C20" s="82"/>
      <c r="D20" s="82"/>
      <c r="E20" s="82"/>
      <c r="F20" s="82"/>
      <c r="G20" s="82"/>
      <c r="H20" s="82"/>
      <c r="I20" s="82"/>
      <c r="J20" s="82"/>
      <c r="K20" s="82"/>
      <c r="L20" s="82"/>
      <c r="M20" s="82"/>
      <c r="N20" s="82"/>
      <c r="O20" s="82"/>
      <c r="P20" s="82"/>
      <c r="Q20" s="82"/>
      <c r="R20" s="82"/>
      <c r="S20" s="82"/>
      <c r="T20" s="82"/>
      <c r="U20" s="82"/>
      <c r="V20" s="82"/>
      <c r="W20" s="82"/>
      <c r="X20" s="82"/>
      <c r="Y20" s="82"/>
      <c r="Z20" s="82"/>
      <c r="AA20" s="82"/>
      <c r="AB20" s="82"/>
      <c r="AC20" s="82"/>
      <c r="AD20" s="82"/>
      <c r="AE20" s="82"/>
      <c r="AF20" s="82"/>
      <c r="AG20" s="82"/>
      <c r="AH20" s="82"/>
      <c r="AI20" s="82"/>
      <c r="AJ20" s="82"/>
      <c r="AK20" s="82"/>
      <c r="AL20" s="82"/>
      <c r="AM20" s="82"/>
      <c r="AN20" s="82"/>
      <c r="AO20" s="82"/>
      <c r="AP20" s="82"/>
      <c r="AQ20" s="82"/>
      <c r="AR20" s="82"/>
      <c r="AS20" s="82"/>
      <c r="AT20" s="82"/>
      <c r="AU20" s="82"/>
      <c r="AV20" s="82"/>
      <c r="AW20" s="82"/>
      <c r="AX20" s="82"/>
      <c r="AY20" s="82"/>
      <c r="AZ20" s="82"/>
    </row>
    <row r="21" spans="1:52" ht="20.100000000000001" customHeight="1" x14ac:dyDescent="0.25">
      <c r="A21" s="82"/>
      <c r="B21" s="82"/>
      <c r="C21" s="82"/>
      <c r="D21" s="82"/>
      <c r="E21" s="82"/>
      <c r="F21" s="82"/>
      <c r="G21" s="82"/>
      <c r="H21" s="82"/>
      <c r="I21" s="82"/>
      <c r="J21" s="82"/>
      <c r="K21" s="82"/>
      <c r="L21" s="82"/>
      <c r="M21" s="82"/>
      <c r="N21" s="82"/>
      <c r="O21" s="82"/>
      <c r="P21" s="82"/>
      <c r="Q21" s="82"/>
      <c r="R21" s="82"/>
      <c r="S21" s="82"/>
      <c r="T21" s="82"/>
      <c r="U21" s="82"/>
      <c r="V21" s="82"/>
      <c r="W21" s="82"/>
      <c r="X21" s="82"/>
      <c r="Y21" s="82"/>
      <c r="Z21" s="82"/>
      <c r="AA21" s="82"/>
      <c r="AB21" s="82"/>
      <c r="AC21" s="82"/>
      <c r="AD21" s="82"/>
      <c r="AE21" s="82"/>
      <c r="AF21" s="82"/>
      <c r="AG21" s="82"/>
      <c r="AH21" s="82"/>
      <c r="AI21" s="82"/>
      <c r="AJ21" s="82"/>
      <c r="AK21" s="82"/>
      <c r="AL21" s="82"/>
      <c r="AM21" s="82"/>
      <c r="AN21" s="82"/>
      <c r="AO21" s="82"/>
      <c r="AP21" s="82"/>
      <c r="AQ21" s="82"/>
      <c r="AR21" s="82"/>
      <c r="AS21" s="82"/>
      <c r="AT21" s="82"/>
      <c r="AU21" s="82"/>
      <c r="AV21" s="82"/>
      <c r="AW21" s="82"/>
      <c r="AX21" s="82"/>
      <c r="AY21" s="82"/>
      <c r="AZ21" s="82"/>
    </row>
    <row r="22" spans="1:52" ht="20.100000000000001" customHeight="1" x14ac:dyDescent="0.25">
      <c r="A22" s="82"/>
      <c r="B22" s="82"/>
      <c r="C22" s="82"/>
      <c r="D22" s="82"/>
      <c r="E22" s="82"/>
      <c r="F22" s="82"/>
      <c r="G22" s="82"/>
      <c r="H22" s="82"/>
      <c r="I22" s="82"/>
      <c r="J22" s="82"/>
      <c r="K22" s="82"/>
      <c r="L22" s="82"/>
      <c r="M22" s="82"/>
      <c r="N22" s="82"/>
      <c r="O22" s="82"/>
      <c r="P22" s="82"/>
      <c r="Q22" s="82"/>
      <c r="R22" s="82"/>
      <c r="S22" s="82"/>
      <c r="T22" s="82"/>
      <c r="U22" s="82"/>
      <c r="V22" s="82"/>
      <c r="W22" s="82"/>
      <c r="X22" s="82"/>
      <c r="Y22" s="82"/>
      <c r="Z22" s="82"/>
      <c r="AA22" s="82"/>
      <c r="AB22" s="82"/>
      <c r="AC22" s="82"/>
      <c r="AD22" s="82"/>
      <c r="AE22" s="82"/>
      <c r="AF22" s="82"/>
      <c r="AG22" s="82"/>
      <c r="AH22" s="82"/>
      <c r="AI22" s="82"/>
      <c r="AJ22" s="82"/>
      <c r="AK22" s="82"/>
      <c r="AL22" s="82"/>
      <c r="AM22" s="82"/>
      <c r="AN22" s="82"/>
      <c r="AO22" s="82"/>
      <c r="AP22" s="82"/>
      <c r="AQ22" s="82"/>
      <c r="AR22" s="82"/>
      <c r="AS22" s="82"/>
      <c r="AT22" s="82"/>
      <c r="AU22" s="82"/>
      <c r="AV22" s="82"/>
      <c r="AW22" s="82"/>
      <c r="AX22" s="82"/>
      <c r="AY22" s="82"/>
      <c r="AZ22" s="82"/>
    </row>
    <row r="23" spans="1:52" ht="20.100000000000001" customHeight="1" x14ac:dyDescent="0.25">
      <c r="A23" s="82"/>
      <c r="B23" s="82"/>
      <c r="C23" s="82"/>
      <c r="D23" s="82"/>
      <c r="E23" s="82"/>
      <c r="F23" s="82"/>
      <c r="G23" s="82"/>
      <c r="H23" s="82"/>
      <c r="I23" s="82"/>
      <c r="J23" s="82"/>
      <c r="K23" s="82"/>
      <c r="L23" s="82"/>
      <c r="M23" s="82"/>
      <c r="N23" s="82"/>
      <c r="O23" s="82"/>
      <c r="P23" s="82"/>
      <c r="Q23" s="82"/>
      <c r="R23" s="82"/>
      <c r="S23" s="8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c r="AX23" s="82"/>
      <c r="AY23" s="82"/>
      <c r="AZ23" s="82"/>
    </row>
    <row r="24" spans="1:52" ht="20.100000000000001" customHeight="1" x14ac:dyDescent="0.25">
      <c r="A24" s="82"/>
      <c r="B24" s="82"/>
      <c r="C24" s="82"/>
      <c r="D24" s="82"/>
      <c r="E24" s="82"/>
      <c r="F24" s="82"/>
      <c r="G24" s="82"/>
      <c r="H24" s="82"/>
      <c r="I24" s="82"/>
      <c r="J24" s="82"/>
      <c r="K24" s="82"/>
      <c r="L24" s="82"/>
      <c r="M24" s="82"/>
      <c r="N24" s="82"/>
      <c r="O24" s="82"/>
      <c r="P24" s="82"/>
      <c r="Q24" s="82"/>
      <c r="R24" s="82"/>
      <c r="S24" s="82"/>
      <c r="T24" s="82"/>
      <c r="U24" s="82"/>
      <c r="V24" s="82"/>
      <c r="W24" s="82"/>
      <c r="X24" s="82"/>
      <c r="Y24" s="82"/>
      <c r="Z24" s="82"/>
      <c r="AA24" s="82"/>
      <c r="AB24" s="82"/>
      <c r="AC24" s="82"/>
      <c r="AD24" s="82"/>
      <c r="AE24" s="82"/>
      <c r="AF24" s="82"/>
      <c r="AG24" s="82"/>
      <c r="AH24" s="82"/>
      <c r="AI24" s="82"/>
      <c r="AJ24" s="82"/>
      <c r="AK24" s="82"/>
      <c r="AL24" s="82"/>
      <c r="AM24" s="82"/>
      <c r="AN24" s="82"/>
      <c r="AO24" s="82"/>
      <c r="AP24" s="82"/>
      <c r="AQ24" s="82"/>
      <c r="AR24" s="82"/>
      <c r="AS24" s="82"/>
      <c r="AT24" s="82"/>
      <c r="AU24" s="82"/>
      <c r="AV24" s="82"/>
      <c r="AW24" s="82"/>
      <c r="AX24" s="82"/>
      <c r="AY24" s="82"/>
      <c r="AZ24" s="82"/>
    </row>
    <row r="25" spans="1:52" x14ac:dyDescent="0.25">
      <c r="A25" s="82"/>
      <c r="B25" s="82"/>
      <c r="C25" s="82"/>
      <c r="D25" s="82"/>
      <c r="E25" s="82"/>
      <c r="F25" s="82"/>
      <c r="G25" s="82"/>
      <c r="H25" s="82"/>
      <c r="I25" s="82"/>
      <c r="J25" s="82"/>
      <c r="K25" s="82"/>
      <c r="L25" s="82"/>
      <c r="M25" s="82"/>
      <c r="N25" s="82"/>
      <c r="O25" s="82"/>
      <c r="P25" s="82"/>
      <c r="Q25" s="82"/>
      <c r="R25" s="82"/>
      <c r="S25" s="8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c r="AX25" s="82"/>
      <c r="AY25" s="82"/>
      <c r="AZ25" s="82"/>
    </row>
    <row r="26" spans="1:52" x14ac:dyDescent="0.25">
      <c r="A26" s="82"/>
      <c r="B26" s="82"/>
      <c r="C26" s="82"/>
      <c r="D26" s="82"/>
      <c r="E26" s="82"/>
      <c r="F26" s="82"/>
      <c r="G26" s="82"/>
      <c r="H26" s="82"/>
      <c r="I26" s="82"/>
      <c r="J26" s="82"/>
      <c r="K26" s="82"/>
      <c r="L26" s="82"/>
      <c r="M26" s="82"/>
      <c r="N26" s="82"/>
      <c r="O26" s="82"/>
      <c r="P26" s="82"/>
      <c r="Q26" s="82"/>
      <c r="R26" s="82"/>
      <c r="S26" s="82"/>
      <c r="T26" s="82"/>
      <c r="U26" s="82"/>
      <c r="V26" s="82"/>
      <c r="W26" s="82"/>
      <c r="X26" s="82"/>
      <c r="Y26" s="82"/>
      <c r="Z26" s="82"/>
      <c r="AA26" s="82"/>
      <c r="AB26" s="82"/>
      <c r="AC26" s="82"/>
      <c r="AD26" s="82"/>
      <c r="AE26" s="82"/>
      <c r="AF26" s="82"/>
      <c r="AG26" s="82"/>
      <c r="AH26" s="82"/>
      <c r="AI26" s="82"/>
      <c r="AJ26" s="82"/>
      <c r="AK26" s="82"/>
      <c r="AL26" s="82"/>
      <c r="AM26" s="82"/>
      <c r="AN26" s="82"/>
      <c r="AO26" s="82"/>
      <c r="AP26" s="82"/>
      <c r="AQ26" s="82"/>
      <c r="AR26" s="82"/>
      <c r="AS26" s="82"/>
      <c r="AT26" s="82"/>
      <c r="AU26" s="82"/>
      <c r="AV26" s="82"/>
      <c r="AW26" s="82"/>
      <c r="AX26" s="82"/>
      <c r="AY26" s="82"/>
      <c r="AZ26" s="82"/>
    </row>
    <row r="27" spans="1:52" x14ac:dyDescent="0.25">
      <c r="A27" s="82"/>
      <c r="B27" s="82"/>
      <c r="C27" s="82"/>
      <c r="D27" s="82"/>
      <c r="E27" s="82"/>
      <c r="F27" s="82"/>
      <c r="G27" s="82"/>
      <c r="H27" s="82"/>
      <c r="I27" s="82"/>
      <c r="J27" s="82"/>
      <c r="K27" s="82"/>
      <c r="L27" s="82"/>
      <c r="M27" s="82"/>
      <c r="N27" s="82"/>
      <c r="O27" s="82"/>
      <c r="P27" s="82"/>
      <c r="Q27" s="82"/>
      <c r="R27" s="82"/>
      <c r="S27" s="82"/>
      <c r="T27" s="82"/>
      <c r="U27" s="82"/>
      <c r="V27" s="82"/>
      <c r="W27" s="82"/>
      <c r="X27" s="82"/>
      <c r="Y27" s="82"/>
      <c r="Z27" s="82"/>
      <c r="AA27" s="82"/>
      <c r="AB27" s="82"/>
      <c r="AC27" s="82"/>
      <c r="AD27" s="82"/>
      <c r="AE27" s="82"/>
      <c r="AF27" s="82"/>
      <c r="AG27" s="82"/>
      <c r="AH27" s="82"/>
      <c r="AI27" s="82"/>
      <c r="AJ27" s="82"/>
      <c r="AK27" s="82"/>
      <c r="AL27" s="82"/>
      <c r="AM27" s="82"/>
      <c r="AN27" s="82"/>
      <c r="AO27" s="82"/>
      <c r="AP27" s="82"/>
      <c r="AQ27" s="82"/>
      <c r="AR27" s="82"/>
      <c r="AS27" s="82"/>
      <c r="AT27" s="82"/>
      <c r="AU27" s="82"/>
      <c r="AV27" s="82"/>
      <c r="AW27" s="82"/>
      <c r="AX27" s="82"/>
      <c r="AY27" s="82"/>
      <c r="AZ27" s="82"/>
    </row>
    <row r="28" spans="1:52" x14ac:dyDescent="0.25">
      <c r="A28" s="82"/>
      <c r="B28" s="82"/>
      <c r="C28" s="82"/>
      <c r="D28" s="82"/>
      <c r="E28" s="82"/>
      <c r="F28" s="82"/>
      <c r="G28" s="82"/>
      <c r="H28" s="82"/>
      <c r="I28" s="82"/>
      <c r="J28" s="82"/>
      <c r="K28" s="82"/>
      <c r="L28" s="82"/>
      <c r="M28" s="82"/>
      <c r="N28" s="82"/>
      <c r="O28" s="82"/>
      <c r="P28" s="82"/>
      <c r="Q28" s="82"/>
      <c r="R28" s="82"/>
      <c r="S28" s="82"/>
      <c r="T28" s="82"/>
      <c r="U28" s="82"/>
      <c r="V28" s="82"/>
      <c r="W28" s="82"/>
      <c r="X28" s="82"/>
      <c r="Y28" s="82"/>
      <c r="Z28" s="82"/>
      <c r="AA28" s="82"/>
      <c r="AB28" s="82"/>
      <c r="AC28" s="82"/>
      <c r="AD28" s="82"/>
      <c r="AE28" s="82"/>
      <c r="AF28" s="82"/>
      <c r="AG28" s="82"/>
      <c r="AH28" s="82"/>
      <c r="AI28" s="82"/>
      <c r="AJ28" s="82"/>
      <c r="AK28" s="82"/>
      <c r="AL28" s="82"/>
      <c r="AM28" s="82"/>
      <c r="AN28" s="82"/>
      <c r="AO28" s="82"/>
      <c r="AP28" s="82"/>
      <c r="AQ28" s="82"/>
      <c r="AR28" s="82"/>
      <c r="AS28" s="82"/>
      <c r="AT28" s="82"/>
      <c r="AU28" s="82"/>
      <c r="AV28" s="82"/>
      <c r="AW28" s="82"/>
      <c r="AX28" s="82"/>
      <c r="AY28" s="82"/>
      <c r="AZ28" s="82"/>
    </row>
    <row r="29" spans="1:52" x14ac:dyDescent="0.25">
      <c r="A29" s="82"/>
      <c r="B29" s="82"/>
      <c r="C29" s="82"/>
      <c r="D29" s="82"/>
      <c r="E29" s="82"/>
      <c r="F29" s="8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c r="AV29" s="82"/>
      <c r="AW29" s="82"/>
      <c r="AX29" s="82"/>
      <c r="AY29" s="82"/>
      <c r="AZ29" s="82"/>
    </row>
    <row r="30" spans="1:52" x14ac:dyDescent="0.25">
      <c r="A30" s="82"/>
      <c r="B30" s="82"/>
      <c r="C30" s="82"/>
      <c r="D30" s="82"/>
      <c r="E30" s="82"/>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c r="AV30" s="82"/>
      <c r="AW30" s="82"/>
      <c r="AX30" s="82"/>
      <c r="AY30" s="82"/>
      <c r="AZ30" s="82"/>
    </row>
    <row r="31" spans="1:52" x14ac:dyDescent="0.25">
      <c r="A31" s="82"/>
      <c r="B31" s="82"/>
      <c r="C31" s="82"/>
      <c r="D31" s="82"/>
      <c r="E31" s="82"/>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c r="AV31" s="82"/>
      <c r="AW31" s="82"/>
      <c r="AX31" s="82"/>
      <c r="AY31" s="82"/>
      <c r="AZ31" s="82"/>
    </row>
    <row r="32" spans="1:52" x14ac:dyDescent="0.25">
      <c r="A32" s="82"/>
      <c r="B32" s="82"/>
      <c r="C32" s="82"/>
      <c r="D32" s="82"/>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c r="AV32" s="82"/>
      <c r="AW32" s="82"/>
      <c r="AX32" s="82"/>
      <c r="AY32" s="82"/>
      <c r="AZ32" s="82"/>
    </row>
    <row r="33" spans="1:52" x14ac:dyDescent="0.25">
      <c r="A33" s="82"/>
      <c r="B33" s="82"/>
      <c r="C33" s="82"/>
      <c r="D33" s="82"/>
      <c r="E33" s="82"/>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c r="AV33" s="82"/>
      <c r="AW33" s="82"/>
      <c r="AX33" s="82"/>
      <c r="AY33" s="82"/>
      <c r="AZ33" s="82"/>
    </row>
    <row r="34" spans="1:52" x14ac:dyDescent="0.25">
      <c r="A34" s="82"/>
      <c r="B34" s="82"/>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c r="AV34" s="82"/>
      <c r="AW34" s="82"/>
      <c r="AX34" s="82"/>
      <c r="AY34" s="82"/>
      <c r="AZ34" s="82"/>
    </row>
    <row r="35" spans="1:52" x14ac:dyDescent="0.25">
      <c r="A35" s="82"/>
      <c r="B35" s="82"/>
      <c r="C35" s="82"/>
      <c r="D35" s="82"/>
      <c r="E35" s="82"/>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c r="AV35" s="82"/>
      <c r="AW35" s="82"/>
      <c r="AX35" s="82"/>
      <c r="AY35" s="82"/>
      <c r="AZ35" s="82"/>
    </row>
    <row r="36" spans="1:52" x14ac:dyDescent="0.25">
      <c r="A36" s="82"/>
      <c r="B36" s="82"/>
      <c r="C36" s="82"/>
      <c r="D36" s="82"/>
      <c r="E36" s="82"/>
      <c r="F36" s="8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c r="AV36" s="82"/>
      <c r="AW36" s="82"/>
      <c r="AX36" s="82"/>
      <c r="AY36" s="82"/>
      <c r="AZ36" s="82"/>
    </row>
    <row r="37" spans="1:52" x14ac:dyDescent="0.25">
      <c r="A37" s="82"/>
      <c r="B37" s="82"/>
      <c r="C37" s="82"/>
      <c r="D37" s="82"/>
      <c r="E37" s="82"/>
      <c r="F37" s="8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c r="AV37" s="82"/>
      <c r="AW37" s="82"/>
      <c r="AX37" s="82"/>
      <c r="AY37" s="82"/>
      <c r="AZ37" s="82"/>
    </row>
    <row r="38" spans="1:52" x14ac:dyDescent="0.25">
      <c r="A38" s="82"/>
      <c r="B38" s="82"/>
      <c r="C38" s="82"/>
      <c r="D38" s="82"/>
      <c r="E38" s="82"/>
      <c r="F38" s="8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c r="AV38" s="82"/>
      <c r="AW38" s="82"/>
      <c r="AX38" s="82"/>
      <c r="AY38" s="82"/>
      <c r="AZ38" s="82"/>
    </row>
    <row r="39" spans="1:52" x14ac:dyDescent="0.25">
      <c r="A39" s="82"/>
      <c r="B39" s="82"/>
      <c r="C39" s="82"/>
      <c r="D39" s="82"/>
      <c r="E39" s="82"/>
      <c r="F39" s="8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c r="AV39" s="82"/>
      <c r="AW39" s="82"/>
      <c r="AX39" s="82"/>
      <c r="AY39" s="82"/>
      <c r="AZ39" s="82"/>
    </row>
    <row r="40" spans="1:52" x14ac:dyDescent="0.25">
      <c r="A40" s="82"/>
      <c r="B40" s="82"/>
      <c r="C40" s="82"/>
      <c r="D40" s="82"/>
      <c r="E40" s="82"/>
      <c r="F40" s="8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c r="AV40" s="82"/>
      <c r="AW40" s="82"/>
      <c r="AX40" s="82"/>
      <c r="AY40" s="82"/>
      <c r="AZ40" s="82"/>
    </row>
    <row r="41" spans="1:52" x14ac:dyDescent="0.25">
      <c r="A41" s="82"/>
      <c r="B41" s="82"/>
      <c r="C41" s="82"/>
      <c r="D41" s="82"/>
      <c r="E41" s="82"/>
      <c r="F41" s="8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c r="AV41" s="82"/>
      <c r="AW41" s="82"/>
      <c r="AX41" s="82"/>
      <c r="AY41" s="82"/>
      <c r="AZ41" s="82"/>
    </row>
    <row r="42" spans="1:52" x14ac:dyDescent="0.25">
      <c r="A42" s="82"/>
      <c r="B42" s="82"/>
      <c r="C42" s="82"/>
      <c r="D42" s="82"/>
      <c r="E42" s="82"/>
      <c r="F42" s="8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c r="AV42" s="82"/>
      <c r="AW42" s="82"/>
      <c r="AX42" s="82"/>
      <c r="AY42" s="82"/>
      <c r="AZ42" s="82"/>
    </row>
    <row r="43" spans="1:52" x14ac:dyDescent="0.25">
      <c r="A43" s="82"/>
      <c r="B43" s="82"/>
      <c r="C43" s="82"/>
      <c r="D43" s="82"/>
      <c r="E43" s="82"/>
      <c r="F43" s="8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c r="AV43" s="82"/>
      <c r="AW43" s="82"/>
      <c r="AX43" s="82"/>
      <c r="AY43" s="82"/>
      <c r="AZ43" s="82"/>
    </row>
    <row r="44" spans="1:52" x14ac:dyDescent="0.25">
      <c r="A44" s="82"/>
      <c r="B44" s="82"/>
      <c r="C44" s="82"/>
      <c r="D44" s="82"/>
      <c r="E44" s="82"/>
      <c r="F44" s="8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c r="AV44" s="82"/>
      <c r="AW44" s="82"/>
      <c r="AX44" s="82"/>
      <c r="AY44" s="82"/>
      <c r="AZ44" s="82"/>
    </row>
    <row r="45" spans="1:52" x14ac:dyDescent="0.25">
      <c r="A45" s="82"/>
      <c r="B45" s="82"/>
      <c r="C45" s="82"/>
      <c r="D45" s="82"/>
      <c r="E45" s="82"/>
      <c r="F45" s="8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c r="AV45" s="82"/>
      <c r="AW45" s="82"/>
      <c r="AX45" s="82"/>
      <c r="AY45" s="82"/>
      <c r="AZ45" s="82"/>
    </row>
    <row r="46" spans="1:52" x14ac:dyDescent="0.25">
      <c r="A46" s="82"/>
      <c r="B46" s="82"/>
      <c r="C46" s="82"/>
      <c r="D46" s="82"/>
      <c r="E46" s="82"/>
      <c r="F46" s="8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c r="AV46" s="82"/>
      <c r="AW46" s="82"/>
      <c r="AX46" s="82"/>
      <c r="AY46" s="82"/>
      <c r="AZ46" s="82"/>
    </row>
    <row r="47" spans="1:52" x14ac:dyDescent="0.25">
      <c r="A47" s="82"/>
      <c r="B47" s="82"/>
      <c r="C47" s="82"/>
      <c r="D47" s="82"/>
      <c r="E47" s="82"/>
      <c r="F47" s="8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c r="AV47" s="82"/>
      <c r="AW47" s="82"/>
      <c r="AX47" s="82"/>
      <c r="AY47" s="82"/>
      <c r="AZ47" s="82"/>
    </row>
    <row r="48" spans="1:52" x14ac:dyDescent="0.25">
      <c r="A48" s="82"/>
      <c r="B48" s="82"/>
      <c r="C48" s="82"/>
      <c r="D48" s="82"/>
      <c r="E48" s="82"/>
      <c r="F48" s="8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c r="AV48" s="82"/>
      <c r="AW48" s="82"/>
      <c r="AX48" s="82"/>
      <c r="AY48" s="82"/>
      <c r="AZ48" s="82"/>
    </row>
    <row r="49" spans="1:52" x14ac:dyDescent="0.25">
      <c r="A49" s="82"/>
      <c r="B49" s="82"/>
      <c r="C49" s="82"/>
      <c r="D49" s="82"/>
      <c r="E49" s="82"/>
      <c r="F49" s="8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c r="AV49" s="82"/>
      <c r="AW49" s="82"/>
      <c r="AX49" s="82"/>
      <c r="AY49" s="82"/>
      <c r="AZ49" s="82"/>
    </row>
    <row r="50" spans="1:52" x14ac:dyDescent="0.25">
      <c r="A50" s="82"/>
      <c r="B50" s="82"/>
      <c r="C50" s="82"/>
      <c r="D50" s="82"/>
      <c r="E50" s="82"/>
      <c r="F50" s="8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c r="AV50" s="82"/>
      <c r="AW50" s="82"/>
      <c r="AX50" s="82"/>
      <c r="AY50" s="82"/>
      <c r="AZ50" s="82"/>
    </row>
    <row r="51" spans="1:52" x14ac:dyDescent="0.25">
      <c r="A51" s="82"/>
      <c r="B51" s="82"/>
      <c r="C51" s="82"/>
      <c r="D51" s="82"/>
      <c r="E51" s="82"/>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c r="AY51" s="82"/>
      <c r="AZ51" s="82"/>
    </row>
    <row r="52" spans="1:52" x14ac:dyDescent="0.25">
      <c r="A52" s="82"/>
      <c r="B52" s="82"/>
      <c r="C52" s="82"/>
      <c r="D52" s="82"/>
      <c r="E52" s="82"/>
      <c r="F52" s="8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c r="AV52" s="82"/>
      <c r="AW52" s="82"/>
      <c r="AX52" s="82"/>
      <c r="AY52" s="82"/>
      <c r="AZ52" s="82"/>
    </row>
    <row r="53" spans="1:52" x14ac:dyDescent="0.25">
      <c r="A53" s="82"/>
      <c r="B53" s="82"/>
      <c r="C53" s="82"/>
      <c r="D53" s="82"/>
      <c r="E53" s="82"/>
      <c r="F53" s="8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c r="AV53" s="82"/>
      <c r="AW53" s="82"/>
      <c r="AX53" s="82"/>
      <c r="AY53" s="82"/>
      <c r="AZ53" s="82"/>
    </row>
    <row r="54" spans="1:52" x14ac:dyDescent="0.25">
      <c r="A54" s="82"/>
      <c r="B54" s="82"/>
      <c r="C54" s="82"/>
      <c r="D54" s="82"/>
      <c r="E54" s="82"/>
      <c r="F54" s="8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c r="AV54" s="82"/>
      <c r="AW54" s="82"/>
      <c r="AX54" s="82"/>
      <c r="AY54" s="82"/>
      <c r="AZ54" s="82"/>
    </row>
    <row r="55" spans="1:52" x14ac:dyDescent="0.25">
      <c r="A55" s="82"/>
      <c r="B55" s="82"/>
      <c r="C55" s="82"/>
      <c r="D55" s="82"/>
      <c r="E55" s="82"/>
      <c r="F55" s="8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c r="AV55" s="82"/>
      <c r="AW55" s="82"/>
      <c r="AX55" s="82"/>
      <c r="AY55" s="82"/>
      <c r="AZ55" s="82"/>
    </row>
    <row r="56" spans="1:52" x14ac:dyDescent="0.25">
      <c r="A56" s="82"/>
      <c r="B56" s="82"/>
      <c r="C56" s="82"/>
      <c r="D56" s="82"/>
      <c r="E56" s="82"/>
      <c r="F56" s="8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c r="AV56" s="82"/>
      <c r="AW56" s="82"/>
      <c r="AX56" s="82"/>
      <c r="AY56" s="82"/>
      <c r="AZ56" s="82"/>
    </row>
    <row r="57" spans="1:52" x14ac:dyDescent="0.25">
      <c r="A57" s="82"/>
      <c r="B57" s="82"/>
      <c r="C57" s="82"/>
      <c r="D57" s="82"/>
      <c r="E57" s="82"/>
      <c r="F57" s="8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c r="AV57" s="82"/>
      <c r="AW57" s="82"/>
      <c r="AX57" s="82"/>
      <c r="AY57" s="82"/>
      <c r="AZ57" s="82"/>
    </row>
    <row r="58" spans="1:52" x14ac:dyDescent="0.25">
      <c r="A58" s="82"/>
      <c r="B58" s="82"/>
      <c r="C58" s="82"/>
      <c r="D58" s="82"/>
      <c r="E58" s="82"/>
      <c r="F58" s="8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c r="AV58" s="82"/>
      <c r="AW58" s="82"/>
      <c r="AX58" s="82"/>
      <c r="AY58" s="82"/>
      <c r="AZ58" s="82"/>
    </row>
    <row r="59" spans="1:52" x14ac:dyDescent="0.25">
      <c r="A59" s="82"/>
      <c r="B59" s="82"/>
      <c r="C59" s="82"/>
      <c r="D59" s="82"/>
      <c r="E59" s="82"/>
      <c r="F59" s="8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c r="AV59" s="82"/>
      <c r="AW59" s="82"/>
      <c r="AX59" s="82"/>
      <c r="AY59" s="82"/>
      <c r="AZ59" s="82"/>
    </row>
    <row r="60" spans="1:52" x14ac:dyDescent="0.25">
      <c r="A60" s="82"/>
      <c r="B60" s="82"/>
      <c r="C60" s="82"/>
      <c r="D60" s="82"/>
      <c r="E60" s="82"/>
      <c r="F60" s="8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c r="AV60" s="82"/>
      <c r="AW60" s="82"/>
      <c r="AX60" s="82"/>
      <c r="AY60" s="82"/>
      <c r="AZ60" s="82"/>
    </row>
    <row r="61" spans="1:52" x14ac:dyDescent="0.25">
      <c r="A61" s="82"/>
      <c r="B61" s="82"/>
      <c r="C61" s="82"/>
      <c r="D61" s="82"/>
      <c r="E61" s="82"/>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c r="AV61" s="82"/>
      <c r="AW61" s="82"/>
      <c r="AX61" s="82"/>
      <c r="AY61" s="82"/>
      <c r="AZ61" s="82"/>
    </row>
    <row r="62" spans="1:52" x14ac:dyDescent="0.25">
      <c r="A62" s="82"/>
      <c r="B62" s="82"/>
      <c r="C62" s="82"/>
      <c r="D62" s="82"/>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c r="AV62" s="82"/>
      <c r="AW62" s="82"/>
      <c r="AX62" s="82"/>
      <c r="AY62" s="82"/>
      <c r="AZ62" s="82"/>
    </row>
    <row r="63" spans="1:52" x14ac:dyDescent="0.25">
      <c r="A63" s="82"/>
      <c r="B63" s="82"/>
      <c r="C63" s="82"/>
      <c r="D63" s="82"/>
      <c r="E63" s="82"/>
      <c r="F63" s="8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c r="AV63" s="82"/>
      <c r="AW63" s="82"/>
      <c r="AX63" s="82"/>
      <c r="AY63" s="82"/>
      <c r="AZ63" s="82"/>
    </row>
    <row r="64" spans="1:52" x14ac:dyDescent="0.25">
      <c r="A64" s="82"/>
      <c r="B64" s="82"/>
      <c r="C64" s="82"/>
      <c r="D64" s="82"/>
      <c r="E64" s="82"/>
      <c r="F64" s="8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c r="AV64" s="82"/>
      <c r="AW64" s="82"/>
      <c r="AX64" s="82"/>
      <c r="AY64" s="82"/>
      <c r="AZ64" s="82"/>
    </row>
    <row r="65" spans="1:52" x14ac:dyDescent="0.25">
      <c r="A65" s="82"/>
      <c r="B65" s="82"/>
      <c r="C65" s="82"/>
      <c r="D65" s="82"/>
      <c r="E65" s="82"/>
      <c r="F65" s="8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c r="AV65" s="82"/>
      <c r="AW65" s="82"/>
      <c r="AX65" s="82"/>
      <c r="AY65" s="82"/>
      <c r="AZ65" s="82"/>
    </row>
    <row r="66" spans="1:52" x14ac:dyDescent="0.25">
      <c r="A66" s="82"/>
      <c r="B66" s="82"/>
      <c r="C66" s="82"/>
      <c r="D66" s="82"/>
      <c r="E66" s="82"/>
      <c r="F66" s="8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c r="AV66" s="82"/>
      <c r="AW66" s="82"/>
      <c r="AX66" s="82"/>
      <c r="AY66" s="82"/>
      <c r="AZ66" s="82"/>
    </row>
    <row r="67" spans="1:52" x14ac:dyDescent="0.25">
      <c r="A67" s="82"/>
      <c r="B67" s="82"/>
      <c r="C67" s="82"/>
      <c r="D67" s="82"/>
      <c r="E67" s="82"/>
      <c r="F67" s="82"/>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c r="AV67" s="82"/>
      <c r="AW67" s="82"/>
      <c r="AX67" s="82"/>
      <c r="AY67" s="82"/>
      <c r="AZ67" s="82"/>
    </row>
    <row r="68" spans="1:52" x14ac:dyDescent="0.25">
      <c r="A68" s="82"/>
      <c r="B68" s="82"/>
      <c r="C68" s="82"/>
      <c r="D68" s="82"/>
      <c r="E68" s="82"/>
      <c r="F68" s="82"/>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c r="AV68" s="82"/>
      <c r="AW68" s="82"/>
      <c r="AX68" s="82"/>
      <c r="AY68" s="82"/>
      <c r="AZ68" s="82"/>
    </row>
    <row r="69" spans="1:52" x14ac:dyDescent="0.25">
      <c r="A69" s="82"/>
      <c r="B69" s="82"/>
      <c r="C69" s="82"/>
      <c r="D69" s="82"/>
      <c r="E69" s="82"/>
      <c r="F69" s="82"/>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c r="AV69" s="82"/>
      <c r="AW69" s="82"/>
      <c r="AX69" s="82"/>
      <c r="AY69" s="82"/>
      <c r="AZ69" s="82"/>
    </row>
    <row r="70" spans="1:52" x14ac:dyDescent="0.25">
      <c r="A70" s="82"/>
      <c r="B70" s="82"/>
      <c r="C70" s="82"/>
      <c r="D70" s="82"/>
      <c r="E70" s="82"/>
      <c r="F70" s="82"/>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c r="AV70" s="82"/>
      <c r="AW70" s="82"/>
      <c r="AX70" s="82"/>
      <c r="AY70" s="82"/>
      <c r="AZ70" s="82"/>
    </row>
    <row r="71" spans="1:52" x14ac:dyDescent="0.25">
      <c r="A71" s="82"/>
      <c r="B71" s="82"/>
      <c r="C71" s="82"/>
      <c r="D71" s="82"/>
      <c r="E71" s="82"/>
      <c r="F71" s="82"/>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c r="AV71" s="82"/>
      <c r="AW71" s="82"/>
      <c r="AX71" s="82"/>
      <c r="AY71" s="82"/>
      <c r="AZ71" s="82"/>
    </row>
    <row r="72" spans="1:52" x14ac:dyDescent="0.25">
      <c r="A72" s="82"/>
      <c r="B72" s="82"/>
      <c r="C72" s="82"/>
      <c r="D72" s="82"/>
      <c r="E72" s="82"/>
      <c r="F72" s="82"/>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c r="AV72" s="82"/>
      <c r="AW72" s="82"/>
      <c r="AX72" s="82"/>
      <c r="AY72" s="82"/>
      <c r="AZ72" s="82"/>
    </row>
    <row r="73" spans="1:52" x14ac:dyDescent="0.25">
      <c r="A73" s="82"/>
      <c r="B73" s="82"/>
      <c r="C73" s="82"/>
      <c r="D73" s="82"/>
      <c r="E73" s="82"/>
      <c r="F73" s="82"/>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c r="AV73" s="82"/>
      <c r="AW73" s="82"/>
      <c r="AX73" s="82"/>
      <c r="AY73" s="82"/>
      <c r="AZ73" s="82"/>
    </row>
    <row r="74" spans="1:52" x14ac:dyDescent="0.25">
      <c r="A74" s="82"/>
      <c r="B74" s="82"/>
      <c r="C74" s="82"/>
      <c r="D74" s="82"/>
      <c r="E74" s="82"/>
      <c r="F74" s="82"/>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c r="AV74" s="82"/>
      <c r="AW74" s="82"/>
      <c r="AX74" s="82"/>
      <c r="AY74" s="82"/>
      <c r="AZ74" s="82"/>
    </row>
    <row r="75" spans="1:52" x14ac:dyDescent="0.25">
      <c r="A75" s="82"/>
      <c r="B75" s="82"/>
      <c r="C75" s="82"/>
      <c r="D75" s="82"/>
      <c r="E75" s="82"/>
      <c r="F75" s="8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c r="AV75" s="82"/>
      <c r="AW75" s="82"/>
      <c r="AX75" s="82"/>
      <c r="AY75" s="82"/>
      <c r="AZ75" s="82"/>
    </row>
    <row r="76" spans="1:52" x14ac:dyDescent="0.25">
      <c r="A76" s="82"/>
      <c r="B76" s="82"/>
      <c r="C76" s="82"/>
      <c r="D76" s="82"/>
      <c r="E76" s="82"/>
      <c r="F76" s="8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c r="AV76" s="82"/>
      <c r="AW76" s="82"/>
      <c r="AX76" s="82"/>
      <c r="AY76" s="82"/>
      <c r="AZ76" s="82"/>
    </row>
    <row r="77" spans="1:52" x14ac:dyDescent="0.25">
      <c r="A77" s="82"/>
      <c r="B77" s="82"/>
      <c r="C77" s="82"/>
      <c r="D77" s="82"/>
      <c r="E77" s="82"/>
      <c r="F77" s="8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c r="AV77" s="82"/>
      <c r="AW77" s="82"/>
      <c r="AX77" s="82"/>
      <c r="AY77" s="82"/>
      <c r="AZ77" s="82"/>
    </row>
    <row r="78" spans="1:52" x14ac:dyDescent="0.25">
      <c r="A78" s="82"/>
      <c r="B78" s="82"/>
      <c r="C78" s="82"/>
      <c r="D78" s="82"/>
      <c r="E78" s="82"/>
      <c r="F78" s="8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c r="AV78" s="82"/>
      <c r="AW78" s="82"/>
      <c r="AX78" s="82"/>
      <c r="AY78" s="82"/>
      <c r="AZ78" s="82"/>
    </row>
    <row r="79" spans="1:52" x14ac:dyDescent="0.25">
      <c r="A79" s="82"/>
      <c r="B79" s="82"/>
      <c r="C79" s="82"/>
      <c r="D79" s="82"/>
      <c r="E79" s="82"/>
      <c r="F79" s="8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c r="AV79" s="82"/>
      <c r="AW79" s="82"/>
      <c r="AX79" s="82"/>
      <c r="AY79" s="82"/>
      <c r="AZ79" s="82"/>
    </row>
    <row r="80" spans="1:52" x14ac:dyDescent="0.25">
      <c r="A80" s="82"/>
      <c r="B80" s="82"/>
      <c r="C80" s="82"/>
      <c r="D80" s="82"/>
      <c r="E80" s="82"/>
      <c r="F80" s="8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c r="AV80" s="82"/>
      <c r="AW80" s="82"/>
      <c r="AX80" s="82"/>
      <c r="AY80" s="82"/>
      <c r="AZ80" s="82"/>
    </row>
    <row r="81" spans="1:52" x14ac:dyDescent="0.25">
      <c r="A81" s="82"/>
      <c r="B81" s="82"/>
      <c r="C81" s="82"/>
      <c r="D81" s="82"/>
      <c r="E81" s="82"/>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c r="AV81" s="82"/>
      <c r="AW81" s="82"/>
      <c r="AX81" s="82"/>
      <c r="AY81" s="82"/>
      <c r="AZ81" s="82"/>
    </row>
    <row r="82" spans="1:52" x14ac:dyDescent="0.25">
      <c r="A82" s="82"/>
      <c r="B82" s="82"/>
      <c r="C82" s="82"/>
      <c r="D82" s="82"/>
      <c r="E82" s="82"/>
      <c r="F82" s="82"/>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c r="AV82" s="82"/>
      <c r="AW82" s="82"/>
      <c r="AX82" s="82"/>
      <c r="AY82" s="82"/>
      <c r="AZ82" s="82"/>
    </row>
    <row r="83" spans="1:52" x14ac:dyDescent="0.25">
      <c r="A83" s="82"/>
      <c r="B83" s="82"/>
      <c r="C83" s="82"/>
      <c r="D83" s="82"/>
      <c r="E83" s="82"/>
      <c r="F83" s="82"/>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c r="AV83" s="82"/>
      <c r="AW83" s="82"/>
      <c r="AX83" s="82"/>
      <c r="AY83" s="82"/>
      <c r="AZ83" s="82"/>
    </row>
    <row r="84" spans="1:52" x14ac:dyDescent="0.25">
      <c r="A84" s="82"/>
      <c r="B84" s="82"/>
      <c r="C84" s="82"/>
      <c r="D84" s="82"/>
      <c r="E84" s="82"/>
      <c r="F84" s="82"/>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c r="AV84" s="82"/>
      <c r="AW84" s="82"/>
      <c r="AX84" s="82"/>
      <c r="AY84" s="82"/>
      <c r="AZ84" s="82"/>
    </row>
    <row r="85" spans="1:52" x14ac:dyDescent="0.25">
      <c r="A85" s="82"/>
      <c r="B85" s="82"/>
      <c r="C85" s="82"/>
      <c r="D85" s="82"/>
      <c r="E85" s="82"/>
      <c r="F85" s="82"/>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c r="AV85" s="82"/>
      <c r="AW85" s="82"/>
      <c r="AX85" s="82"/>
      <c r="AY85" s="82"/>
      <c r="AZ85" s="82"/>
    </row>
    <row r="86" spans="1:52" x14ac:dyDescent="0.25">
      <c r="A86" s="82"/>
      <c r="B86" s="82"/>
      <c r="C86" s="82"/>
      <c r="D86" s="82"/>
      <c r="E86" s="82"/>
      <c r="F86" s="82"/>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c r="AV86" s="82"/>
      <c r="AW86" s="82"/>
      <c r="AX86" s="82"/>
      <c r="AY86" s="82"/>
      <c r="AZ86" s="82"/>
    </row>
    <row r="87" spans="1:52" x14ac:dyDescent="0.25">
      <c r="A87" s="82"/>
      <c r="B87" s="82"/>
      <c r="C87" s="82"/>
      <c r="D87" s="82"/>
      <c r="E87" s="82"/>
      <c r="F87" s="82"/>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c r="AV87" s="82"/>
      <c r="AW87" s="82"/>
      <c r="AX87" s="82"/>
      <c r="AY87" s="82"/>
      <c r="AZ87" s="82"/>
    </row>
    <row r="88" spans="1:52" x14ac:dyDescent="0.25">
      <c r="A88" s="82"/>
      <c r="B88" s="82"/>
      <c r="C88" s="82"/>
      <c r="D88" s="82"/>
      <c r="E88" s="82"/>
      <c r="F88" s="82"/>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c r="AV88" s="82"/>
      <c r="AW88" s="82"/>
      <c r="AX88" s="82"/>
      <c r="AY88" s="82"/>
      <c r="AZ88" s="82"/>
    </row>
    <row r="89" spans="1:52" x14ac:dyDescent="0.25">
      <c r="A89" s="82"/>
      <c r="B89" s="82"/>
      <c r="C89" s="82"/>
      <c r="D89" s="82"/>
      <c r="E89" s="82"/>
      <c r="F89" s="8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c r="AV89" s="82"/>
      <c r="AW89" s="82"/>
      <c r="AX89" s="82"/>
      <c r="AY89" s="82"/>
      <c r="AZ89" s="82"/>
    </row>
    <row r="90" spans="1:52" x14ac:dyDescent="0.25">
      <c r="A90" s="82"/>
      <c r="B90" s="82"/>
      <c r="C90" s="82"/>
      <c r="D90" s="82"/>
      <c r="E90" s="82"/>
      <c r="F90" s="8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c r="AV90" s="82"/>
      <c r="AW90" s="82"/>
      <c r="AX90" s="82"/>
      <c r="AY90" s="82"/>
      <c r="AZ90" s="82"/>
    </row>
    <row r="91" spans="1:52" x14ac:dyDescent="0.25">
      <c r="A91" s="82"/>
      <c r="B91" s="82"/>
      <c r="C91" s="82"/>
      <c r="D91" s="82"/>
      <c r="E91" s="82"/>
      <c r="F91" s="8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c r="AV91" s="82"/>
      <c r="AW91" s="82"/>
      <c r="AX91" s="82"/>
      <c r="AY91" s="82"/>
      <c r="AZ91" s="82"/>
    </row>
    <row r="92" spans="1:52" x14ac:dyDescent="0.25">
      <c r="A92" s="82"/>
      <c r="B92" s="82"/>
      <c r="C92" s="82"/>
      <c r="D92" s="82"/>
      <c r="E92" s="82"/>
      <c r="F92" s="8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c r="AV92" s="82"/>
      <c r="AW92" s="82"/>
      <c r="AX92" s="82"/>
      <c r="AY92" s="82"/>
      <c r="AZ92" s="82"/>
    </row>
    <row r="93" spans="1:52" x14ac:dyDescent="0.25">
      <c r="A93" s="82"/>
      <c r="B93" s="82"/>
      <c r="C93" s="82"/>
      <c r="D93" s="82"/>
      <c r="E93" s="82"/>
      <c r="F93" s="8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c r="AV93" s="82"/>
      <c r="AW93" s="82"/>
      <c r="AX93" s="82"/>
      <c r="AY93" s="82"/>
      <c r="AZ93" s="82"/>
    </row>
    <row r="94" spans="1:52" x14ac:dyDescent="0.25">
      <c r="A94" s="82"/>
      <c r="B94" s="82"/>
      <c r="C94" s="82"/>
      <c r="D94" s="82"/>
      <c r="E94" s="82"/>
      <c r="F94" s="8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row>
    <row r="95" spans="1:52" x14ac:dyDescent="0.25">
      <c r="A95" s="82"/>
      <c r="B95" s="82"/>
      <c r="C95" s="82"/>
      <c r="D95" s="82"/>
      <c r="E95" s="82"/>
      <c r="F95" s="8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c r="AV95" s="82"/>
      <c r="AW95" s="82"/>
      <c r="AX95" s="82"/>
      <c r="AY95" s="82"/>
      <c r="AZ95" s="82"/>
    </row>
    <row r="96" spans="1:52" x14ac:dyDescent="0.25">
      <c r="A96" s="82"/>
      <c r="B96" s="82"/>
      <c r="C96" s="82"/>
      <c r="D96" s="82"/>
      <c r="E96" s="82"/>
      <c r="F96" s="82"/>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c r="AV96" s="82"/>
      <c r="AW96" s="82"/>
      <c r="AX96" s="82"/>
      <c r="AY96" s="82"/>
      <c r="AZ96" s="82"/>
    </row>
    <row r="97" spans="1:52" x14ac:dyDescent="0.25">
      <c r="A97" s="82"/>
      <c r="B97" s="82"/>
      <c r="C97" s="82"/>
      <c r="D97" s="82"/>
      <c r="E97" s="82"/>
      <c r="F97" s="82"/>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c r="AV97" s="82"/>
      <c r="AW97" s="82"/>
      <c r="AX97" s="82"/>
      <c r="AY97" s="82"/>
      <c r="AZ97" s="82"/>
    </row>
    <row r="98" spans="1:52" x14ac:dyDescent="0.25">
      <c r="A98" s="82"/>
      <c r="B98" s="82"/>
      <c r="C98" s="82"/>
      <c r="D98" s="82"/>
      <c r="E98" s="82"/>
      <c r="F98" s="82"/>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c r="AV98" s="82"/>
      <c r="AW98" s="82"/>
      <c r="AX98" s="82"/>
      <c r="AY98" s="82"/>
      <c r="AZ98" s="82"/>
    </row>
    <row r="99" spans="1:52" x14ac:dyDescent="0.25">
      <c r="A99" s="82"/>
      <c r="B99" s="82"/>
      <c r="C99" s="82"/>
      <c r="D99" s="82"/>
      <c r="E99" s="82"/>
      <c r="F99" s="82"/>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c r="AV99" s="82"/>
      <c r="AW99" s="82"/>
      <c r="AX99" s="82"/>
      <c r="AY99" s="82"/>
      <c r="AZ99" s="82"/>
    </row>
    <row r="100" spans="1:52" x14ac:dyDescent="0.25">
      <c r="A100" s="82"/>
      <c r="B100" s="82"/>
      <c r="C100" s="82"/>
      <c r="D100" s="82"/>
      <c r="E100" s="82"/>
      <c r="F100" s="82"/>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c r="AV100" s="82"/>
      <c r="AW100" s="82"/>
      <c r="AX100" s="82"/>
      <c r="AY100" s="82"/>
      <c r="AZ100" s="82"/>
    </row>
    <row r="101" spans="1:52" x14ac:dyDescent="0.25">
      <c r="A101" s="82"/>
      <c r="B101" s="82"/>
      <c r="C101" s="82"/>
      <c r="D101" s="82"/>
      <c r="E101" s="82"/>
      <c r="F101" s="82"/>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c r="AV101" s="82"/>
      <c r="AW101" s="82"/>
      <c r="AX101" s="82"/>
      <c r="AY101" s="82"/>
      <c r="AZ101" s="82"/>
    </row>
    <row r="102" spans="1:52" x14ac:dyDescent="0.25">
      <c r="A102" s="82"/>
      <c r="B102" s="82"/>
      <c r="C102" s="82"/>
      <c r="D102" s="82"/>
      <c r="E102" s="82"/>
      <c r="F102" s="82"/>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c r="AV102" s="82"/>
      <c r="AW102" s="82"/>
      <c r="AX102" s="82"/>
      <c r="AY102" s="82"/>
      <c r="AZ102" s="82"/>
    </row>
    <row r="103" spans="1:52" x14ac:dyDescent="0.25">
      <c r="A103" s="82"/>
      <c r="B103" s="82"/>
      <c r="C103" s="82"/>
      <c r="D103" s="82"/>
      <c r="E103" s="82"/>
      <c r="F103" s="8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c r="AV103" s="82"/>
      <c r="AW103" s="82"/>
      <c r="AX103" s="82"/>
      <c r="AY103" s="82"/>
      <c r="AZ103" s="82"/>
    </row>
    <row r="104" spans="1:52" x14ac:dyDescent="0.25">
      <c r="A104" s="82"/>
      <c r="B104" s="82"/>
      <c r="C104" s="82"/>
      <c r="D104" s="82"/>
      <c r="E104" s="82"/>
      <c r="F104" s="8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c r="AV104" s="82"/>
      <c r="AW104" s="82"/>
      <c r="AX104" s="82"/>
      <c r="AY104" s="82"/>
      <c r="AZ104" s="82"/>
    </row>
    <row r="105" spans="1:52" x14ac:dyDescent="0.25">
      <c r="A105" s="82"/>
      <c r="B105" s="82"/>
      <c r="C105" s="82"/>
      <c r="D105" s="82"/>
      <c r="E105" s="82"/>
      <c r="F105" s="8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c r="AV105" s="82"/>
      <c r="AW105" s="82"/>
      <c r="AX105" s="82"/>
      <c r="AY105" s="82"/>
      <c r="AZ105" s="82"/>
    </row>
    <row r="106" spans="1:52" x14ac:dyDescent="0.25">
      <c r="A106" s="82"/>
      <c r="B106" s="82"/>
      <c r="C106" s="82"/>
      <c r="D106" s="82"/>
      <c r="E106" s="82"/>
      <c r="F106" s="8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c r="AV106" s="82"/>
      <c r="AW106" s="82"/>
      <c r="AX106" s="82"/>
      <c r="AY106" s="82"/>
      <c r="AZ106" s="82"/>
    </row>
    <row r="107" spans="1:52" x14ac:dyDescent="0.25">
      <c r="A107" s="82"/>
      <c r="B107" s="82"/>
      <c r="C107" s="82"/>
      <c r="D107" s="82"/>
      <c r="E107" s="82"/>
      <c r="F107" s="8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c r="AV107" s="82"/>
      <c r="AW107" s="82"/>
      <c r="AX107" s="82"/>
      <c r="AY107" s="82"/>
      <c r="AZ107" s="82"/>
    </row>
    <row r="108" spans="1:52" x14ac:dyDescent="0.25">
      <c r="A108" s="82"/>
      <c r="B108" s="82"/>
      <c r="C108" s="82"/>
      <c r="D108" s="82"/>
      <c r="E108" s="82"/>
      <c r="F108" s="8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c r="AV108" s="82"/>
      <c r="AW108" s="82"/>
      <c r="AX108" s="82"/>
      <c r="AY108" s="82"/>
      <c r="AZ108" s="82"/>
    </row>
    <row r="109" spans="1:52" x14ac:dyDescent="0.25">
      <c r="A109" s="82"/>
      <c r="B109" s="82"/>
      <c r="C109" s="82"/>
      <c r="D109" s="82"/>
      <c r="E109" s="82"/>
      <c r="F109" s="8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c r="AV109" s="82"/>
      <c r="AW109" s="82"/>
      <c r="AX109" s="82"/>
      <c r="AY109" s="82"/>
      <c r="AZ109" s="82"/>
    </row>
    <row r="110" spans="1:52" x14ac:dyDescent="0.25">
      <c r="A110" s="82"/>
      <c r="B110" s="82"/>
      <c r="C110" s="82"/>
      <c r="D110" s="82"/>
      <c r="E110" s="82"/>
      <c r="F110" s="8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c r="AV110" s="82"/>
      <c r="AW110" s="82"/>
      <c r="AX110" s="82"/>
      <c r="AY110" s="82"/>
      <c r="AZ110" s="82"/>
    </row>
    <row r="111" spans="1:52" x14ac:dyDescent="0.25">
      <c r="A111" s="82"/>
      <c r="B111" s="82"/>
      <c r="C111" s="82"/>
      <c r="D111" s="82"/>
      <c r="E111" s="82"/>
      <c r="F111" s="8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c r="AV111" s="82"/>
      <c r="AW111" s="82"/>
      <c r="AX111" s="82"/>
      <c r="AY111" s="82"/>
      <c r="AZ111" s="82"/>
    </row>
    <row r="112" spans="1:52" x14ac:dyDescent="0.25">
      <c r="A112" s="82"/>
      <c r="B112" s="82"/>
      <c r="C112" s="82"/>
      <c r="D112" s="82"/>
      <c r="E112" s="82"/>
      <c r="F112" s="8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c r="AV112" s="82"/>
      <c r="AW112" s="82"/>
      <c r="AX112" s="82"/>
      <c r="AY112" s="82"/>
      <c r="AZ112" s="82"/>
    </row>
    <row r="113" spans="1:52" x14ac:dyDescent="0.25">
      <c r="A113" s="82"/>
      <c r="B113" s="82"/>
      <c r="C113" s="82"/>
      <c r="D113" s="82"/>
      <c r="E113" s="82"/>
      <c r="F113" s="8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c r="AV113" s="82"/>
      <c r="AW113" s="82"/>
      <c r="AX113" s="82"/>
      <c r="AY113" s="82"/>
      <c r="AZ113" s="82"/>
    </row>
    <row r="114" spans="1:52" x14ac:dyDescent="0.25">
      <c r="A114" s="82"/>
      <c r="B114" s="82"/>
      <c r="C114" s="82"/>
      <c r="D114" s="82"/>
      <c r="E114" s="82"/>
      <c r="F114" s="8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c r="AV114" s="82"/>
      <c r="AW114" s="82"/>
      <c r="AX114" s="82"/>
      <c r="AY114" s="82"/>
      <c r="AZ114" s="82"/>
    </row>
    <row r="115" spans="1:52" x14ac:dyDescent="0.25">
      <c r="A115" s="82"/>
      <c r="B115" s="82"/>
      <c r="C115" s="82"/>
      <c r="D115" s="82"/>
      <c r="E115" s="82"/>
      <c r="F115" s="8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c r="AV115" s="82"/>
      <c r="AW115" s="82"/>
      <c r="AX115" s="82"/>
      <c r="AY115" s="82"/>
      <c r="AZ115" s="82"/>
    </row>
    <row r="116" spans="1:52" x14ac:dyDescent="0.25">
      <c r="A116" s="82"/>
      <c r="B116" s="82"/>
      <c r="C116" s="82"/>
      <c r="D116" s="82"/>
      <c r="E116" s="82"/>
      <c r="F116" s="8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c r="AV116" s="82"/>
      <c r="AW116" s="82"/>
      <c r="AX116" s="82"/>
      <c r="AY116" s="82"/>
      <c r="AZ116" s="82"/>
    </row>
    <row r="117" spans="1:52" x14ac:dyDescent="0.25">
      <c r="A117" s="82"/>
      <c r="B117" s="82"/>
      <c r="C117" s="82"/>
      <c r="D117" s="82"/>
      <c r="E117" s="82"/>
      <c r="F117" s="8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c r="AV117" s="82"/>
      <c r="AW117" s="82"/>
      <c r="AX117" s="82"/>
      <c r="AY117" s="82"/>
      <c r="AZ117" s="82"/>
    </row>
    <row r="118" spans="1:52" x14ac:dyDescent="0.25">
      <c r="A118" s="82"/>
      <c r="B118" s="82"/>
      <c r="C118" s="82"/>
      <c r="D118" s="82"/>
      <c r="E118" s="82"/>
      <c r="F118" s="82"/>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c r="AV118" s="82"/>
      <c r="AW118" s="82"/>
      <c r="AX118" s="82"/>
      <c r="AY118" s="82"/>
      <c r="AZ118" s="82"/>
    </row>
    <row r="119" spans="1:52" x14ac:dyDescent="0.25">
      <c r="A119" s="82"/>
      <c r="B119" s="82"/>
      <c r="C119" s="82"/>
      <c r="D119" s="82"/>
      <c r="E119" s="82"/>
      <c r="F119" s="82"/>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c r="AV119" s="82"/>
      <c r="AW119" s="82"/>
      <c r="AX119" s="82"/>
      <c r="AY119" s="82"/>
      <c r="AZ119" s="82"/>
    </row>
    <row r="120" spans="1:52" x14ac:dyDescent="0.25">
      <c r="A120" s="82"/>
      <c r="B120" s="82"/>
      <c r="C120" s="82"/>
      <c r="D120" s="82"/>
      <c r="E120" s="82"/>
      <c r="F120" s="82"/>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c r="AV120" s="82"/>
      <c r="AW120" s="82"/>
      <c r="AX120" s="82"/>
      <c r="AY120" s="82"/>
      <c r="AZ120" s="82"/>
    </row>
    <row r="121" spans="1:52" x14ac:dyDescent="0.25">
      <c r="A121" s="82"/>
      <c r="B121" s="82"/>
      <c r="C121" s="82"/>
      <c r="D121" s="82"/>
      <c r="E121" s="82"/>
      <c r="F121" s="82"/>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c r="AV121" s="82"/>
      <c r="AW121" s="82"/>
      <c r="AX121" s="82"/>
      <c r="AY121" s="82"/>
      <c r="AZ121" s="82"/>
    </row>
    <row r="122" spans="1:52" x14ac:dyDescent="0.25">
      <c r="A122" s="82"/>
      <c r="B122" s="82"/>
      <c r="C122" s="82"/>
      <c r="D122" s="82"/>
      <c r="E122" s="82"/>
      <c r="F122" s="82"/>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c r="AV122" s="82"/>
      <c r="AW122" s="82"/>
      <c r="AX122" s="82"/>
      <c r="AY122" s="82"/>
      <c r="AZ122" s="82"/>
    </row>
    <row r="123" spans="1:52" x14ac:dyDescent="0.25">
      <c r="A123" s="82"/>
      <c r="B123" s="82"/>
      <c r="C123" s="82"/>
      <c r="D123" s="82"/>
      <c r="E123" s="82"/>
      <c r="F123" s="82"/>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c r="AV123" s="82"/>
      <c r="AW123" s="82"/>
      <c r="AX123" s="82"/>
      <c r="AY123" s="82"/>
      <c r="AZ123" s="82"/>
    </row>
    <row r="124" spans="1:52" x14ac:dyDescent="0.25">
      <c r="A124" s="82"/>
      <c r="B124" s="82"/>
      <c r="C124" s="82"/>
      <c r="D124" s="82"/>
      <c r="E124" s="82"/>
      <c r="F124" s="82"/>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c r="AV124" s="82"/>
      <c r="AW124" s="82"/>
      <c r="AX124" s="82"/>
      <c r="AY124" s="82"/>
      <c r="AZ124" s="82"/>
    </row>
    <row r="125" spans="1:52" x14ac:dyDescent="0.25">
      <c r="A125" s="82"/>
      <c r="B125" s="82"/>
      <c r="C125" s="82"/>
      <c r="D125" s="82"/>
      <c r="E125" s="82"/>
      <c r="F125" s="8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c r="AV125" s="82"/>
      <c r="AW125" s="82"/>
      <c r="AX125" s="82"/>
      <c r="AY125" s="82"/>
      <c r="AZ125" s="82"/>
    </row>
    <row r="126" spans="1:52" x14ac:dyDescent="0.25">
      <c r="A126" s="82"/>
      <c r="B126" s="82"/>
      <c r="C126" s="82"/>
      <c r="D126" s="82"/>
      <c r="E126" s="82"/>
      <c r="F126" s="8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c r="AV126" s="82"/>
      <c r="AW126" s="82"/>
      <c r="AX126" s="82"/>
      <c r="AY126" s="82"/>
      <c r="AZ126" s="82"/>
    </row>
    <row r="127" spans="1:52" x14ac:dyDescent="0.25">
      <c r="A127" s="82"/>
      <c r="B127" s="82"/>
      <c r="C127" s="82"/>
      <c r="D127" s="82"/>
      <c r="E127" s="82"/>
      <c r="F127" s="8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c r="AV127" s="82"/>
      <c r="AW127" s="82"/>
      <c r="AX127" s="82"/>
      <c r="AY127" s="82"/>
      <c r="AZ127" s="82"/>
    </row>
    <row r="128" spans="1:52" x14ac:dyDescent="0.25">
      <c r="A128" s="82"/>
      <c r="B128" s="82"/>
      <c r="C128" s="82"/>
      <c r="D128" s="82"/>
      <c r="E128" s="82"/>
      <c r="F128" s="82"/>
      <c r="G128" s="82"/>
      <c r="H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c r="AV128" s="82"/>
      <c r="AW128" s="82"/>
      <c r="AX128" s="82"/>
      <c r="AY128" s="82"/>
      <c r="AZ128" s="82"/>
    </row>
    <row r="129" spans="1:52" x14ac:dyDescent="0.25">
      <c r="A129" s="82"/>
      <c r="B129" s="82"/>
      <c r="C129" s="82"/>
      <c r="D129" s="82"/>
      <c r="E129" s="82"/>
      <c r="F129" s="8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c r="AV129" s="82"/>
      <c r="AW129" s="82"/>
      <c r="AX129" s="82"/>
      <c r="AY129" s="82"/>
      <c r="AZ129" s="82"/>
    </row>
    <row r="130" spans="1:52" x14ac:dyDescent="0.25">
      <c r="A130" s="82"/>
      <c r="B130" s="82"/>
      <c r="C130" s="82"/>
      <c r="D130" s="82"/>
      <c r="E130" s="82"/>
      <c r="F130" s="8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c r="AV130" s="82"/>
      <c r="AW130" s="82"/>
      <c r="AX130" s="82"/>
      <c r="AY130" s="82"/>
      <c r="AZ130" s="82"/>
    </row>
    <row r="131" spans="1:52" x14ac:dyDescent="0.25">
      <c r="A131" s="82"/>
      <c r="B131" s="82"/>
      <c r="C131" s="82"/>
      <c r="D131" s="82"/>
      <c r="E131" s="82"/>
      <c r="F131" s="8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c r="AV131" s="82"/>
      <c r="AW131" s="82"/>
      <c r="AX131" s="82"/>
      <c r="AY131" s="82"/>
      <c r="AZ131" s="82"/>
    </row>
    <row r="132" spans="1:52" x14ac:dyDescent="0.25">
      <c r="A132" s="82"/>
      <c r="B132" s="82"/>
      <c r="C132" s="82"/>
      <c r="D132" s="82"/>
      <c r="E132" s="82"/>
      <c r="F132" s="8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c r="AV132" s="82"/>
      <c r="AW132" s="82"/>
      <c r="AX132" s="82"/>
      <c r="AY132" s="82"/>
      <c r="AZ132" s="82"/>
    </row>
    <row r="133" spans="1:52" x14ac:dyDescent="0.25">
      <c r="A133" s="82"/>
      <c r="B133" s="82"/>
      <c r="C133" s="82"/>
      <c r="D133" s="82"/>
      <c r="E133" s="82"/>
      <c r="F133" s="8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c r="AV133" s="82"/>
      <c r="AW133" s="82"/>
      <c r="AX133" s="82"/>
      <c r="AY133" s="82"/>
      <c r="AZ133" s="82"/>
    </row>
    <row r="134" spans="1:52" x14ac:dyDescent="0.25">
      <c r="A134" s="82"/>
      <c r="B134" s="82"/>
      <c r="C134" s="82"/>
      <c r="D134" s="82"/>
      <c r="E134" s="82"/>
      <c r="F134" s="8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c r="AV134" s="82"/>
      <c r="AW134" s="82"/>
      <c r="AX134" s="82"/>
      <c r="AY134" s="82"/>
      <c r="AZ134" s="82"/>
    </row>
    <row r="135" spans="1:52" x14ac:dyDescent="0.25">
      <c r="A135" s="82"/>
      <c r="B135" s="82"/>
      <c r="C135" s="82"/>
      <c r="D135" s="82"/>
      <c r="E135" s="82"/>
      <c r="F135" s="82"/>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c r="AV135" s="82"/>
      <c r="AW135" s="82"/>
      <c r="AX135" s="82"/>
      <c r="AY135" s="82"/>
      <c r="AZ135" s="82"/>
    </row>
    <row r="136" spans="1:52" x14ac:dyDescent="0.25">
      <c r="A136" s="82"/>
      <c r="B136" s="82"/>
      <c r="C136" s="82"/>
      <c r="D136" s="82"/>
      <c r="E136" s="82"/>
      <c r="F136" s="82"/>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c r="AV136" s="82"/>
      <c r="AW136" s="82"/>
      <c r="AX136" s="82"/>
      <c r="AY136" s="82"/>
      <c r="AZ136" s="82"/>
    </row>
    <row r="137" spans="1:52" x14ac:dyDescent="0.25">
      <c r="A137" s="82"/>
      <c r="B137" s="82"/>
      <c r="C137" s="82"/>
      <c r="D137" s="82"/>
      <c r="E137" s="82"/>
      <c r="F137" s="82"/>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c r="AV137" s="82"/>
      <c r="AW137" s="82"/>
      <c r="AX137" s="82"/>
      <c r="AY137" s="82"/>
      <c r="AZ137" s="82"/>
    </row>
    <row r="138" spans="1:52" x14ac:dyDescent="0.25">
      <c r="A138" s="82"/>
      <c r="B138" s="82"/>
      <c r="C138" s="82"/>
      <c r="D138" s="82"/>
      <c r="E138" s="82"/>
      <c r="F138" s="82"/>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c r="AV138" s="82"/>
      <c r="AW138" s="82"/>
      <c r="AX138" s="82"/>
      <c r="AY138" s="82"/>
      <c r="AZ138" s="82"/>
    </row>
    <row r="139" spans="1:52" x14ac:dyDescent="0.25">
      <c r="A139" s="82"/>
      <c r="B139" s="82"/>
      <c r="C139" s="82"/>
      <c r="D139" s="82"/>
      <c r="E139" s="82"/>
      <c r="F139" s="82"/>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c r="AV139" s="82"/>
      <c r="AW139" s="82"/>
      <c r="AX139" s="82"/>
      <c r="AY139" s="82"/>
      <c r="AZ139" s="82"/>
    </row>
    <row r="140" spans="1:52" x14ac:dyDescent="0.25">
      <c r="A140" s="82"/>
      <c r="B140" s="82"/>
      <c r="C140" s="82"/>
      <c r="D140" s="82"/>
      <c r="E140" s="82"/>
      <c r="F140" s="82"/>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c r="AV140" s="82"/>
      <c r="AW140" s="82"/>
      <c r="AX140" s="82"/>
      <c r="AY140" s="82"/>
      <c r="AZ140" s="82"/>
    </row>
    <row r="141" spans="1:52" x14ac:dyDescent="0.25">
      <c r="A141" s="82"/>
      <c r="B141" s="82"/>
      <c r="C141" s="82"/>
      <c r="D141" s="82"/>
      <c r="E141" s="82"/>
      <c r="F141" s="82"/>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c r="AV141" s="82"/>
      <c r="AW141" s="82"/>
      <c r="AX141" s="82"/>
      <c r="AY141" s="82"/>
      <c r="AZ141" s="82"/>
    </row>
    <row r="142" spans="1:52" x14ac:dyDescent="0.25">
      <c r="A142" s="82"/>
      <c r="B142" s="82"/>
      <c r="C142" s="82"/>
      <c r="D142" s="82"/>
      <c r="E142" s="82"/>
      <c r="F142" s="82"/>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c r="AV142" s="82"/>
      <c r="AW142" s="82"/>
      <c r="AX142" s="82"/>
      <c r="AY142" s="82"/>
      <c r="AZ142" s="82"/>
    </row>
    <row r="143" spans="1:52" x14ac:dyDescent="0.25">
      <c r="A143" s="82"/>
      <c r="B143" s="82"/>
      <c r="C143" s="82"/>
      <c r="D143" s="82"/>
      <c r="E143" s="82"/>
      <c r="F143" s="82"/>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c r="AV143" s="82"/>
      <c r="AW143" s="82"/>
      <c r="AX143" s="82"/>
      <c r="AY143" s="82"/>
      <c r="AZ143" s="82"/>
    </row>
    <row r="144" spans="1:52" x14ac:dyDescent="0.25">
      <c r="A144" s="82"/>
      <c r="B144" s="82"/>
      <c r="C144" s="82"/>
      <c r="D144" s="82"/>
      <c r="E144" s="82"/>
      <c r="F144" s="8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c r="AV144" s="82"/>
      <c r="AW144" s="82"/>
      <c r="AX144" s="82"/>
      <c r="AY144" s="82"/>
      <c r="AZ144" s="82"/>
    </row>
    <row r="145" spans="1:52" x14ac:dyDescent="0.25">
      <c r="A145" s="82"/>
      <c r="B145" s="82"/>
      <c r="C145" s="82"/>
      <c r="D145" s="82"/>
      <c r="E145" s="82"/>
      <c r="F145" s="8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c r="AV145" s="82"/>
      <c r="AW145" s="82"/>
      <c r="AX145" s="82"/>
      <c r="AY145" s="82"/>
      <c r="AZ145" s="82"/>
    </row>
    <row r="146" spans="1:52" x14ac:dyDescent="0.25">
      <c r="A146" s="82"/>
      <c r="B146" s="82"/>
      <c r="C146" s="82"/>
      <c r="D146" s="82"/>
      <c r="E146" s="82"/>
      <c r="F146" s="8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c r="AV146" s="82"/>
      <c r="AW146" s="82"/>
      <c r="AX146" s="82"/>
      <c r="AY146" s="82"/>
      <c r="AZ146" s="82"/>
    </row>
    <row r="147" spans="1:52" x14ac:dyDescent="0.25">
      <c r="A147" s="82"/>
      <c r="B147" s="82"/>
      <c r="C147" s="82"/>
      <c r="D147" s="82"/>
      <c r="E147" s="82"/>
      <c r="F147" s="82"/>
      <c r="G147" s="82"/>
      <c r="H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c r="AV147" s="82"/>
      <c r="AW147" s="82"/>
      <c r="AX147" s="82"/>
      <c r="AY147" s="82"/>
      <c r="AZ147" s="82"/>
    </row>
    <row r="148" spans="1:52" x14ac:dyDescent="0.25">
      <c r="A148" s="82"/>
      <c r="B148" s="82"/>
      <c r="C148" s="82"/>
      <c r="D148" s="82"/>
      <c r="E148" s="82"/>
      <c r="F148" s="8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c r="AV148" s="82"/>
      <c r="AW148" s="82"/>
      <c r="AX148" s="82"/>
      <c r="AY148" s="82"/>
      <c r="AZ148" s="82"/>
    </row>
    <row r="149" spans="1:52" x14ac:dyDescent="0.25">
      <c r="A149" s="82"/>
      <c r="B149" s="82"/>
      <c r="C149" s="82"/>
      <c r="D149" s="82"/>
      <c r="E149" s="82"/>
      <c r="F149" s="8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c r="AV149" s="82"/>
      <c r="AW149" s="82"/>
      <c r="AX149" s="82"/>
      <c r="AY149" s="82"/>
      <c r="AZ149" s="82"/>
    </row>
    <row r="150" spans="1:52" x14ac:dyDescent="0.25">
      <c r="A150" s="82"/>
      <c r="B150" s="82"/>
      <c r="C150" s="82"/>
      <c r="D150" s="82"/>
      <c r="E150" s="82"/>
      <c r="F150" s="8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c r="AV150" s="82"/>
      <c r="AW150" s="82"/>
      <c r="AX150" s="82"/>
      <c r="AY150" s="82"/>
      <c r="AZ150" s="82"/>
    </row>
    <row r="151" spans="1:52" x14ac:dyDescent="0.25">
      <c r="A151" s="82"/>
      <c r="B151" s="82"/>
      <c r="C151" s="82"/>
      <c r="D151" s="82"/>
      <c r="E151" s="82"/>
      <c r="F151" s="8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c r="AV151" s="82"/>
      <c r="AW151" s="82"/>
      <c r="AX151" s="82"/>
      <c r="AY151" s="82"/>
      <c r="AZ151" s="82"/>
    </row>
    <row r="152" spans="1:52" x14ac:dyDescent="0.25">
      <c r="A152" s="82"/>
      <c r="B152" s="82"/>
      <c r="C152" s="82"/>
      <c r="D152" s="82"/>
      <c r="E152" s="82"/>
      <c r="F152" s="8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c r="AV152" s="82"/>
      <c r="AW152" s="82"/>
      <c r="AX152" s="82"/>
      <c r="AY152" s="82"/>
      <c r="AZ152" s="82"/>
    </row>
    <row r="153" spans="1:52" x14ac:dyDescent="0.25">
      <c r="A153" s="82"/>
      <c r="B153" s="82"/>
      <c r="C153" s="82"/>
      <c r="D153" s="82"/>
      <c r="E153" s="82"/>
      <c r="F153" s="8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c r="AV153" s="82"/>
      <c r="AW153" s="82"/>
      <c r="AX153" s="82"/>
      <c r="AY153" s="82"/>
      <c r="AZ153" s="82"/>
    </row>
    <row r="154" spans="1:52" x14ac:dyDescent="0.25">
      <c r="A154" s="82"/>
      <c r="B154" s="82"/>
      <c r="C154" s="82"/>
      <c r="D154" s="82"/>
      <c r="E154" s="82"/>
      <c r="F154" s="8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c r="AV154" s="82"/>
      <c r="AW154" s="82"/>
      <c r="AX154" s="82"/>
      <c r="AY154" s="82"/>
      <c r="AZ154" s="82"/>
    </row>
    <row r="155" spans="1:52" x14ac:dyDescent="0.25">
      <c r="A155" s="82"/>
      <c r="B155" s="82"/>
      <c r="C155" s="82"/>
      <c r="D155" s="82"/>
      <c r="E155" s="82"/>
      <c r="F155" s="8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c r="AV155" s="82"/>
      <c r="AW155" s="82"/>
      <c r="AX155" s="82"/>
      <c r="AY155" s="82"/>
      <c r="AZ155" s="82"/>
    </row>
    <row r="156" spans="1:52" x14ac:dyDescent="0.25">
      <c r="A156" s="82"/>
      <c r="B156" s="82"/>
      <c r="C156" s="82"/>
      <c r="D156" s="82"/>
      <c r="E156" s="82"/>
      <c r="F156" s="82"/>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c r="AV156" s="82"/>
      <c r="AW156" s="82"/>
      <c r="AX156" s="82"/>
      <c r="AY156" s="82"/>
      <c r="AZ156" s="82"/>
    </row>
    <row r="157" spans="1:52" x14ac:dyDescent="0.25">
      <c r="A157" s="82"/>
      <c r="B157" s="82"/>
      <c r="C157" s="82"/>
      <c r="D157" s="82"/>
      <c r="E157" s="82"/>
      <c r="F157" s="82"/>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c r="AV157" s="82"/>
      <c r="AW157" s="82"/>
      <c r="AX157" s="82"/>
      <c r="AY157" s="82"/>
      <c r="AZ157" s="82"/>
    </row>
    <row r="158" spans="1:52" x14ac:dyDescent="0.25">
      <c r="A158" s="82"/>
      <c r="B158" s="82"/>
      <c r="C158" s="82"/>
      <c r="D158" s="82"/>
      <c r="E158" s="82"/>
      <c r="F158" s="82"/>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c r="AV158" s="82"/>
      <c r="AW158" s="82"/>
      <c r="AX158" s="82"/>
      <c r="AY158" s="82"/>
      <c r="AZ158" s="82"/>
    </row>
    <row r="159" spans="1:52" x14ac:dyDescent="0.25">
      <c r="A159" s="82"/>
      <c r="B159" s="82"/>
      <c r="C159" s="82"/>
      <c r="D159" s="82"/>
      <c r="E159" s="82"/>
      <c r="F159" s="82"/>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c r="AV159" s="82"/>
      <c r="AW159" s="82"/>
      <c r="AX159" s="82"/>
      <c r="AY159" s="82"/>
      <c r="AZ159" s="82"/>
    </row>
    <row r="160" spans="1:52" x14ac:dyDescent="0.25">
      <c r="A160" s="82"/>
      <c r="B160" s="82"/>
      <c r="C160" s="82"/>
      <c r="D160" s="82"/>
      <c r="E160" s="82"/>
      <c r="F160" s="82"/>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c r="AV160" s="82"/>
      <c r="AW160" s="82"/>
      <c r="AX160" s="82"/>
      <c r="AY160" s="82"/>
      <c r="AZ160" s="82"/>
    </row>
    <row r="161" spans="1:52" x14ac:dyDescent="0.25">
      <c r="A161" s="82"/>
      <c r="B161" s="82"/>
      <c r="C161" s="82"/>
      <c r="D161" s="82"/>
      <c r="E161" s="82"/>
      <c r="F161" s="82"/>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c r="AV161" s="82"/>
      <c r="AW161" s="82"/>
      <c r="AX161" s="82"/>
      <c r="AY161" s="82"/>
      <c r="AZ161" s="82"/>
    </row>
    <row r="162" spans="1:52" x14ac:dyDescent="0.25">
      <c r="A162" s="82"/>
      <c r="B162" s="82"/>
      <c r="C162" s="82"/>
      <c r="D162" s="82"/>
      <c r="E162" s="82"/>
      <c r="F162" s="82"/>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c r="AV162" s="82"/>
      <c r="AW162" s="82"/>
      <c r="AX162" s="82"/>
      <c r="AY162" s="82"/>
      <c r="AZ162" s="82"/>
    </row>
    <row r="163" spans="1:52" x14ac:dyDescent="0.25">
      <c r="A163" s="82"/>
      <c r="B163" s="82"/>
      <c r="C163" s="82"/>
      <c r="D163" s="82"/>
      <c r="E163" s="82"/>
      <c r="F163" s="82"/>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c r="AV163" s="82"/>
      <c r="AW163" s="82"/>
      <c r="AX163" s="82"/>
      <c r="AY163" s="82"/>
      <c r="AZ163" s="82"/>
    </row>
    <row r="164" spans="1:52" x14ac:dyDescent="0.25">
      <c r="A164" s="82"/>
      <c r="B164" s="82"/>
      <c r="C164" s="82"/>
      <c r="D164" s="82"/>
      <c r="E164" s="82"/>
      <c r="F164" s="8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c r="AV164" s="82"/>
      <c r="AW164" s="82"/>
      <c r="AX164" s="82"/>
      <c r="AY164" s="82"/>
      <c r="AZ164" s="82"/>
    </row>
    <row r="165" spans="1:52" x14ac:dyDescent="0.25">
      <c r="A165" s="82"/>
      <c r="B165" s="82"/>
      <c r="C165" s="82"/>
      <c r="D165" s="82"/>
      <c r="E165" s="82"/>
      <c r="F165" s="8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c r="AV165" s="82"/>
      <c r="AW165" s="82"/>
      <c r="AX165" s="82"/>
      <c r="AY165" s="82"/>
      <c r="AZ165" s="82"/>
    </row>
    <row r="166" spans="1:52" x14ac:dyDescent="0.25">
      <c r="A166" s="82"/>
      <c r="B166" s="82"/>
      <c r="C166" s="82"/>
      <c r="D166" s="82"/>
      <c r="E166" s="82"/>
      <c r="F166" s="8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c r="AV166" s="82"/>
      <c r="AW166" s="82"/>
      <c r="AX166" s="82"/>
      <c r="AY166" s="82"/>
      <c r="AZ166" s="82"/>
    </row>
    <row r="167" spans="1:52" x14ac:dyDescent="0.25">
      <c r="A167" s="82"/>
      <c r="B167" s="82"/>
      <c r="C167" s="82"/>
      <c r="D167" s="82"/>
      <c r="E167" s="82"/>
      <c r="F167" s="8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c r="AV167" s="82"/>
      <c r="AW167" s="82"/>
      <c r="AX167" s="82"/>
      <c r="AY167" s="82"/>
      <c r="AZ167" s="82"/>
    </row>
    <row r="168" spans="1:52" x14ac:dyDescent="0.25">
      <c r="A168" s="82"/>
      <c r="B168" s="82"/>
      <c r="C168" s="82"/>
      <c r="D168" s="82"/>
      <c r="E168" s="82"/>
      <c r="F168" s="8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c r="AV168" s="82"/>
      <c r="AW168" s="82"/>
      <c r="AX168" s="82"/>
      <c r="AY168" s="82"/>
      <c r="AZ168" s="82"/>
    </row>
    <row r="169" spans="1:52" x14ac:dyDescent="0.25">
      <c r="A169" s="82"/>
      <c r="B169" s="82"/>
      <c r="C169" s="82"/>
      <c r="D169" s="82"/>
      <c r="E169" s="82"/>
      <c r="F169" s="8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c r="AV169" s="82"/>
      <c r="AW169" s="82"/>
      <c r="AX169" s="82"/>
      <c r="AY169" s="82"/>
      <c r="AZ169" s="82"/>
    </row>
    <row r="170" spans="1:52" x14ac:dyDescent="0.25">
      <c r="A170" s="82"/>
      <c r="B170" s="82"/>
      <c r="C170" s="82"/>
      <c r="D170" s="82"/>
      <c r="E170" s="82"/>
      <c r="F170" s="8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c r="AV170" s="82"/>
      <c r="AW170" s="82"/>
      <c r="AX170" s="82"/>
      <c r="AY170" s="82"/>
      <c r="AZ170" s="82"/>
    </row>
    <row r="171" spans="1:52" x14ac:dyDescent="0.25">
      <c r="A171" s="82"/>
      <c r="B171" s="82"/>
      <c r="C171" s="82"/>
      <c r="D171" s="82"/>
      <c r="E171" s="82"/>
      <c r="F171" s="8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c r="AV171" s="82"/>
      <c r="AW171" s="82"/>
      <c r="AX171" s="82"/>
      <c r="AY171" s="82"/>
      <c r="AZ171" s="82"/>
    </row>
    <row r="172" spans="1:52" x14ac:dyDescent="0.25">
      <c r="A172" s="82"/>
      <c r="B172" s="82"/>
      <c r="C172" s="82"/>
      <c r="D172" s="82"/>
      <c r="E172" s="82"/>
      <c r="F172" s="8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c r="AV172" s="82"/>
      <c r="AW172" s="82"/>
      <c r="AX172" s="82"/>
      <c r="AY172" s="82"/>
      <c r="AZ172" s="82"/>
    </row>
    <row r="173" spans="1:52" x14ac:dyDescent="0.25">
      <c r="A173" s="82"/>
      <c r="B173" s="82"/>
      <c r="C173" s="82"/>
      <c r="D173" s="82"/>
      <c r="E173" s="82"/>
      <c r="F173" s="82"/>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c r="AV173" s="82"/>
      <c r="AW173" s="82"/>
      <c r="AX173" s="82"/>
      <c r="AY173" s="82"/>
      <c r="AZ173" s="82"/>
    </row>
    <row r="174" spans="1:52" x14ac:dyDescent="0.25">
      <c r="A174" s="82"/>
      <c r="B174" s="82"/>
      <c r="C174" s="82"/>
      <c r="D174" s="82"/>
      <c r="E174" s="82"/>
      <c r="F174" s="82"/>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c r="AV174" s="82"/>
      <c r="AW174" s="82"/>
      <c r="AX174" s="82"/>
      <c r="AY174" s="82"/>
      <c r="AZ174" s="82"/>
    </row>
    <row r="175" spans="1:52" x14ac:dyDescent="0.25">
      <c r="A175" s="82"/>
      <c r="B175" s="82"/>
      <c r="C175" s="82"/>
      <c r="D175" s="82"/>
      <c r="E175" s="82"/>
      <c r="F175" s="82"/>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c r="AV175" s="82"/>
      <c r="AW175" s="82"/>
      <c r="AX175" s="82"/>
      <c r="AY175" s="82"/>
      <c r="AZ175" s="82"/>
    </row>
    <row r="176" spans="1:52" x14ac:dyDescent="0.25">
      <c r="A176" s="82"/>
      <c r="B176" s="82"/>
      <c r="C176" s="82"/>
      <c r="D176" s="82"/>
      <c r="E176" s="82"/>
      <c r="F176" s="82"/>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c r="AV176" s="82"/>
      <c r="AW176" s="82"/>
      <c r="AX176" s="82"/>
      <c r="AY176" s="82"/>
      <c r="AZ176" s="82"/>
    </row>
    <row r="177" spans="1:52" x14ac:dyDescent="0.25">
      <c r="A177" s="82"/>
      <c r="B177" s="82"/>
      <c r="C177" s="82"/>
      <c r="D177" s="82"/>
      <c r="E177" s="82"/>
      <c r="F177" s="82"/>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c r="AV177" s="82"/>
      <c r="AW177" s="82"/>
      <c r="AX177" s="82"/>
      <c r="AY177" s="82"/>
      <c r="AZ177" s="82"/>
    </row>
    <row r="178" spans="1:52" x14ac:dyDescent="0.25">
      <c r="A178" s="82"/>
      <c r="B178" s="82"/>
      <c r="C178" s="82"/>
      <c r="D178" s="82"/>
      <c r="E178" s="82"/>
      <c r="F178" s="82"/>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c r="AV178" s="82"/>
      <c r="AW178" s="82"/>
      <c r="AX178" s="82"/>
      <c r="AY178" s="82"/>
      <c r="AZ178" s="82"/>
    </row>
    <row r="179" spans="1:52" x14ac:dyDescent="0.25">
      <c r="A179" s="82"/>
      <c r="B179" s="82"/>
      <c r="C179" s="82"/>
      <c r="D179" s="82"/>
      <c r="E179" s="82"/>
      <c r="F179" s="8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c r="AV179" s="82"/>
      <c r="AW179" s="82"/>
      <c r="AX179" s="82"/>
      <c r="AY179" s="82"/>
      <c r="AZ179" s="82"/>
    </row>
    <row r="180" spans="1:52" x14ac:dyDescent="0.25">
      <c r="A180" s="82"/>
      <c r="B180" s="82"/>
      <c r="C180" s="82"/>
      <c r="D180" s="82"/>
      <c r="E180" s="82"/>
      <c r="F180" s="8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c r="AV180" s="82"/>
      <c r="AW180" s="82"/>
      <c r="AX180" s="82"/>
      <c r="AY180" s="82"/>
      <c r="AZ180" s="82"/>
    </row>
    <row r="181" spans="1:52" x14ac:dyDescent="0.25">
      <c r="A181" s="82"/>
      <c r="B181" s="82"/>
      <c r="C181" s="82"/>
      <c r="D181" s="82"/>
      <c r="E181" s="82"/>
      <c r="F181" s="8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c r="AV181" s="82"/>
      <c r="AW181" s="82"/>
      <c r="AX181" s="82"/>
      <c r="AY181" s="82"/>
      <c r="AZ181" s="82"/>
    </row>
    <row r="182" spans="1:52" x14ac:dyDescent="0.25">
      <c r="A182" s="82"/>
      <c r="B182" s="82"/>
      <c r="C182" s="82"/>
      <c r="D182" s="82"/>
      <c r="E182" s="82"/>
      <c r="F182" s="8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c r="AV182" s="82"/>
      <c r="AW182" s="82"/>
      <c r="AX182" s="82"/>
      <c r="AY182" s="82"/>
      <c r="AZ182" s="82"/>
    </row>
    <row r="183" spans="1:52" x14ac:dyDescent="0.25">
      <c r="A183" s="82"/>
      <c r="B183" s="82"/>
      <c r="C183" s="82"/>
      <c r="D183" s="82"/>
      <c r="E183" s="82"/>
      <c r="F183" s="8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c r="AV183" s="82"/>
      <c r="AW183" s="82"/>
      <c r="AX183" s="82"/>
      <c r="AY183" s="82"/>
      <c r="AZ183" s="82"/>
    </row>
    <row r="184" spans="1:52" x14ac:dyDescent="0.25">
      <c r="A184" s="82"/>
      <c r="B184" s="82"/>
      <c r="C184" s="82"/>
      <c r="D184" s="82"/>
      <c r="E184" s="82"/>
      <c r="F184" s="8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c r="AV184" s="82"/>
      <c r="AW184" s="82"/>
      <c r="AX184" s="82"/>
      <c r="AY184" s="82"/>
      <c r="AZ184" s="82"/>
    </row>
    <row r="185" spans="1:52" x14ac:dyDescent="0.25">
      <c r="A185" s="82"/>
      <c r="B185" s="82"/>
      <c r="C185" s="82"/>
      <c r="D185" s="82"/>
      <c r="E185" s="82"/>
      <c r="F185" s="82"/>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c r="AV185" s="82"/>
      <c r="AW185" s="82"/>
      <c r="AX185" s="82"/>
      <c r="AY185" s="82"/>
      <c r="AZ185" s="82"/>
    </row>
    <row r="186" spans="1:52" x14ac:dyDescent="0.25">
      <c r="A186" s="82"/>
      <c r="B186" s="82"/>
      <c r="C186" s="82"/>
      <c r="D186" s="82"/>
      <c r="E186" s="82"/>
      <c r="F186" s="82"/>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c r="AV186" s="82"/>
      <c r="AW186" s="82"/>
      <c r="AX186" s="82"/>
      <c r="AY186" s="82"/>
      <c r="AZ186" s="82"/>
    </row>
    <row r="187" spans="1:52" x14ac:dyDescent="0.25">
      <c r="A187" s="82"/>
      <c r="B187" s="82"/>
      <c r="C187" s="82"/>
      <c r="D187" s="82"/>
      <c r="E187" s="82"/>
      <c r="F187" s="82"/>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c r="AV187" s="82"/>
      <c r="AW187" s="82"/>
      <c r="AX187" s="82"/>
      <c r="AY187" s="82"/>
      <c r="AZ187" s="82"/>
    </row>
    <row r="188" spans="1:52" x14ac:dyDescent="0.25">
      <c r="A188" s="82"/>
      <c r="B188" s="82"/>
      <c r="C188" s="82"/>
      <c r="D188" s="82"/>
      <c r="E188" s="82"/>
      <c r="F188" s="82"/>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c r="AV188" s="82"/>
      <c r="AW188" s="82"/>
      <c r="AX188" s="82"/>
      <c r="AY188" s="82"/>
      <c r="AZ188" s="82"/>
    </row>
    <row r="189" spans="1:52" x14ac:dyDescent="0.25">
      <c r="A189" s="82"/>
      <c r="B189" s="82"/>
      <c r="C189" s="82"/>
      <c r="D189" s="82"/>
      <c r="E189" s="82"/>
      <c r="F189" s="82"/>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c r="AV189" s="82"/>
      <c r="AW189" s="82"/>
      <c r="AX189" s="82"/>
      <c r="AY189" s="82"/>
      <c r="AZ189" s="82"/>
    </row>
    <row r="190" spans="1:52" x14ac:dyDescent="0.25">
      <c r="A190" s="82"/>
      <c r="B190" s="82"/>
      <c r="C190" s="82"/>
      <c r="D190" s="82"/>
      <c r="E190" s="82"/>
      <c r="F190" s="82"/>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c r="AV190" s="82"/>
      <c r="AW190" s="82"/>
      <c r="AX190" s="82"/>
      <c r="AY190" s="82"/>
      <c r="AZ190" s="82"/>
    </row>
    <row r="191" spans="1:52" x14ac:dyDescent="0.25">
      <c r="A191" s="82"/>
      <c r="B191" s="82"/>
      <c r="C191" s="82"/>
      <c r="D191" s="82"/>
      <c r="E191" s="82"/>
      <c r="F191" s="82"/>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c r="AV191" s="82"/>
      <c r="AW191" s="82"/>
      <c r="AX191" s="82"/>
      <c r="AY191" s="82"/>
      <c r="AZ191" s="82"/>
    </row>
    <row r="192" spans="1:52" x14ac:dyDescent="0.25">
      <c r="A192" s="82"/>
      <c r="B192" s="82"/>
      <c r="C192" s="82"/>
      <c r="D192" s="82"/>
      <c r="E192" s="82"/>
      <c r="F192" s="82"/>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c r="AV192" s="82"/>
      <c r="AW192" s="82"/>
      <c r="AX192" s="82"/>
      <c r="AY192" s="82"/>
      <c r="AZ192" s="82"/>
    </row>
    <row r="193" spans="1:52" x14ac:dyDescent="0.25">
      <c r="A193" s="82"/>
      <c r="B193" s="82"/>
      <c r="C193" s="82"/>
      <c r="D193" s="82"/>
      <c r="E193" s="82"/>
      <c r="F193" s="82"/>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c r="AV193" s="82"/>
      <c r="AW193" s="82"/>
      <c r="AX193" s="82"/>
      <c r="AY193" s="82"/>
      <c r="AZ193" s="82"/>
    </row>
    <row r="194" spans="1:52" x14ac:dyDescent="0.25">
      <c r="A194" s="82"/>
      <c r="B194" s="82"/>
      <c r="C194" s="82"/>
      <c r="D194" s="82"/>
      <c r="E194" s="82"/>
      <c r="F194" s="82"/>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c r="AV194" s="82"/>
      <c r="AW194" s="82"/>
      <c r="AX194" s="82"/>
      <c r="AY194" s="82"/>
      <c r="AZ194" s="82"/>
    </row>
    <row r="195" spans="1:52" x14ac:dyDescent="0.25">
      <c r="A195" s="82"/>
      <c r="B195" s="82"/>
      <c r="C195" s="82"/>
      <c r="D195" s="82"/>
      <c r="E195" s="82"/>
      <c r="F195" s="82"/>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c r="AV195" s="82"/>
      <c r="AW195" s="82"/>
      <c r="AX195" s="82"/>
      <c r="AY195" s="82"/>
      <c r="AZ195" s="82"/>
    </row>
    <row r="196" spans="1:52" x14ac:dyDescent="0.25">
      <c r="A196" s="82"/>
      <c r="B196" s="82"/>
      <c r="C196" s="82"/>
      <c r="D196" s="82"/>
      <c r="E196" s="82"/>
      <c r="F196" s="82"/>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c r="AV196" s="82"/>
      <c r="AW196" s="82"/>
      <c r="AX196" s="82"/>
      <c r="AY196" s="82"/>
      <c r="AZ196" s="82"/>
    </row>
    <row r="197" spans="1:52" x14ac:dyDescent="0.25">
      <c r="A197" s="82"/>
      <c r="B197" s="82"/>
      <c r="C197" s="82"/>
      <c r="D197" s="82"/>
      <c r="E197" s="82"/>
      <c r="F197" s="82"/>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c r="AV197" s="82"/>
      <c r="AW197" s="82"/>
      <c r="AX197" s="82"/>
      <c r="AY197" s="82"/>
      <c r="AZ197" s="82"/>
    </row>
    <row r="198" spans="1:52" x14ac:dyDescent="0.25">
      <c r="A198" s="82"/>
      <c r="B198" s="82"/>
      <c r="C198" s="82"/>
      <c r="D198" s="82"/>
      <c r="E198" s="82"/>
      <c r="F198" s="82"/>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c r="AV198" s="82"/>
      <c r="AW198" s="82"/>
      <c r="AX198" s="82"/>
      <c r="AY198" s="82"/>
      <c r="AZ198" s="82"/>
    </row>
    <row r="199" spans="1:52" x14ac:dyDescent="0.25">
      <c r="A199" s="82"/>
      <c r="B199" s="82"/>
      <c r="C199" s="82"/>
      <c r="D199" s="82"/>
      <c r="E199" s="82"/>
      <c r="F199" s="82"/>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c r="AV199" s="82"/>
      <c r="AW199" s="82"/>
      <c r="AX199" s="82"/>
      <c r="AY199" s="82"/>
      <c r="AZ199" s="82"/>
    </row>
    <row r="200" spans="1:52" x14ac:dyDescent="0.25">
      <c r="A200" s="82"/>
      <c r="B200" s="82"/>
      <c r="C200" s="82"/>
      <c r="D200" s="82"/>
      <c r="E200" s="82"/>
      <c r="F200" s="82"/>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c r="AV200" s="82"/>
      <c r="AW200" s="82"/>
      <c r="AX200" s="82"/>
      <c r="AY200" s="82"/>
      <c r="AZ200" s="82"/>
    </row>
    <row r="201" spans="1:52" x14ac:dyDescent="0.25">
      <c r="A201" s="82"/>
      <c r="B201" s="82"/>
      <c r="C201" s="82"/>
      <c r="D201" s="82"/>
      <c r="E201" s="82"/>
      <c r="F201" s="82"/>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c r="AV201" s="82"/>
      <c r="AW201" s="82"/>
      <c r="AX201" s="82"/>
      <c r="AY201" s="82"/>
      <c r="AZ201" s="82"/>
    </row>
    <row r="202" spans="1:52" x14ac:dyDescent="0.25">
      <c r="A202" s="82"/>
      <c r="B202" s="82"/>
      <c r="C202" s="82"/>
      <c r="D202" s="82"/>
      <c r="E202" s="82"/>
      <c r="F202" s="82"/>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c r="AV202" s="82"/>
      <c r="AW202" s="82"/>
      <c r="AX202" s="82"/>
      <c r="AY202" s="82"/>
      <c r="AZ202" s="82"/>
    </row>
    <row r="203" spans="1:52" x14ac:dyDescent="0.25">
      <c r="A203" s="82"/>
      <c r="B203" s="82"/>
      <c r="C203" s="82"/>
      <c r="D203" s="82"/>
      <c r="E203" s="82"/>
      <c r="F203" s="82"/>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c r="AV203" s="82"/>
      <c r="AW203" s="82"/>
      <c r="AX203" s="82"/>
      <c r="AY203" s="82"/>
      <c r="AZ203" s="82"/>
    </row>
    <row r="204" spans="1:52" x14ac:dyDescent="0.25">
      <c r="A204" s="82"/>
      <c r="B204" s="82"/>
      <c r="C204" s="82"/>
      <c r="D204" s="82"/>
      <c r="E204" s="82"/>
      <c r="F204" s="82"/>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c r="AV204" s="82"/>
      <c r="AW204" s="82"/>
      <c r="AX204" s="82"/>
      <c r="AY204" s="82"/>
      <c r="AZ204" s="82"/>
    </row>
    <row r="205" spans="1:52" x14ac:dyDescent="0.25">
      <c r="A205" s="82"/>
      <c r="B205" s="82"/>
      <c r="C205" s="82"/>
      <c r="D205" s="82"/>
      <c r="E205" s="82"/>
      <c r="F205" s="82"/>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c r="AV205" s="82"/>
      <c r="AW205" s="82"/>
      <c r="AX205" s="82"/>
      <c r="AY205" s="82"/>
      <c r="AZ205" s="82"/>
    </row>
    <row r="206" spans="1:52" x14ac:dyDescent="0.25">
      <c r="A206" s="82"/>
      <c r="B206" s="82"/>
      <c r="C206" s="82"/>
      <c r="D206" s="82"/>
      <c r="E206" s="82"/>
      <c r="F206" s="82"/>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c r="AV206" s="82"/>
      <c r="AW206" s="82"/>
      <c r="AX206" s="82"/>
      <c r="AY206" s="82"/>
      <c r="AZ206" s="82"/>
    </row>
    <row r="207" spans="1:52" x14ac:dyDescent="0.25">
      <c r="A207" s="82"/>
      <c r="B207" s="82"/>
      <c r="C207" s="82"/>
      <c r="D207" s="82"/>
      <c r="E207" s="82"/>
      <c r="F207" s="82"/>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c r="AV207" s="82"/>
      <c r="AW207" s="82"/>
      <c r="AX207" s="82"/>
      <c r="AY207" s="82"/>
      <c r="AZ207" s="82"/>
    </row>
    <row r="208" spans="1:52" x14ac:dyDescent="0.25">
      <c r="A208" s="82"/>
      <c r="B208" s="82"/>
      <c r="C208" s="82"/>
      <c r="D208" s="82"/>
      <c r="E208" s="82"/>
      <c r="F208" s="82"/>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c r="AV208" s="82"/>
      <c r="AW208" s="82"/>
      <c r="AX208" s="82"/>
      <c r="AY208" s="82"/>
      <c r="AZ208" s="82"/>
    </row>
    <row r="209" spans="1:52" x14ac:dyDescent="0.25">
      <c r="A209" s="82"/>
      <c r="B209" s="82"/>
      <c r="C209" s="82"/>
      <c r="D209" s="82"/>
      <c r="E209" s="82"/>
      <c r="F209" s="82"/>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c r="AV209" s="82"/>
      <c r="AW209" s="82"/>
      <c r="AX209" s="82"/>
      <c r="AY209" s="82"/>
      <c r="AZ209" s="82"/>
    </row>
    <row r="210" spans="1:52" x14ac:dyDescent="0.25">
      <c r="A210" s="82"/>
      <c r="B210" s="82"/>
      <c r="C210" s="82"/>
      <c r="D210" s="82"/>
      <c r="E210" s="82"/>
      <c r="F210" s="82"/>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c r="AV210" s="82"/>
      <c r="AW210" s="82"/>
      <c r="AX210" s="82"/>
      <c r="AY210" s="82"/>
      <c r="AZ210" s="82"/>
    </row>
    <row r="211" spans="1:52" x14ac:dyDescent="0.25">
      <c r="A211" s="82"/>
      <c r="B211" s="82"/>
      <c r="C211" s="82"/>
      <c r="D211" s="82"/>
      <c r="E211" s="82"/>
      <c r="F211" s="82"/>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c r="AV211" s="82"/>
      <c r="AW211" s="82"/>
      <c r="AX211" s="82"/>
      <c r="AY211" s="82"/>
      <c r="AZ211" s="82"/>
    </row>
    <row r="212" spans="1:52" x14ac:dyDescent="0.25">
      <c r="A212" s="82"/>
      <c r="B212" s="82"/>
      <c r="C212" s="82"/>
      <c r="D212" s="82"/>
      <c r="E212" s="82"/>
      <c r="F212" s="82"/>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c r="AV212" s="82"/>
      <c r="AW212" s="82"/>
      <c r="AX212" s="82"/>
      <c r="AY212" s="82"/>
      <c r="AZ212" s="82"/>
    </row>
    <row r="213" spans="1:52" x14ac:dyDescent="0.25">
      <c r="A213" s="82"/>
      <c r="B213" s="82"/>
      <c r="C213" s="82"/>
      <c r="D213" s="82"/>
      <c r="E213" s="82"/>
      <c r="F213" s="82"/>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c r="AV213" s="82"/>
      <c r="AW213" s="82"/>
      <c r="AX213" s="82"/>
      <c r="AY213" s="82"/>
      <c r="AZ213" s="82"/>
    </row>
    <row r="214" spans="1:52" x14ac:dyDescent="0.25">
      <c r="A214" s="82"/>
      <c r="B214" s="82"/>
      <c r="C214" s="82"/>
      <c r="D214" s="82"/>
      <c r="E214" s="82"/>
      <c r="F214" s="82"/>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c r="AV214" s="82"/>
      <c r="AW214" s="82"/>
      <c r="AX214" s="82"/>
      <c r="AY214" s="82"/>
      <c r="AZ214" s="82"/>
    </row>
    <row r="215" spans="1:52" x14ac:dyDescent="0.25">
      <c r="A215" s="82"/>
      <c r="B215" s="82"/>
      <c r="C215" s="82"/>
      <c r="D215" s="82"/>
      <c r="E215" s="82"/>
      <c r="F215" s="82"/>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c r="AV215" s="82"/>
      <c r="AW215" s="82"/>
      <c r="AX215" s="82"/>
      <c r="AY215" s="82"/>
      <c r="AZ215" s="82"/>
    </row>
    <row r="216" spans="1:52" x14ac:dyDescent="0.25">
      <c r="A216" s="82"/>
      <c r="B216" s="82"/>
      <c r="C216" s="82"/>
      <c r="D216" s="82"/>
      <c r="E216" s="82"/>
      <c r="F216" s="82"/>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c r="AV216" s="82"/>
      <c r="AW216" s="82"/>
      <c r="AX216" s="82"/>
      <c r="AY216" s="82"/>
      <c r="AZ216" s="82"/>
    </row>
    <row r="217" spans="1:52" x14ac:dyDescent="0.25">
      <c r="A217" s="82"/>
      <c r="B217" s="82"/>
      <c r="C217" s="82"/>
      <c r="D217" s="82"/>
      <c r="E217" s="82"/>
      <c r="F217" s="82"/>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c r="AV217" s="82"/>
      <c r="AW217" s="82"/>
      <c r="AX217" s="82"/>
      <c r="AY217" s="82"/>
      <c r="AZ217" s="82"/>
    </row>
    <row r="218" spans="1:52" x14ac:dyDescent="0.25">
      <c r="A218" s="82"/>
      <c r="B218" s="82"/>
      <c r="C218" s="82"/>
      <c r="D218" s="82"/>
      <c r="E218" s="82"/>
      <c r="F218" s="82"/>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c r="AV218" s="82"/>
      <c r="AW218" s="82"/>
      <c r="AX218" s="82"/>
      <c r="AY218" s="82"/>
      <c r="AZ218" s="82"/>
    </row>
    <row r="219" spans="1:52" x14ac:dyDescent="0.25">
      <c r="A219" s="82"/>
      <c r="B219" s="82"/>
      <c r="C219" s="82"/>
      <c r="D219" s="82"/>
      <c r="E219" s="82"/>
      <c r="F219" s="82"/>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c r="AV219" s="82"/>
      <c r="AW219" s="82"/>
      <c r="AX219" s="82"/>
      <c r="AY219" s="82"/>
      <c r="AZ219" s="82"/>
    </row>
    <row r="220" spans="1:52" x14ac:dyDescent="0.25">
      <c r="A220" s="82"/>
      <c r="B220" s="82"/>
      <c r="C220" s="82"/>
      <c r="D220" s="82"/>
      <c r="E220" s="82"/>
      <c r="F220" s="82"/>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c r="AV220" s="82"/>
      <c r="AW220" s="82"/>
      <c r="AX220" s="82"/>
      <c r="AY220" s="82"/>
      <c r="AZ220" s="82"/>
    </row>
  </sheetData>
  <mergeCells count="1">
    <mergeCell ref="B2:D2"/>
  </mergeCells>
  <pageMargins left="0.511811024" right="0.511811024" top="0.78740157499999996" bottom="0.78740157499999996" header="0.31496062000000002" footer="0.31496062000000002"/>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tabColor rgb="FF22C55E"/>
  </sheetPr>
  <dimension ref="A1:AZ420"/>
  <sheetViews>
    <sheetView workbookViewId="0">
      <pane ySplit="12" topLeftCell="A21" activePane="bottomLeft" state="frozen"/>
      <selection pane="bottomLeft" activeCell="A13" sqref="A1:XFD13"/>
    </sheetView>
  </sheetViews>
  <sheetFormatPr defaultColWidth="0" defaultRowHeight="14.25" zeroHeight="1" x14ac:dyDescent="0.25"/>
  <cols>
    <col min="1" max="1" width="24.7109375" style="78" customWidth="1"/>
    <col min="2" max="2" width="42.7109375" style="78" customWidth="1"/>
    <col min="3" max="3" width="14.7109375" style="78" customWidth="1"/>
    <col min="4" max="4" width="18.7109375" style="78" customWidth="1"/>
    <col min="5" max="5" width="12.7109375" style="78" customWidth="1"/>
    <col min="6" max="8" width="16.7109375" style="78" customWidth="1"/>
    <col min="9" max="16384" width="9.140625" style="78" hidden="1"/>
  </cols>
  <sheetData>
    <row r="1" spans="1:52" x14ac:dyDescent="0.25">
      <c r="A1" s="82"/>
      <c r="B1" s="82"/>
      <c r="C1" s="82"/>
      <c r="D1" s="82"/>
      <c r="E1" s="82"/>
      <c r="F1" s="82"/>
      <c r="G1" s="82"/>
      <c r="H1" s="82"/>
      <c r="I1" s="82"/>
      <c r="J1" s="82"/>
      <c r="K1" s="82"/>
      <c r="L1" s="82"/>
      <c r="M1" s="82"/>
      <c r="N1" s="82"/>
      <c r="O1" s="82"/>
      <c r="P1" s="82"/>
      <c r="Q1" s="82"/>
      <c r="R1" s="82"/>
      <c r="S1" s="82"/>
      <c r="T1" s="82"/>
      <c r="U1" s="82"/>
      <c r="V1" s="82"/>
      <c r="W1" s="82"/>
      <c r="X1" s="82"/>
      <c r="Y1" s="82"/>
      <c r="Z1" s="82"/>
      <c r="AA1" s="82"/>
      <c r="AB1" s="82"/>
      <c r="AC1" s="82"/>
      <c r="AD1" s="82"/>
      <c r="AE1" s="82"/>
      <c r="AF1" s="82"/>
      <c r="AG1" s="82"/>
      <c r="AH1" s="82"/>
      <c r="AI1" s="82"/>
      <c r="AJ1" s="82"/>
      <c r="AK1" s="82"/>
      <c r="AL1" s="82"/>
      <c r="AM1" s="82"/>
      <c r="AN1" s="82"/>
      <c r="AO1" s="82"/>
      <c r="AP1" s="82"/>
      <c r="AQ1" s="82"/>
      <c r="AR1" s="82"/>
      <c r="AS1" s="82"/>
      <c r="AT1" s="82"/>
      <c r="AU1" s="82"/>
      <c r="AV1" s="82"/>
      <c r="AW1" s="82"/>
      <c r="AX1" s="82"/>
      <c r="AY1" s="82"/>
      <c r="AZ1" s="82"/>
    </row>
    <row r="2" spans="1:52" ht="26.25" customHeight="1" x14ac:dyDescent="0.45">
      <c r="A2" s="82"/>
      <c r="B2" s="269" t="s">
        <v>1148</v>
      </c>
      <c r="C2" s="267"/>
      <c r="D2" s="267"/>
      <c r="E2" s="267"/>
      <c r="F2" s="267"/>
      <c r="G2" s="267"/>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c r="AQ2" s="82"/>
      <c r="AR2" s="82"/>
      <c r="AS2" s="82"/>
      <c r="AT2" s="82"/>
      <c r="AU2" s="82"/>
      <c r="AV2" s="82"/>
      <c r="AW2" s="82"/>
      <c r="AX2" s="82"/>
      <c r="AY2" s="82"/>
      <c r="AZ2" s="82"/>
    </row>
    <row r="3" spans="1:52" x14ac:dyDescent="0.25">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82"/>
      <c r="AE3" s="82"/>
      <c r="AF3" s="82"/>
      <c r="AG3" s="82"/>
      <c r="AH3" s="82"/>
      <c r="AI3" s="82"/>
      <c r="AJ3" s="82"/>
      <c r="AK3" s="82"/>
      <c r="AL3" s="82"/>
      <c r="AM3" s="82"/>
      <c r="AN3" s="82"/>
      <c r="AO3" s="82"/>
      <c r="AP3" s="82"/>
      <c r="AQ3" s="82"/>
      <c r="AR3" s="82"/>
      <c r="AS3" s="82"/>
      <c r="AT3" s="82"/>
      <c r="AU3" s="82"/>
      <c r="AV3" s="82"/>
      <c r="AW3" s="82"/>
      <c r="AX3" s="82"/>
      <c r="AY3" s="82"/>
      <c r="AZ3" s="82"/>
    </row>
    <row r="4" spans="1:52" x14ac:dyDescent="0.25">
      <c r="A4" s="82"/>
      <c r="B4" s="83" t="s">
        <v>1</v>
      </c>
      <c r="C4" s="155" t="s">
        <v>48</v>
      </c>
      <c r="D4" s="155"/>
      <c r="E4" s="155"/>
      <c r="F4" s="83"/>
      <c r="G4" s="82"/>
      <c r="H4" s="82"/>
      <c r="I4" s="82"/>
      <c r="J4" s="82"/>
      <c r="K4" s="82"/>
      <c r="L4" s="82"/>
      <c r="M4" s="82"/>
      <c r="N4" s="82"/>
      <c r="O4" s="82"/>
      <c r="P4" s="82"/>
      <c r="Q4" s="82"/>
      <c r="R4" s="82"/>
      <c r="S4" s="82"/>
      <c r="T4" s="82"/>
      <c r="U4" s="82"/>
      <c r="V4" s="82"/>
      <c r="W4" s="82"/>
      <c r="X4" s="82"/>
      <c r="Y4" s="82"/>
      <c r="Z4" s="82"/>
      <c r="AA4" s="82"/>
      <c r="AB4" s="82"/>
      <c r="AC4" s="82"/>
      <c r="AD4" s="82"/>
      <c r="AE4" s="82"/>
      <c r="AF4" s="82"/>
      <c r="AG4" s="82"/>
      <c r="AH4" s="82"/>
      <c r="AI4" s="82"/>
      <c r="AJ4" s="82"/>
      <c r="AK4" s="82"/>
      <c r="AL4" s="82"/>
      <c r="AM4" s="82"/>
      <c r="AN4" s="82"/>
      <c r="AO4" s="82"/>
      <c r="AP4" s="82"/>
      <c r="AQ4" s="82"/>
      <c r="AR4" s="82"/>
      <c r="AS4" s="82"/>
      <c r="AT4" s="82"/>
      <c r="AU4" s="82"/>
      <c r="AV4" s="82"/>
      <c r="AW4" s="82"/>
      <c r="AX4" s="82"/>
      <c r="AY4" s="82"/>
      <c r="AZ4" s="82"/>
    </row>
    <row r="5" spans="1:52" x14ac:dyDescent="0.25">
      <c r="A5" s="82"/>
      <c r="B5" s="83"/>
      <c r="C5" s="83"/>
      <c r="D5" s="83"/>
      <c r="E5" s="83"/>
      <c r="F5" s="83"/>
      <c r="G5" s="82"/>
      <c r="H5" s="82"/>
      <c r="I5" s="82"/>
      <c r="J5" s="82"/>
      <c r="K5" s="82"/>
      <c r="L5" s="82"/>
      <c r="M5" s="82"/>
      <c r="N5" s="82"/>
      <c r="O5" s="82"/>
      <c r="P5" s="82"/>
      <c r="Q5" s="82"/>
      <c r="R5" s="82"/>
      <c r="S5" s="82"/>
      <c r="T5" s="82"/>
      <c r="U5" s="82"/>
      <c r="V5" s="82"/>
      <c r="W5" s="82"/>
      <c r="X5" s="82"/>
      <c r="Y5" s="82"/>
      <c r="Z5" s="82"/>
      <c r="AA5" s="82"/>
      <c r="AB5" s="82"/>
      <c r="AC5" s="82"/>
      <c r="AD5" s="82"/>
      <c r="AE5" s="82"/>
      <c r="AF5" s="82"/>
      <c r="AG5" s="82"/>
      <c r="AH5" s="82"/>
      <c r="AI5" s="82"/>
      <c r="AJ5" s="82"/>
      <c r="AK5" s="82"/>
      <c r="AL5" s="82"/>
      <c r="AM5" s="82"/>
      <c r="AN5" s="82"/>
      <c r="AO5" s="82"/>
      <c r="AP5" s="82"/>
      <c r="AQ5" s="82"/>
      <c r="AR5" s="82"/>
      <c r="AS5" s="82"/>
      <c r="AT5" s="82"/>
      <c r="AU5" s="82"/>
      <c r="AV5" s="82"/>
      <c r="AW5" s="82"/>
      <c r="AX5" s="82"/>
      <c r="AY5" s="82"/>
      <c r="AZ5" s="82"/>
    </row>
    <row r="6" spans="1:52" x14ac:dyDescent="0.25">
      <c r="A6" s="82"/>
      <c r="B6" s="83" t="s">
        <v>2</v>
      </c>
      <c r="C6" s="155" t="s">
        <v>54</v>
      </c>
      <c r="D6" s="155"/>
      <c r="E6" s="155"/>
      <c r="F6" s="155"/>
      <c r="G6" s="156"/>
      <c r="H6" s="82"/>
      <c r="I6" s="82"/>
      <c r="J6" s="82"/>
      <c r="K6" s="82"/>
      <c r="L6" s="82"/>
      <c r="M6" s="82"/>
      <c r="N6" s="82"/>
      <c r="O6" s="82"/>
      <c r="P6" s="82"/>
      <c r="Q6" s="82"/>
      <c r="R6" s="82"/>
      <c r="S6" s="82"/>
      <c r="T6" s="82"/>
      <c r="U6" s="82"/>
      <c r="V6" s="82"/>
      <c r="W6" s="82"/>
      <c r="X6" s="82"/>
      <c r="Y6" s="82"/>
      <c r="Z6" s="82"/>
      <c r="AA6" s="82"/>
      <c r="AB6" s="82"/>
      <c r="AC6" s="82"/>
      <c r="AD6" s="82"/>
      <c r="AE6" s="82"/>
      <c r="AF6" s="82"/>
      <c r="AG6" s="82"/>
      <c r="AH6" s="82"/>
      <c r="AI6" s="82"/>
      <c r="AJ6" s="82"/>
      <c r="AK6" s="82"/>
      <c r="AL6" s="82"/>
      <c r="AM6" s="82"/>
      <c r="AN6" s="82"/>
      <c r="AO6" s="82"/>
      <c r="AP6" s="82"/>
      <c r="AQ6" s="82"/>
      <c r="AR6" s="82"/>
      <c r="AS6" s="82"/>
      <c r="AT6" s="82"/>
      <c r="AU6" s="82"/>
      <c r="AV6" s="82"/>
      <c r="AW6" s="82"/>
      <c r="AX6" s="82"/>
      <c r="AY6" s="82"/>
      <c r="AZ6" s="82"/>
    </row>
    <row r="7" spans="1:52" x14ac:dyDescent="0.25">
      <c r="A7" s="82"/>
      <c r="B7" s="83"/>
      <c r="C7" s="83"/>
      <c r="D7" s="83"/>
      <c r="E7" s="83"/>
      <c r="F7" s="83"/>
      <c r="G7" s="82"/>
      <c r="H7" s="82"/>
      <c r="I7" s="82"/>
      <c r="J7" s="82"/>
      <c r="K7" s="82"/>
      <c r="L7" s="82"/>
      <c r="M7" s="82"/>
      <c r="N7" s="82"/>
      <c r="O7" s="82"/>
      <c r="P7" s="82"/>
      <c r="Q7" s="82"/>
      <c r="R7" s="82"/>
      <c r="S7" s="82"/>
      <c r="T7" s="82"/>
      <c r="U7" s="82"/>
      <c r="V7" s="82"/>
      <c r="W7" s="82"/>
      <c r="X7" s="82"/>
      <c r="Y7" s="82"/>
      <c r="Z7" s="82"/>
      <c r="AA7" s="82"/>
      <c r="AB7" s="82"/>
      <c r="AC7" s="82"/>
      <c r="AD7" s="82"/>
      <c r="AE7" s="82"/>
      <c r="AF7" s="82"/>
      <c r="AG7" s="82"/>
      <c r="AH7" s="82"/>
      <c r="AI7" s="82"/>
      <c r="AJ7" s="82"/>
      <c r="AK7" s="82"/>
      <c r="AL7" s="82"/>
      <c r="AM7" s="82"/>
      <c r="AN7" s="82"/>
      <c r="AO7" s="82"/>
      <c r="AP7" s="82"/>
      <c r="AQ7" s="82"/>
      <c r="AR7" s="82"/>
      <c r="AS7" s="82"/>
      <c r="AT7" s="82"/>
      <c r="AU7" s="82"/>
      <c r="AV7" s="82"/>
      <c r="AW7" s="82"/>
      <c r="AX7" s="82"/>
      <c r="AY7" s="82"/>
      <c r="AZ7" s="82"/>
    </row>
    <row r="8" spans="1:52" x14ac:dyDescent="0.25">
      <c r="A8" s="82"/>
      <c r="B8" s="83" t="s">
        <v>18</v>
      </c>
      <c r="C8" s="155" t="s">
        <v>112</v>
      </c>
      <c r="D8" s="83" t="s">
        <v>1146</v>
      </c>
      <c r="E8" s="155" t="s">
        <v>1077</v>
      </c>
      <c r="F8" s="83" t="s">
        <v>1149</v>
      </c>
      <c r="G8" s="156" t="s">
        <v>25</v>
      </c>
      <c r="H8" s="82"/>
      <c r="I8" s="82"/>
      <c r="J8" s="82"/>
      <c r="K8" s="82"/>
      <c r="L8" s="82"/>
      <c r="M8" s="82"/>
      <c r="N8" s="82"/>
      <c r="O8" s="82"/>
      <c r="P8" s="82"/>
      <c r="Q8" s="82"/>
      <c r="R8" s="82"/>
      <c r="S8" s="82"/>
      <c r="T8" s="82"/>
      <c r="U8" s="82"/>
      <c r="V8" s="82"/>
      <c r="W8" s="82"/>
      <c r="X8" s="82"/>
      <c r="Y8" s="82"/>
      <c r="Z8" s="82"/>
      <c r="AA8" s="82"/>
      <c r="AB8" s="82"/>
      <c r="AC8" s="82"/>
      <c r="AD8" s="82"/>
      <c r="AE8" s="82"/>
      <c r="AF8" s="82"/>
      <c r="AG8" s="82"/>
      <c r="AH8" s="82"/>
      <c r="AI8" s="82"/>
      <c r="AJ8" s="82"/>
      <c r="AK8" s="82"/>
      <c r="AL8" s="82"/>
      <c r="AM8" s="82"/>
      <c r="AN8" s="82"/>
      <c r="AO8" s="82"/>
      <c r="AP8" s="82"/>
      <c r="AQ8" s="82"/>
      <c r="AR8" s="82"/>
      <c r="AS8" s="82"/>
      <c r="AT8" s="82"/>
      <c r="AU8" s="82"/>
      <c r="AV8" s="82"/>
      <c r="AW8" s="82"/>
      <c r="AX8" s="82"/>
      <c r="AY8" s="82"/>
      <c r="AZ8" s="82"/>
    </row>
    <row r="9" spans="1:52" x14ac:dyDescent="0.25">
      <c r="A9" s="82"/>
      <c r="B9" s="82"/>
      <c r="C9" s="82"/>
      <c r="D9" s="82"/>
      <c r="E9" s="82"/>
      <c r="F9" s="82"/>
      <c r="G9" s="82"/>
      <c r="H9" s="82"/>
      <c r="I9" s="82"/>
      <c r="J9" s="82"/>
      <c r="K9" s="82"/>
      <c r="L9" s="82"/>
      <c r="M9" s="82"/>
      <c r="N9" s="82"/>
      <c r="O9" s="82"/>
      <c r="P9" s="82"/>
      <c r="Q9" s="82"/>
      <c r="R9" s="82"/>
      <c r="S9" s="82"/>
      <c r="T9" s="82"/>
      <c r="U9" s="82"/>
      <c r="V9" s="82"/>
      <c r="W9" s="82"/>
      <c r="X9" s="82"/>
      <c r="Y9" s="82"/>
      <c r="Z9" s="82"/>
      <c r="AA9" s="82"/>
      <c r="AB9" s="82"/>
      <c r="AC9" s="82"/>
      <c r="AD9" s="82"/>
      <c r="AE9" s="82"/>
      <c r="AF9" s="82"/>
      <c r="AG9" s="82"/>
      <c r="AH9" s="82"/>
      <c r="AI9" s="82"/>
      <c r="AJ9" s="82"/>
      <c r="AK9" s="82"/>
      <c r="AL9" s="82"/>
      <c r="AM9" s="82"/>
      <c r="AN9" s="82"/>
      <c r="AO9" s="82"/>
      <c r="AP9" s="82"/>
      <c r="AQ9" s="82"/>
      <c r="AR9" s="82"/>
      <c r="AS9" s="82"/>
      <c r="AT9" s="82"/>
      <c r="AU9" s="82"/>
      <c r="AV9" s="82"/>
      <c r="AW9" s="82"/>
      <c r="AX9" s="82"/>
      <c r="AY9" s="82"/>
      <c r="AZ9" s="82"/>
    </row>
    <row r="10" spans="1:52" x14ac:dyDescent="0.25">
      <c r="A10" s="82"/>
      <c r="B10" s="82"/>
      <c r="C10" s="82"/>
      <c r="D10" s="82"/>
      <c r="E10" s="82"/>
      <c r="F10" s="82"/>
      <c r="G10" s="82"/>
      <c r="H10" s="82"/>
      <c r="I10" s="82"/>
      <c r="J10" s="82"/>
      <c r="K10" s="82"/>
      <c r="L10" s="82"/>
      <c r="M10" s="82"/>
      <c r="N10" s="82"/>
      <c r="O10" s="82"/>
      <c r="P10" s="82"/>
      <c r="Q10" s="82"/>
      <c r="R10" s="82"/>
      <c r="S10" s="82"/>
      <c r="T10" s="82"/>
      <c r="U10" s="82"/>
      <c r="V10" s="82"/>
      <c r="W10" s="82"/>
      <c r="X10" s="82"/>
      <c r="Y10" s="82"/>
      <c r="Z10" s="82"/>
      <c r="AA10" s="82"/>
      <c r="AB10" s="82"/>
      <c r="AC10" s="82"/>
      <c r="AD10" s="82"/>
      <c r="AE10" s="82"/>
      <c r="AF10" s="82"/>
      <c r="AG10" s="82"/>
      <c r="AH10" s="82"/>
      <c r="AI10" s="82"/>
      <c r="AJ10" s="82"/>
      <c r="AK10" s="82"/>
      <c r="AL10" s="82"/>
      <c r="AM10" s="82"/>
      <c r="AN10" s="82"/>
      <c r="AO10" s="82"/>
      <c r="AP10" s="82"/>
      <c r="AQ10" s="82"/>
      <c r="AR10" s="82"/>
      <c r="AS10" s="82"/>
      <c r="AT10" s="82"/>
      <c r="AU10" s="82"/>
      <c r="AV10" s="82"/>
      <c r="AW10" s="82"/>
      <c r="AX10" s="82"/>
      <c r="AY10" s="82"/>
      <c r="AZ10" s="82"/>
    </row>
    <row r="11" spans="1:52" x14ac:dyDescent="0.25">
      <c r="A11" s="82"/>
      <c r="B11" s="82"/>
      <c r="C11" s="82"/>
      <c r="D11" s="82"/>
      <c r="E11" s="82"/>
      <c r="F11" s="82"/>
      <c r="G11" s="82"/>
      <c r="H11" s="82"/>
      <c r="I11" s="82"/>
      <c r="J11" s="82"/>
      <c r="K11" s="82"/>
      <c r="L11" s="82"/>
      <c r="M11" s="82"/>
      <c r="N11" s="82"/>
      <c r="O11" s="82"/>
      <c r="P11" s="82"/>
      <c r="Q11" s="82"/>
      <c r="R11" s="82"/>
      <c r="S11" s="82"/>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row>
    <row r="12" spans="1:52" x14ac:dyDescent="0.25">
      <c r="A12" s="91" t="s">
        <v>1</v>
      </c>
      <c r="B12" s="91" t="s">
        <v>2</v>
      </c>
      <c r="C12" s="91" t="s">
        <v>18</v>
      </c>
      <c r="D12" s="91" t="s">
        <v>1146</v>
      </c>
      <c r="E12" s="91" t="s">
        <v>1149</v>
      </c>
      <c r="F12" s="82"/>
      <c r="G12" s="82"/>
      <c r="H12" s="82"/>
      <c r="I12" s="82"/>
      <c r="J12" s="82"/>
      <c r="K12" s="82"/>
      <c r="L12" s="82"/>
      <c r="M12" s="82"/>
      <c r="N12" s="82"/>
      <c r="O12" s="82"/>
      <c r="P12" s="82"/>
      <c r="Q12" s="82"/>
      <c r="R12" s="82"/>
      <c r="S12" s="82"/>
      <c r="T12" s="82"/>
      <c r="U12" s="82"/>
      <c r="V12" s="82"/>
      <c r="W12" s="82"/>
      <c r="X12" s="82"/>
      <c r="Y12" s="82"/>
      <c r="Z12" s="82"/>
      <c r="AA12" s="82"/>
      <c r="AB12" s="82"/>
      <c r="AC12" s="82"/>
      <c r="AD12" s="82"/>
      <c r="AE12" s="82"/>
      <c r="AF12" s="82"/>
      <c r="AG12" s="82"/>
      <c r="AH12" s="82"/>
      <c r="AI12" s="82"/>
      <c r="AJ12" s="82"/>
      <c r="AK12" s="82"/>
      <c r="AL12" s="82"/>
      <c r="AM12" s="82"/>
      <c r="AN12" s="82"/>
      <c r="AO12" s="82"/>
      <c r="AP12" s="82"/>
      <c r="AQ12" s="82"/>
      <c r="AR12" s="82"/>
      <c r="AS12" s="82"/>
      <c r="AT12" s="82"/>
      <c r="AU12" s="82"/>
      <c r="AV12" s="82"/>
      <c r="AW12" s="82"/>
      <c r="AX12" s="82"/>
      <c r="AY12" s="82"/>
      <c r="AZ12" s="82"/>
    </row>
    <row r="13" spans="1:52" x14ac:dyDescent="0.25">
      <c r="A13" s="177" t="s">
        <v>23</v>
      </c>
      <c r="B13" s="177" t="s">
        <v>24</v>
      </c>
      <c r="C13" s="177" t="s">
        <v>25</v>
      </c>
      <c r="D13" s="177" t="s">
        <v>1077</v>
      </c>
      <c r="E13" s="177" t="s">
        <v>25</v>
      </c>
      <c r="F13" s="82"/>
      <c r="G13" s="82"/>
      <c r="H13" s="82"/>
      <c r="I13" s="82"/>
      <c r="J13" s="82"/>
      <c r="K13" s="82"/>
      <c r="L13" s="82"/>
      <c r="M13" s="82"/>
      <c r="N13" s="82"/>
      <c r="O13" s="82"/>
      <c r="P13" s="82"/>
      <c r="Q13" s="82"/>
      <c r="R13" s="82"/>
      <c r="S13" s="82"/>
      <c r="T13" s="82"/>
      <c r="U13" s="82"/>
      <c r="V13" s="82"/>
      <c r="W13" s="82"/>
      <c r="X13" s="82"/>
      <c r="Y13" s="82"/>
      <c r="Z13" s="82"/>
      <c r="AA13" s="82"/>
      <c r="AB13" s="82"/>
      <c r="AC13" s="82"/>
      <c r="AD13" s="82"/>
      <c r="AE13" s="82"/>
      <c r="AF13" s="82"/>
      <c r="AG13" s="82"/>
      <c r="AH13" s="82"/>
      <c r="AI13" s="82"/>
      <c r="AJ13" s="82"/>
      <c r="AK13" s="82"/>
      <c r="AL13" s="82"/>
      <c r="AM13" s="82"/>
      <c r="AN13" s="82"/>
      <c r="AO13" s="82"/>
      <c r="AP13" s="82"/>
      <c r="AQ13" s="82"/>
      <c r="AR13" s="82"/>
      <c r="AS13" s="82"/>
      <c r="AT13" s="82"/>
      <c r="AU13" s="82"/>
      <c r="AV13" s="82"/>
      <c r="AW13" s="82"/>
      <c r="AX13" s="82"/>
      <c r="AY13" s="82"/>
      <c r="AZ13" s="82"/>
    </row>
    <row r="14" spans="1:52" x14ac:dyDescent="0.25">
      <c r="A14" s="177" t="s">
        <v>23</v>
      </c>
      <c r="B14" s="177" t="s">
        <v>28</v>
      </c>
      <c r="C14" s="177" t="s">
        <v>25</v>
      </c>
      <c r="D14" s="177" t="s">
        <v>1077</v>
      </c>
      <c r="E14" s="177" t="s">
        <v>25</v>
      </c>
      <c r="F14" s="82"/>
      <c r="G14" s="82"/>
      <c r="H14" s="82"/>
      <c r="I14" s="82"/>
      <c r="J14" s="82"/>
      <c r="K14" s="82"/>
      <c r="L14" s="82"/>
      <c r="M14" s="82"/>
      <c r="N14" s="82"/>
      <c r="O14" s="82"/>
      <c r="P14" s="82"/>
      <c r="Q14" s="82"/>
      <c r="R14" s="82"/>
      <c r="S14" s="82"/>
      <c r="T14" s="82"/>
      <c r="U14" s="82"/>
      <c r="V14" s="82"/>
      <c r="W14" s="82"/>
      <c r="X14" s="82"/>
      <c r="Y14" s="82"/>
      <c r="Z14" s="82"/>
      <c r="AA14" s="82"/>
      <c r="AB14" s="82"/>
      <c r="AC14" s="82"/>
      <c r="AD14" s="82"/>
      <c r="AE14" s="82"/>
      <c r="AF14" s="82"/>
      <c r="AG14" s="82"/>
      <c r="AH14" s="82"/>
      <c r="AI14" s="82"/>
      <c r="AJ14" s="82"/>
      <c r="AK14" s="82"/>
      <c r="AL14" s="82"/>
      <c r="AM14" s="82"/>
      <c r="AN14" s="82"/>
      <c r="AO14" s="82"/>
      <c r="AP14" s="82"/>
      <c r="AQ14" s="82"/>
      <c r="AR14" s="82"/>
      <c r="AS14" s="82"/>
      <c r="AT14" s="82"/>
      <c r="AU14" s="82"/>
      <c r="AV14" s="82"/>
      <c r="AW14" s="82"/>
      <c r="AX14" s="82"/>
      <c r="AY14" s="82"/>
      <c r="AZ14" s="82"/>
    </row>
    <row r="15" spans="1:52" x14ac:dyDescent="0.25">
      <c r="A15" s="177" t="s">
        <v>23</v>
      </c>
      <c r="B15" s="177" t="s">
        <v>30</v>
      </c>
      <c r="C15" s="177" t="s">
        <v>25</v>
      </c>
      <c r="D15" s="177" t="s">
        <v>1077</v>
      </c>
      <c r="E15" s="177" t="s">
        <v>25</v>
      </c>
      <c r="F15" s="82"/>
      <c r="G15" s="82"/>
      <c r="H15" s="82"/>
      <c r="I15" s="82"/>
      <c r="J15" s="82"/>
      <c r="K15" s="82"/>
      <c r="L15" s="82"/>
      <c r="M15" s="82"/>
      <c r="N15" s="82"/>
      <c r="O15" s="82"/>
      <c r="P15" s="82"/>
      <c r="Q15" s="82"/>
      <c r="R15" s="82"/>
      <c r="S15" s="82"/>
      <c r="T15" s="82"/>
      <c r="U15" s="82"/>
      <c r="V15" s="82"/>
      <c r="W15" s="82"/>
      <c r="X15" s="82"/>
      <c r="Y15" s="82"/>
      <c r="Z15" s="82"/>
      <c r="AA15" s="82"/>
      <c r="AB15" s="82"/>
      <c r="AC15" s="82"/>
      <c r="AD15" s="82"/>
      <c r="AE15" s="82"/>
      <c r="AF15" s="82"/>
      <c r="AG15" s="82"/>
      <c r="AH15" s="82"/>
      <c r="AI15" s="82"/>
      <c r="AJ15" s="82"/>
      <c r="AK15" s="82"/>
      <c r="AL15" s="82"/>
      <c r="AM15" s="82"/>
      <c r="AN15" s="82"/>
      <c r="AO15" s="82"/>
      <c r="AP15" s="82"/>
      <c r="AQ15" s="82"/>
      <c r="AR15" s="82"/>
      <c r="AS15" s="82"/>
      <c r="AT15" s="82"/>
      <c r="AU15" s="82"/>
      <c r="AV15" s="82"/>
      <c r="AW15" s="82"/>
      <c r="AX15" s="82"/>
      <c r="AY15" s="82"/>
      <c r="AZ15" s="82"/>
    </row>
    <row r="16" spans="1:52" x14ac:dyDescent="0.25">
      <c r="A16" s="177" t="s">
        <v>23</v>
      </c>
      <c r="B16" s="177" t="s">
        <v>32</v>
      </c>
      <c r="C16" s="177" t="s">
        <v>25</v>
      </c>
      <c r="D16" s="177" t="s">
        <v>1077</v>
      </c>
      <c r="E16" s="177" t="s">
        <v>25</v>
      </c>
      <c r="F16" s="82"/>
      <c r="G16" s="82"/>
      <c r="H16" s="82"/>
      <c r="I16" s="82"/>
      <c r="J16" s="82"/>
      <c r="K16" s="82"/>
      <c r="L16" s="82"/>
      <c r="M16" s="82"/>
      <c r="N16" s="82"/>
      <c r="O16" s="82"/>
      <c r="P16" s="82"/>
      <c r="Q16" s="82"/>
      <c r="R16" s="82"/>
      <c r="S16" s="82"/>
      <c r="T16" s="82"/>
      <c r="U16" s="82"/>
      <c r="V16" s="82"/>
      <c r="W16" s="82"/>
      <c r="X16" s="82"/>
      <c r="Y16" s="82"/>
      <c r="Z16" s="82"/>
      <c r="AA16" s="82"/>
      <c r="AB16" s="82"/>
      <c r="AC16" s="82"/>
      <c r="AD16" s="82"/>
      <c r="AE16" s="82"/>
      <c r="AF16" s="82"/>
      <c r="AG16" s="82"/>
      <c r="AH16" s="82"/>
      <c r="AI16" s="82"/>
      <c r="AJ16" s="82"/>
      <c r="AK16" s="82"/>
      <c r="AL16" s="82"/>
      <c r="AM16" s="82"/>
      <c r="AN16" s="82"/>
      <c r="AO16" s="82"/>
      <c r="AP16" s="82"/>
      <c r="AQ16" s="82"/>
      <c r="AR16" s="82"/>
      <c r="AS16" s="82"/>
      <c r="AT16" s="82"/>
      <c r="AU16" s="82"/>
      <c r="AV16" s="82"/>
      <c r="AW16" s="82"/>
      <c r="AX16" s="82"/>
      <c r="AY16" s="82"/>
      <c r="AZ16" s="82"/>
    </row>
    <row r="17" spans="1:52" x14ac:dyDescent="0.25">
      <c r="A17" s="177" t="s">
        <v>23</v>
      </c>
      <c r="B17" s="177" t="s">
        <v>34</v>
      </c>
      <c r="C17" s="177" t="s">
        <v>25</v>
      </c>
      <c r="D17" s="177" t="s">
        <v>1077</v>
      </c>
      <c r="E17" s="177" t="s">
        <v>25</v>
      </c>
      <c r="F17" s="82"/>
      <c r="G17" s="82"/>
      <c r="H17" s="82"/>
      <c r="I17" s="82"/>
      <c r="J17" s="82"/>
      <c r="K17" s="82"/>
      <c r="L17" s="82"/>
      <c r="M17" s="82"/>
      <c r="N17" s="82"/>
      <c r="O17" s="82"/>
      <c r="P17" s="82"/>
      <c r="Q17" s="82"/>
      <c r="R17" s="82"/>
      <c r="S17" s="82"/>
      <c r="T17" s="82"/>
      <c r="U17" s="82"/>
      <c r="V17" s="82"/>
      <c r="W17" s="82"/>
      <c r="X17" s="82"/>
      <c r="Y17" s="82"/>
      <c r="Z17" s="82"/>
      <c r="AA17" s="82"/>
      <c r="AB17" s="82"/>
      <c r="AC17" s="82"/>
      <c r="AD17" s="82"/>
      <c r="AE17" s="82"/>
      <c r="AF17" s="82"/>
      <c r="AG17" s="82"/>
      <c r="AH17" s="82"/>
      <c r="AI17" s="82"/>
      <c r="AJ17" s="82"/>
      <c r="AK17" s="82"/>
      <c r="AL17" s="82"/>
      <c r="AM17" s="82"/>
      <c r="AN17" s="82"/>
      <c r="AO17" s="82"/>
      <c r="AP17" s="82"/>
      <c r="AQ17" s="82"/>
      <c r="AR17" s="82"/>
      <c r="AS17" s="82"/>
      <c r="AT17" s="82"/>
      <c r="AU17" s="82"/>
      <c r="AV17" s="82"/>
      <c r="AW17" s="82"/>
      <c r="AX17" s="82"/>
      <c r="AY17" s="82"/>
      <c r="AZ17" s="82"/>
    </row>
    <row r="18" spans="1:52" x14ac:dyDescent="0.25">
      <c r="A18" s="177" t="s">
        <v>23</v>
      </c>
      <c r="B18" s="177" t="s">
        <v>36</v>
      </c>
      <c r="C18" s="177" t="s">
        <v>25</v>
      </c>
      <c r="D18" s="177" t="s">
        <v>1077</v>
      </c>
      <c r="E18" s="177" t="s">
        <v>25</v>
      </c>
      <c r="F18" s="82"/>
      <c r="G18" s="82"/>
      <c r="H18" s="82"/>
      <c r="I18" s="82"/>
      <c r="J18" s="82"/>
      <c r="K18" s="82"/>
      <c r="L18" s="82"/>
      <c r="M18" s="82"/>
      <c r="N18" s="82"/>
      <c r="O18" s="82"/>
      <c r="P18" s="82"/>
      <c r="Q18" s="82"/>
      <c r="R18" s="82"/>
      <c r="S18" s="82"/>
      <c r="T18" s="82"/>
      <c r="U18" s="82"/>
      <c r="V18" s="82"/>
      <c r="W18" s="82"/>
      <c r="X18" s="82"/>
      <c r="Y18" s="82"/>
      <c r="Z18" s="82"/>
      <c r="AA18" s="82"/>
      <c r="AB18" s="82"/>
      <c r="AC18" s="82"/>
      <c r="AD18" s="82"/>
      <c r="AE18" s="82"/>
      <c r="AF18" s="82"/>
      <c r="AG18" s="82"/>
      <c r="AH18" s="82"/>
      <c r="AI18" s="82"/>
      <c r="AJ18" s="82"/>
      <c r="AK18" s="82"/>
      <c r="AL18" s="82"/>
      <c r="AM18" s="82"/>
      <c r="AN18" s="82"/>
      <c r="AO18" s="82"/>
      <c r="AP18" s="82"/>
      <c r="AQ18" s="82"/>
      <c r="AR18" s="82"/>
      <c r="AS18" s="82"/>
      <c r="AT18" s="82"/>
      <c r="AU18" s="82"/>
      <c r="AV18" s="82"/>
      <c r="AW18" s="82"/>
      <c r="AX18" s="82"/>
      <c r="AY18" s="82"/>
      <c r="AZ18" s="82"/>
    </row>
    <row r="19" spans="1:52" x14ac:dyDescent="0.25">
      <c r="A19" s="177" t="s">
        <v>23</v>
      </c>
      <c r="B19" s="177" t="s">
        <v>38</v>
      </c>
      <c r="C19" s="177" t="s">
        <v>25</v>
      </c>
      <c r="D19" s="177" t="s">
        <v>1077</v>
      </c>
      <c r="E19" s="177" t="s">
        <v>25</v>
      </c>
      <c r="F19" s="82"/>
      <c r="G19" s="82"/>
      <c r="H19" s="82"/>
      <c r="I19" s="82"/>
      <c r="J19" s="82"/>
      <c r="K19" s="82"/>
      <c r="L19" s="82"/>
      <c r="M19" s="82"/>
      <c r="N19" s="82"/>
      <c r="O19" s="82"/>
      <c r="P19" s="82"/>
      <c r="Q19" s="82"/>
      <c r="R19" s="82"/>
      <c r="S19" s="82"/>
      <c r="T19" s="82"/>
      <c r="U19" s="82"/>
      <c r="V19" s="82"/>
      <c r="W19" s="82"/>
      <c r="X19" s="82"/>
      <c r="Y19" s="82"/>
      <c r="Z19" s="82"/>
      <c r="AA19" s="82"/>
      <c r="AB19" s="82"/>
      <c r="AC19" s="82"/>
      <c r="AD19" s="82"/>
      <c r="AE19" s="82"/>
      <c r="AF19" s="82"/>
      <c r="AG19" s="82"/>
      <c r="AH19" s="82"/>
      <c r="AI19" s="82"/>
      <c r="AJ19" s="82"/>
      <c r="AK19" s="82"/>
      <c r="AL19" s="82"/>
      <c r="AM19" s="82"/>
      <c r="AN19" s="82"/>
      <c r="AO19" s="82"/>
      <c r="AP19" s="82"/>
      <c r="AQ19" s="82"/>
      <c r="AR19" s="82"/>
      <c r="AS19" s="82"/>
      <c r="AT19" s="82"/>
      <c r="AU19" s="82"/>
      <c r="AV19" s="82"/>
      <c r="AW19" s="82"/>
      <c r="AX19" s="82"/>
      <c r="AY19" s="82"/>
      <c r="AZ19" s="82"/>
    </row>
    <row r="20" spans="1:52" x14ac:dyDescent="0.25">
      <c r="A20" s="177" t="s">
        <v>40</v>
      </c>
      <c r="B20" s="177" t="s">
        <v>41</v>
      </c>
      <c r="C20" s="177" t="s">
        <v>42</v>
      </c>
      <c r="D20" s="177" t="s">
        <v>1077</v>
      </c>
      <c r="E20" s="177" t="s">
        <v>25</v>
      </c>
      <c r="F20" s="82"/>
      <c r="G20" s="82"/>
      <c r="H20" s="82"/>
      <c r="I20" s="82"/>
      <c r="J20" s="82"/>
      <c r="K20" s="82"/>
      <c r="L20" s="82"/>
      <c r="M20" s="82"/>
      <c r="N20" s="82"/>
      <c r="O20" s="82"/>
      <c r="P20" s="82"/>
      <c r="Q20" s="82"/>
      <c r="R20" s="82"/>
      <c r="S20" s="82"/>
      <c r="T20" s="82"/>
      <c r="U20" s="82"/>
      <c r="V20" s="82"/>
      <c r="W20" s="82"/>
      <c r="X20" s="82"/>
      <c r="Y20" s="82"/>
      <c r="Z20" s="82"/>
      <c r="AA20" s="82"/>
      <c r="AB20" s="82"/>
      <c r="AC20" s="82"/>
      <c r="AD20" s="82"/>
      <c r="AE20" s="82"/>
      <c r="AF20" s="82"/>
      <c r="AG20" s="82"/>
      <c r="AH20" s="82"/>
      <c r="AI20" s="82"/>
      <c r="AJ20" s="82"/>
      <c r="AK20" s="82"/>
      <c r="AL20" s="82"/>
      <c r="AM20" s="82"/>
      <c r="AN20" s="82"/>
      <c r="AO20" s="82"/>
      <c r="AP20" s="82"/>
      <c r="AQ20" s="82"/>
      <c r="AR20" s="82"/>
      <c r="AS20" s="82"/>
      <c r="AT20" s="82"/>
      <c r="AU20" s="82"/>
      <c r="AV20" s="82"/>
      <c r="AW20" s="82"/>
      <c r="AX20" s="82"/>
      <c r="AY20" s="82"/>
      <c r="AZ20" s="82"/>
    </row>
    <row r="21" spans="1:52" x14ac:dyDescent="0.25">
      <c r="A21" s="177" t="s">
        <v>40</v>
      </c>
      <c r="B21" s="177" t="s">
        <v>44</v>
      </c>
      <c r="C21" s="177" t="s">
        <v>42</v>
      </c>
      <c r="D21" s="177" t="s">
        <v>1077</v>
      </c>
      <c r="E21" s="177" t="s">
        <v>25</v>
      </c>
      <c r="F21" s="82"/>
      <c r="G21" s="82"/>
      <c r="H21" s="82"/>
      <c r="I21" s="82"/>
      <c r="J21" s="82"/>
      <c r="K21" s="82"/>
      <c r="L21" s="82"/>
      <c r="M21" s="82"/>
      <c r="N21" s="82"/>
      <c r="O21" s="82"/>
      <c r="P21" s="82"/>
      <c r="Q21" s="82"/>
      <c r="R21" s="82"/>
      <c r="S21" s="82"/>
      <c r="T21" s="82"/>
      <c r="U21" s="82"/>
      <c r="V21" s="82"/>
      <c r="W21" s="82"/>
      <c r="X21" s="82"/>
      <c r="Y21" s="82"/>
      <c r="Z21" s="82"/>
      <c r="AA21" s="82"/>
      <c r="AB21" s="82"/>
      <c r="AC21" s="82"/>
      <c r="AD21" s="82"/>
      <c r="AE21" s="82"/>
      <c r="AF21" s="82"/>
      <c r="AG21" s="82"/>
      <c r="AH21" s="82"/>
      <c r="AI21" s="82"/>
      <c r="AJ21" s="82"/>
      <c r="AK21" s="82"/>
      <c r="AL21" s="82"/>
      <c r="AM21" s="82"/>
      <c r="AN21" s="82"/>
      <c r="AO21" s="82"/>
      <c r="AP21" s="82"/>
      <c r="AQ21" s="82"/>
      <c r="AR21" s="82"/>
      <c r="AS21" s="82"/>
      <c r="AT21" s="82"/>
      <c r="AU21" s="82"/>
      <c r="AV21" s="82"/>
      <c r="AW21" s="82"/>
      <c r="AX21" s="82"/>
      <c r="AY21" s="82"/>
      <c r="AZ21" s="82"/>
    </row>
    <row r="22" spans="1:52" x14ac:dyDescent="0.25">
      <c r="A22" s="177" t="s">
        <v>40</v>
      </c>
      <c r="B22" s="177" t="s">
        <v>46</v>
      </c>
      <c r="C22" s="177" t="s">
        <v>42</v>
      </c>
      <c r="D22" s="177" t="s">
        <v>1077</v>
      </c>
      <c r="E22" s="177" t="s">
        <v>25</v>
      </c>
      <c r="F22" s="82"/>
      <c r="G22" s="82"/>
      <c r="H22" s="82"/>
      <c r="I22" s="82"/>
      <c r="J22" s="82"/>
      <c r="K22" s="82"/>
      <c r="L22" s="82"/>
      <c r="M22" s="82"/>
      <c r="N22" s="82"/>
      <c r="O22" s="82"/>
      <c r="P22" s="82"/>
      <c r="Q22" s="82"/>
      <c r="R22" s="82"/>
      <c r="S22" s="82"/>
      <c r="T22" s="82"/>
      <c r="U22" s="82"/>
      <c r="V22" s="82"/>
      <c r="W22" s="82"/>
      <c r="X22" s="82"/>
      <c r="Y22" s="82"/>
      <c r="Z22" s="82"/>
      <c r="AA22" s="82"/>
      <c r="AB22" s="82"/>
      <c r="AC22" s="82"/>
      <c r="AD22" s="82"/>
      <c r="AE22" s="82"/>
      <c r="AF22" s="82"/>
      <c r="AG22" s="82"/>
      <c r="AH22" s="82"/>
      <c r="AI22" s="82"/>
      <c r="AJ22" s="82"/>
      <c r="AK22" s="82"/>
      <c r="AL22" s="82"/>
      <c r="AM22" s="82"/>
      <c r="AN22" s="82"/>
      <c r="AO22" s="82"/>
      <c r="AP22" s="82"/>
      <c r="AQ22" s="82"/>
      <c r="AR22" s="82"/>
      <c r="AS22" s="82"/>
      <c r="AT22" s="82"/>
      <c r="AU22" s="82"/>
      <c r="AV22" s="82"/>
      <c r="AW22" s="82"/>
      <c r="AX22" s="82"/>
      <c r="AY22" s="82"/>
      <c r="AZ22" s="82"/>
    </row>
    <row r="23" spans="1:52" x14ac:dyDescent="0.25">
      <c r="A23" s="177" t="s">
        <v>48</v>
      </c>
      <c r="B23" s="177" t="s">
        <v>49</v>
      </c>
      <c r="C23" s="177"/>
      <c r="D23" s="177" t="s">
        <v>1077</v>
      </c>
      <c r="E23" s="177" t="s">
        <v>25</v>
      </c>
      <c r="F23" s="82"/>
      <c r="G23" s="82"/>
      <c r="H23" s="82"/>
      <c r="I23" s="82"/>
      <c r="J23" s="82"/>
      <c r="K23" s="82"/>
      <c r="L23" s="82"/>
      <c r="M23" s="82"/>
      <c r="N23" s="82"/>
      <c r="O23" s="82"/>
      <c r="P23" s="82"/>
      <c r="Q23" s="82"/>
      <c r="R23" s="82"/>
      <c r="S23" s="8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c r="AX23" s="82"/>
      <c r="AY23" s="82"/>
      <c r="AZ23" s="82"/>
    </row>
    <row r="24" spans="1:52" x14ac:dyDescent="0.25">
      <c r="A24" s="177" t="s">
        <v>48</v>
      </c>
      <c r="B24" s="177" t="s">
        <v>51</v>
      </c>
      <c r="C24" s="177"/>
      <c r="D24" s="177" t="s">
        <v>1077</v>
      </c>
      <c r="E24" s="177" t="s">
        <v>25</v>
      </c>
      <c r="F24" s="82"/>
      <c r="G24" s="82"/>
      <c r="H24" s="82"/>
      <c r="I24" s="82"/>
      <c r="J24" s="82"/>
      <c r="K24" s="82"/>
      <c r="L24" s="82"/>
      <c r="M24" s="82"/>
      <c r="N24" s="82"/>
      <c r="O24" s="82"/>
      <c r="P24" s="82"/>
      <c r="Q24" s="82"/>
      <c r="R24" s="82"/>
      <c r="S24" s="82"/>
      <c r="T24" s="82"/>
      <c r="U24" s="82"/>
      <c r="V24" s="82"/>
      <c r="W24" s="82"/>
      <c r="X24" s="82"/>
      <c r="Y24" s="82"/>
      <c r="Z24" s="82"/>
      <c r="AA24" s="82"/>
      <c r="AB24" s="82"/>
      <c r="AC24" s="82"/>
      <c r="AD24" s="82"/>
      <c r="AE24" s="82"/>
      <c r="AF24" s="82"/>
      <c r="AG24" s="82"/>
      <c r="AH24" s="82"/>
      <c r="AI24" s="82"/>
      <c r="AJ24" s="82"/>
      <c r="AK24" s="82"/>
      <c r="AL24" s="82"/>
      <c r="AM24" s="82"/>
      <c r="AN24" s="82"/>
      <c r="AO24" s="82"/>
      <c r="AP24" s="82"/>
      <c r="AQ24" s="82"/>
      <c r="AR24" s="82"/>
      <c r="AS24" s="82"/>
      <c r="AT24" s="82"/>
      <c r="AU24" s="82"/>
      <c r="AV24" s="82"/>
      <c r="AW24" s="82"/>
      <c r="AX24" s="82"/>
      <c r="AY24" s="82"/>
      <c r="AZ24" s="82"/>
    </row>
    <row r="25" spans="1:52" x14ac:dyDescent="0.25">
      <c r="A25" s="177" t="s">
        <v>48</v>
      </c>
      <c r="B25" s="177" t="s">
        <v>52</v>
      </c>
      <c r="C25" s="177"/>
      <c r="D25" s="177" t="s">
        <v>1077</v>
      </c>
      <c r="E25" s="177" t="s">
        <v>25</v>
      </c>
      <c r="F25" s="82"/>
      <c r="G25" s="82"/>
      <c r="H25" s="82"/>
      <c r="I25" s="82"/>
      <c r="J25" s="82"/>
      <c r="K25" s="82"/>
      <c r="L25" s="82"/>
      <c r="M25" s="82"/>
      <c r="N25" s="82"/>
      <c r="O25" s="82"/>
      <c r="P25" s="82"/>
      <c r="Q25" s="82"/>
      <c r="R25" s="82"/>
      <c r="S25" s="8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c r="AX25" s="82"/>
      <c r="AY25" s="82"/>
      <c r="AZ25" s="82"/>
    </row>
    <row r="26" spans="1:52" x14ac:dyDescent="0.25">
      <c r="A26" s="177" t="s">
        <v>48</v>
      </c>
      <c r="B26" s="177" t="s">
        <v>53</v>
      </c>
      <c r="C26" s="177"/>
      <c r="D26" s="177" t="s">
        <v>1077</v>
      </c>
      <c r="E26" s="177" t="s">
        <v>25</v>
      </c>
      <c r="F26" s="82"/>
      <c r="G26" s="82"/>
      <c r="H26" s="82"/>
      <c r="I26" s="82"/>
      <c r="J26" s="82"/>
      <c r="K26" s="82"/>
      <c r="L26" s="82"/>
      <c r="M26" s="82"/>
      <c r="N26" s="82"/>
      <c r="O26" s="82"/>
      <c r="P26" s="82"/>
      <c r="Q26" s="82"/>
      <c r="R26" s="82"/>
      <c r="S26" s="82"/>
      <c r="T26" s="82"/>
      <c r="U26" s="82"/>
      <c r="V26" s="82"/>
      <c r="W26" s="82"/>
      <c r="X26" s="82"/>
      <c r="Y26" s="82"/>
      <c r="Z26" s="82"/>
      <c r="AA26" s="82"/>
      <c r="AB26" s="82"/>
      <c r="AC26" s="82"/>
      <c r="AD26" s="82"/>
      <c r="AE26" s="82"/>
      <c r="AF26" s="82"/>
      <c r="AG26" s="82"/>
      <c r="AH26" s="82"/>
      <c r="AI26" s="82"/>
      <c r="AJ26" s="82"/>
      <c r="AK26" s="82"/>
      <c r="AL26" s="82"/>
      <c r="AM26" s="82"/>
      <c r="AN26" s="82"/>
      <c r="AO26" s="82"/>
      <c r="AP26" s="82"/>
      <c r="AQ26" s="82"/>
      <c r="AR26" s="82"/>
      <c r="AS26" s="82"/>
      <c r="AT26" s="82"/>
      <c r="AU26" s="82"/>
      <c r="AV26" s="82"/>
      <c r="AW26" s="82"/>
      <c r="AX26" s="82"/>
      <c r="AY26" s="82"/>
      <c r="AZ26" s="82"/>
    </row>
    <row r="27" spans="1:52" x14ac:dyDescent="0.25">
      <c r="A27" s="177" t="s">
        <v>48</v>
      </c>
      <c r="B27" s="177" t="s">
        <v>54</v>
      </c>
      <c r="C27" s="177"/>
      <c r="D27" s="177" t="s">
        <v>1077</v>
      </c>
      <c r="E27" s="177" t="s">
        <v>25</v>
      </c>
      <c r="F27" s="82"/>
      <c r="G27" s="82"/>
      <c r="H27" s="82"/>
      <c r="I27" s="82"/>
      <c r="J27" s="82"/>
      <c r="K27" s="82"/>
      <c r="L27" s="82"/>
      <c r="M27" s="82"/>
      <c r="N27" s="82"/>
      <c r="O27" s="82"/>
      <c r="P27" s="82"/>
      <c r="Q27" s="82"/>
      <c r="R27" s="82"/>
      <c r="S27" s="82"/>
      <c r="T27" s="82"/>
      <c r="U27" s="82"/>
      <c r="V27" s="82"/>
      <c r="W27" s="82"/>
      <c r="X27" s="82"/>
      <c r="Y27" s="82"/>
      <c r="Z27" s="82"/>
      <c r="AA27" s="82"/>
      <c r="AB27" s="82"/>
      <c r="AC27" s="82"/>
      <c r="AD27" s="82"/>
      <c r="AE27" s="82"/>
      <c r="AF27" s="82"/>
      <c r="AG27" s="82"/>
      <c r="AH27" s="82"/>
      <c r="AI27" s="82"/>
      <c r="AJ27" s="82"/>
      <c r="AK27" s="82"/>
      <c r="AL27" s="82"/>
      <c r="AM27" s="82"/>
      <c r="AN27" s="82"/>
      <c r="AO27" s="82"/>
      <c r="AP27" s="82"/>
      <c r="AQ27" s="82"/>
      <c r="AR27" s="82"/>
      <c r="AS27" s="82"/>
      <c r="AT27" s="82"/>
      <c r="AU27" s="82"/>
      <c r="AV27" s="82"/>
      <c r="AW27" s="82"/>
      <c r="AX27" s="82"/>
      <c r="AY27" s="82"/>
      <c r="AZ27" s="82"/>
    </row>
    <row r="28" spans="1:52" x14ac:dyDescent="0.25">
      <c r="A28" s="177" t="s">
        <v>48</v>
      </c>
      <c r="B28" s="177" t="s">
        <v>56</v>
      </c>
      <c r="C28" s="177"/>
      <c r="D28" s="177" t="s">
        <v>1077</v>
      </c>
      <c r="E28" s="177" t="s">
        <v>25</v>
      </c>
      <c r="F28" s="82"/>
      <c r="G28" s="82"/>
      <c r="H28" s="82"/>
      <c r="I28" s="82"/>
      <c r="J28" s="82"/>
      <c r="K28" s="82"/>
      <c r="L28" s="82"/>
      <c r="M28" s="82"/>
      <c r="N28" s="82"/>
      <c r="O28" s="82"/>
      <c r="P28" s="82"/>
      <c r="Q28" s="82"/>
      <c r="R28" s="82"/>
      <c r="S28" s="82"/>
      <c r="T28" s="82"/>
      <c r="U28" s="82"/>
      <c r="V28" s="82"/>
      <c r="W28" s="82"/>
      <c r="X28" s="82"/>
      <c r="Y28" s="82"/>
      <c r="Z28" s="82"/>
      <c r="AA28" s="82"/>
      <c r="AB28" s="82"/>
      <c r="AC28" s="82"/>
      <c r="AD28" s="82"/>
      <c r="AE28" s="82"/>
      <c r="AF28" s="82"/>
      <c r="AG28" s="82"/>
      <c r="AH28" s="82"/>
      <c r="AI28" s="82"/>
      <c r="AJ28" s="82"/>
      <c r="AK28" s="82"/>
      <c r="AL28" s="82"/>
      <c r="AM28" s="82"/>
      <c r="AN28" s="82"/>
      <c r="AO28" s="82"/>
      <c r="AP28" s="82"/>
      <c r="AQ28" s="82"/>
      <c r="AR28" s="82"/>
      <c r="AS28" s="82"/>
      <c r="AT28" s="82"/>
      <c r="AU28" s="82"/>
      <c r="AV28" s="82"/>
      <c r="AW28" s="82"/>
      <c r="AX28" s="82"/>
      <c r="AY28" s="82"/>
      <c r="AZ28" s="82"/>
    </row>
    <row r="29" spans="1:52" x14ac:dyDescent="0.25">
      <c r="A29" s="177" t="s">
        <v>48</v>
      </c>
      <c r="B29" s="177" t="s">
        <v>57</v>
      </c>
      <c r="C29" s="177"/>
      <c r="D29" s="177" t="s">
        <v>1077</v>
      </c>
      <c r="E29" s="177" t="s">
        <v>25</v>
      </c>
      <c r="F29" s="82"/>
      <c r="G29" s="82"/>
      <c r="H29" s="82"/>
      <c r="I29" s="82"/>
      <c r="J29" s="82"/>
      <c r="K29" s="82"/>
      <c r="L29" s="82"/>
      <c r="M29" s="82"/>
      <c r="N29" s="82"/>
      <c r="O29" s="82"/>
      <c r="P29" s="82"/>
      <c r="Q29" s="82"/>
      <c r="R29" s="82"/>
      <c r="S29" s="82"/>
      <c r="T29" s="82"/>
      <c r="U29" s="82"/>
      <c r="V29" s="82"/>
      <c r="W29" s="82"/>
      <c r="X29" s="82"/>
      <c r="Y29" s="82"/>
      <c r="Z29" s="82"/>
      <c r="AA29" s="82"/>
      <c r="AB29" s="82"/>
      <c r="AC29" s="82"/>
      <c r="AD29" s="82"/>
      <c r="AE29" s="82"/>
      <c r="AF29" s="82"/>
      <c r="AG29" s="82"/>
      <c r="AH29" s="82"/>
      <c r="AI29" s="82"/>
      <c r="AJ29" s="82"/>
      <c r="AK29" s="82"/>
      <c r="AL29" s="82"/>
      <c r="AM29" s="82"/>
      <c r="AN29" s="82"/>
      <c r="AO29" s="82"/>
      <c r="AP29" s="82"/>
      <c r="AQ29" s="82"/>
      <c r="AR29" s="82"/>
      <c r="AS29" s="82"/>
      <c r="AT29" s="82"/>
      <c r="AU29" s="82"/>
      <c r="AV29" s="82"/>
      <c r="AW29" s="82"/>
      <c r="AX29" s="82"/>
      <c r="AY29" s="82"/>
      <c r="AZ29" s="82"/>
    </row>
    <row r="30" spans="1:52" x14ac:dyDescent="0.25">
      <c r="A30" s="177" t="s">
        <v>48</v>
      </c>
      <c r="B30" s="177" t="s">
        <v>58</v>
      </c>
      <c r="C30" s="177"/>
      <c r="D30" s="177" t="s">
        <v>1077</v>
      </c>
      <c r="E30" s="177" t="s">
        <v>25</v>
      </c>
      <c r="F30" s="82"/>
      <c r="G30" s="82"/>
      <c r="H30" s="82"/>
      <c r="I30" s="82"/>
      <c r="J30" s="82"/>
      <c r="K30" s="82"/>
      <c r="L30" s="82"/>
      <c r="M30" s="82"/>
      <c r="N30" s="82"/>
      <c r="O30" s="82"/>
      <c r="P30" s="82"/>
      <c r="Q30" s="82"/>
      <c r="R30" s="82"/>
      <c r="S30" s="82"/>
      <c r="T30" s="82"/>
      <c r="U30" s="82"/>
      <c r="V30" s="82"/>
      <c r="W30" s="82"/>
      <c r="X30" s="82"/>
      <c r="Y30" s="82"/>
      <c r="Z30" s="82"/>
      <c r="AA30" s="82"/>
      <c r="AB30" s="82"/>
      <c r="AC30" s="82"/>
      <c r="AD30" s="82"/>
      <c r="AE30" s="82"/>
      <c r="AF30" s="82"/>
      <c r="AG30" s="82"/>
      <c r="AH30" s="82"/>
      <c r="AI30" s="82"/>
      <c r="AJ30" s="82"/>
      <c r="AK30" s="82"/>
      <c r="AL30" s="82"/>
      <c r="AM30" s="82"/>
      <c r="AN30" s="82"/>
      <c r="AO30" s="82"/>
      <c r="AP30" s="82"/>
      <c r="AQ30" s="82"/>
      <c r="AR30" s="82"/>
      <c r="AS30" s="82"/>
      <c r="AT30" s="82"/>
      <c r="AU30" s="82"/>
      <c r="AV30" s="82"/>
      <c r="AW30" s="82"/>
      <c r="AX30" s="82"/>
      <c r="AY30" s="82"/>
      <c r="AZ30" s="82"/>
    </row>
    <row r="31" spans="1:52" x14ac:dyDescent="0.25">
      <c r="A31" s="177" t="s">
        <v>48</v>
      </c>
      <c r="B31" s="177" t="s">
        <v>60</v>
      </c>
      <c r="C31" s="177"/>
      <c r="D31" s="177" t="s">
        <v>1077</v>
      </c>
      <c r="E31" s="177" t="s">
        <v>25</v>
      </c>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c r="AV31" s="82"/>
      <c r="AW31" s="82"/>
      <c r="AX31" s="82"/>
      <c r="AY31" s="82"/>
      <c r="AZ31" s="82"/>
    </row>
    <row r="32" spans="1:52" x14ac:dyDescent="0.25">
      <c r="A32" s="177" t="s">
        <v>61</v>
      </c>
      <c r="B32" s="177" t="s">
        <v>62</v>
      </c>
      <c r="C32" s="177"/>
      <c r="D32" s="177" t="s">
        <v>1077</v>
      </c>
      <c r="E32" s="177" t="s">
        <v>25</v>
      </c>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c r="AV32" s="82"/>
      <c r="AW32" s="82"/>
      <c r="AX32" s="82"/>
      <c r="AY32" s="82"/>
      <c r="AZ32" s="82"/>
    </row>
    <row r="33" spans="1:52" x14ac:dyDescent="0.25">
      <c r="A33" s="177" t="s">
        <v>61</v>
      </c>
      <c r="B33" s="177" t="s">
        <v>63</v>
      </c>
      <c r="C33" s="177"/>
      <c r="D33" s="177" t="s">
        <v>1077</v>
      </c>
      <c r="E33" s="177" t="s">
        <v>25</v>
      </c>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c r="AV33" s="82"/>
      <c r="AW33" s="82"/>
      <c r="AX33" s="82"/>
      <c r="AY33" s="82"/>
      <c r="AZ33" s="82"/>
    </row>
    <row r="34" spans="1:52" x14ac:dyDescent="0.25">
      <c r="A34" s="177" t="s">
        <v>61</v>
      </c>
      <c r="B34" s="177" t="s">
        <v>64</v>
      </c>
      <c r="C34" s="177"/>
      <c r="D34" s="177" t="s">
        <v>1077</v>
      </c>
      <c r="E34" s="177" t="s">
        <v>25</v>
      </c>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c r="AV34" s="82"/>
      <c r="AW34" s="82"/>
      <c r="AX34" s="82"/>
      <c r="AY34" s="82"/>
      <c r="AZ34" s="82"/>
    </row>
    <row r="35" spans="1:52" x14ac:dyDescent="0.25">
      <c r="A35" s="177" t="s">
        <v>61</v>
      </c>
      <c r="B35" s="177" t="s">
        <v>66</v>
      </c>
      <c r="C35" s="177"/>
      <c r="D35" s="177" t="s">
        <v>1077</v>
      </c>
      <c r="E35" s="177" t="s">
        <v>25</v>
      </c>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c r="AV35" s="82"/>
      <c r="AW35" s="82"/>
      <c r="AX35" s="82"/>
      <c r="AY35" s="82"/>
      <c r="AZ35" s="82"/>
    </row>
    <row r="36" spans="1:52" x14ac:dyDescent="0.25">
      <c r="A36" s="177" t="s">
        <v>61</v>
      </c>
      <c r="B36" s="177" t="s">
        <v>68</v>
      </c>
      <c r="C36" s="177"/>
      <c r="D36" s="177" t="s">
        <v>1077</v>
      </c>
      <c r="E36" s="177" t="s">
        <v>25</v>
      </c>
      <c r="F36" s="8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c r="AV36" s="82"/>
      <c r="AW36" s="82"/>
      <c r="AX36" s="82"/>
      <c r="AY36" s="82"/>
      <c r="AZ36" s="82"/>
    </row>
    <row r="37" spans="1:52" x14ac:dyDescent="0.25">
      <c r="A37" s="177" t="s">
        <v>61</v>
      </c>
      <c r="B37" s="177" t="s">
        <v>69</v>
      </c>
      <c r="C37" s="177"/>
      <c r="D37" s="177" t="s">
        <v>1077</v>
      </c>
      <c r="E37" s="177" t="s">
        <v>25</v>
      </c>
      <c r="F37" s="82"/>
      <c r="G37" s="82"/>
      <c r="H37" s="82"/>
      <c r="I37" s="82"/>
      <c r="J37" s="82"/>
      <c r="K37" s="82"/>
      <c r="L37" s="82"/>
      <c r="M37" s="82"/>
      <c r="N37" s="82"/>
      <c r="O37" s="82"/>
      <c r="P37" s="82"/>
      <c r="Q37" s="82"/>
      <c r="R37" s="82"/>
      <c r="S37" s="82"/>
      <c r="T37" s="82"/>
      <c r="U37" s="82"/>
      <c r="V37" s="82"/>
      <c r="W37" s="82"/>
      <c r="X37" s="82"/>
      <c r="Y37" s="82"/>
      <c r="Z37" s="82"/>
      <c r="AA37" s="82"/>
      <c r="AB37" s="82"/>
      <c r="AC37" s="82"/>
      <c r="AD37" s="82"/>
      <c r="AE37" s="82"/>
      <c r="AF37" s="82"/>
      <c r="AG37" s="82"/>
      <c r="AH37" s="82"/>
      <c r="AI37" s="82"/>
      <c r="AJ37" s="82"/>
      <c r="AK37" s="82"/>
      <c r="AL37" s="82"/>
      <c r="AM37" s="82"/>
      <c r="AN37" s="82"/>
      <c r="AO37" s="82"/>
      <c r="AP37" s="82"/>
      <c r="AQ37" s="82"/>
      <c r="AR37" s="82"/>
      <c r="AS37" s="82"/>
      <c r="AT37" s="82"/>
      <c r="AU37" s="82"/>
      <c r="AV37" s="82"/>
      <c r="AW37" s="82"/>
      <c r="AX37" s="82"/>
      <c r="AY37" s="82"/>
      <c r="AZ37" s="82"/>
    </row>
    <row r="38" spans="1:52" x14ac:dyDescent="0.25">
      <c r="A38" s="177" t="s">
        <v>61</v>
      </c>
      <c r="B38" s="177" t="s">
        <v>71</v>
      </c>
      <c r="C38" s="177"/>
      <c r="D38" s="177" t="s">
        <v>1077</v>
      </c>
      <c r="E38" s="177" t="s">
        <v>25</v>
      </c>
      <c r="F38" s="82"/>
      <c r="G38" s="82"/>
      <c r="H38" s="82"/>
      <c r="I38" s="82"/>
      <c r="J38" s="82"/>
      <c r="K38" s="82"/>
      <c r="L38" s="82"/>
      <c r="M38" s="82"/>
      <c r="N38" s="82"/>
      <c r="O38" s="82"/>
      <c r="P38" s="82"/>
      <c r="Q38" s="82"/>
      <c r="R38" s="82"/>
      <c r="S38" s="82"/>
      <c r="T38" s="82"/>
      <c r="U38" s="82"/>
      <c r="V38" s="82"/>
      <c r="W38" s="82"/>
      <c r="X38" s="82"/>
      <c r="Y38" s="82"/>
      <c r="Z38" s="82"/>
      <c r="AA38" s="82"/>
      <c r="AB38" s="82"/>
      <c r="AC38" s="82"/>
      <c r="AD38" s="82"/>
      <c r="AE38" s="82"/>
      <c r="AF38" s="82"/>
      <c r="AG38" s="82"/>
      <c r="AH38" s="82"/>
      <c r="AI38" s="82"/>
      <c r="AJ38" s="82"/>
      <c r="AK38" s="82"/>
      <c r="AL38" s="82"/>
      <c r="AM38" s="82"/>
      <c r="AN38" s="82"/>
      <c r="AO38" s="82"/>
      <c r="AP38" s="82"/>
      <c r="AQ38" s="82"/>
      <c r="AR38" s="82"/>
      <c r="AS38" s="82"/>
      <c r="AT38" s="82"/>
      <c r="AU38" s="82"/>
      <c r="AV38" s="82"/>
      <c r="AW38" s="82"/>
      <c r="AX38" s="82"/>
      <c r="AY38" s="82"/>
      <c r="AZ38" s="82"/>
    </row>
    <row r="39" spans="1:52" x14ac:dyDescent="0.25">
      <c r="A39" s="177" t="s">
        <v>61</v>
      </c>
      <c r="B39" s="177" t="s">
        <v>72</v>
      </c>
      <c r="C39" s="177"/>
      <c r="D39" s="177" t="s">
        <v>1077</v>
      </c>
      <c r="E39" s="177" t="s">
        <v>25</v>
      </c>
      <c r="F39" s="82"/>
      <c r="G39" s="82"/>
      <c r="H39" s="82"/>
      <c r="I39" s="82"/>
      <c r="J39" s="82"/>
      <c r="K39" s="82"/>
      <c r="L39" s="82"/>
      <c r="M39" s="82"/>
      <c r="N39" s="82"/>
      <c r="O39" s="82"/>
      <c r="P39" s="82"/>
      <c r="Q39" s="82"/>
      <c r="R39" s="82"/>
      <c r="S39" s="82"/>
      <c r="T39" s="82"/>
      <c r="U39" s="82"/>
      <c r="V39" s="82"/>
      <c r="W39" s="82"/>
      <c r="X39" s="82"/>
      <c r="Y39" s="82"/>
      <c r="Z39" s="82"/>
      <c r="AA39" s="82"/>
      <c r="AB39" s="82"/>
      <c r="AC39" s="82"/>
      <c r="AD39" s="82"/>
      <c r="AE39" s="82"/>
      <c r="AF39" s="82"/>
      <c r="AG39" s="82"/>
      <c r="AH39" s="82"/>
      <c r="AI39" s="82"/>
      <c r="AJ39" s="82"/>
      <c r="AK39" s="82"/>
      <c r="AL39" s="82"/>
      <c r="AM39" s="82"/>
      <c r="AN39" s="82"/>
      <c r="AO39" s="82"/>
      <c r="AP39" s="82"/>
      <c r="AQ39" s="82"/>
      <c r="AR39" s="82"/>
      <c r="AS39" s="82"/>
      <c r="AT39" s="82"/>
      <c r="AU39" s="82"/>
      <c r="AV39" s="82"/>
      <c r="AW39" s="82"/>
      <c r="AX39" s="82"/>
      <c r="AY39" s="82"/>
      <c r="AZ39" s="82"/>
    </row>
    <row r="40" spans="1:52" x14ac:dyDescent="0.25">
      <c r="A40" s="177" t="s">
        <v>61</v>
      </c>
      <c r="B40" s="177" t="s">
        <v>73</v>
      </c>
      <c r="C40" s="177"/>
      <c r="D40" s="177" t="s">
        <v>1077</v>
      </c>
      <c r="E40" s="177" t="s">
        <v>25</v>
      </c>
      <c r="F40" s="82"/>
      <c r="G40" s="82"/>
      <c r="H40" s="82"/>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c r="AV40" s="82"/>
      <c r="AW40" s="82"/>
      <c r="AX40" s="82"/>
      <c r="AY40" s="82"/>
      <c r="AZ40" s="82"/>
    </row>
    <row r="41" spans="1:52" x14ac:dyDescent="0.25">
      <c r="A41" s="177" t="s">
        <v>75</v>
      </c>
      <c r="B41" s="177" t="s">
        <v>76</v>
      </c>
      <c r="C41" s="177"/>
      <c r="D41" s="177" t="s">
        <v>1077</v>
      </c>
      <c r="E41" s="177" t="s">
        <v>25</v>
      </c>
      <c r="F41" s="82"/>
      <c r="G41" s="82"/>
      <c r="H41" s="82"/>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c r="AV41" s="82"/>
      <c r="AW41" s="82"/>
      <c r="AX41" s="82"/>
      <c r="AY41" s="82"/>
      <c r="AZ41" s="82"/>
    </row>
    <row r="42" spans="1:52" x14ac:dyDescent="0.25">
      <c r="A42" s="177" t="s">
        <v>75</v>
      </c>
      <c r="B42" s="177" t="s">
        <v>77</v>
      </c>
      <c r="C42" s="177"/>
      <c r="D42" s="177" t="s">
        <v>1077</v>
      </c>
      <c r="E42" s="177" t="s">
        <v>25</v>
      </c>
      <c r="F42" s="82"/>
      <c r="G42" s="82"/>
      <c r="H42" s="82"/>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c r="AV42" s="82"/>
      <c r="AW42" s="82"/>
      <c r="AX42" s="82"/>
      <c r="AY42" s="82"/>
      <c r="AZ42" s="82"/>
    </row>
    <row r="43" spans="1:52" x14ac:dyDescent="0.25">
      <c r="A43" s="177" t="s">
        <v>75</v>
      </c>
      <c r="B43" s="177" t="s">
        <v>78</v>
      </c>
      <c r="C43" s="177"/>
      <c r="D43" s="177" t="s">
        <v>1077</v>
      </c>
      <c r="E43" s="177" t="s">
        <v>25</v>
      </c>
      <c r="F43" s="82"/>
      <c r="G43" s="82"/>
      <c r="H43" s="82"/>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c r="AV43" s="82"/>
      <c r="AW43" s="82"/>
      <c r="AX43" s="82"/>
      <c r="AY43" s="82"/>
      <c r="AZ43" s="82"/>
    </row>
    <row r="44" spans="1:52" x14ac:dyDescent="0.25">
      <c r="A44" s="177" t="s">
        <v>75</v>
      </c>
      <c r="B44" s="177" t="s">
        <v>79</v>
      </c>
      <c r="C44" s="177"/>
      <c r="D44" s="177" t="s">
        <v>1077</v>
      </c>
      <c r="E44" s="177" t="s">
        <v>25</v>
      </c>
      <c r="F44" s="82"/>
      <c r="G44" s="82"/>
      <c r="H44" s="82"/>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c r="AV44" s="82"/>
      <c r="AW44" s="82"/>
      <c r="AX44" s="82"/>
      <c r="AY44" s="82"/>
      <c r="AZ44" s="82"/>
    </row>
    <row r="45" spans="1:52" x14ac:dyDescent="0.25">
      <c r="A45" s="177" t="s">
        <v>81</v>
      </c>
      <c r="B45" s="177" t="s">
        <v>82</v>
      </c>
      <c r="C45" s="177"/>
      <c r="D45" s="177" t="s">
        <v>1077</v>
      </c>
      <c r="E45" s="177" t="s">
        <v>25</v>
      </c>
      <c r="F45" s="82"/>
      <c r="G45" s="82"/>
      <c r="H45" s="82"/>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c r="AV45" s="82"/>
      <c r="AW45" s="82"/>
      <c r="AX45" s="82"/>
      <c r="AY45" s="82"/>
      <c r="AZ45" s="82"/>
    </row>
    <row r="46" spans="1:52" x14ac:dyDescent="0.25">
      <c r="A46" s="177" t="s">
        <v>81</v>
      </c>
      <c r="B46" s="177" t="s">
        <v>84</v>
      </c>
      <c r="C46" s="177"/>
      <c r="D46" s="177" t="s">
        <v>1077</v>
      </c>
      <c r="E46" s="177" t="s">
        <v>25</v>
      </c>
      <c r="F46" s="82"/>
      <c r="G46" s="82"/>
      <c r="H46" s="8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c r="AV46" s="82"/>
      <c r="AW46" s="82"/>
      <c r="AX46" s="82"/>
      <c r="AY46" s="82"/>
      <c r="AZ46" s="82"/>
    </row>
    <row r="47" spans="1:52" x14ac:dyDescent="0.25">
      <c r="A47" s="177" t="s">
        <v>81</v>
      </c>
      <c r="B47" s="177" t="s">
        <v>85</v>
      </c>
      <c r="C47" s="177"/>
      <c r="D47" s="177" t="s">
        <v>1077</v>
      </c>
      <c r="E47" s="177" t="s">
        <v>25</v>
      </c>
      <c r="F47" s="82"/>
      <c r="G47" s="82"/>
      <c r="H47" s="82"/>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c r="AV47" s="82"/>
      <c r="AW47" s="82"/>
      <c r="AX47" s="82"/>
      <c r="AY47" s="82"/>
      <c r="AZ47" s="82"/>
    </row>
    <row r="48" spans="1:52" x14ac:dyDescent="0.25">
      <c r="A48" s="177" t="s">
        <v>81</v>
      </c>
      <c r="B48" s="177" t="s">
        <v>86</v>
      </c>
      <c r="C48" s="177"/>
      <c r="D48" s="177" t="s">
        <v>1077</v>
      </c>
      <c r="E48" s="177" t="s">
        <v>25</v>
      </c>
      <c r="F48" s="82"/>
      <c r="G48" s="82"/>
      <c r="H48" s="82"/>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c r="AV48" s="82"/>
      <c r="AW48" s="82"/>
      <c r="AX48" s="82"/>
      <c r="AY48" s="82"/>
      <c r="AZ48" s="82"/>
    </row>
    <row r="49" spans="1:52" x14ac:dyDescent="0.25">
      <c r="A49" s="177" t="s">
        <v>81</v>
      </c>
      <c r="B49" s="177" t="s">
        <v>87</v>
      </c>
      <c r="C49" s="177"/>
      <c r="D49" s="177" t="s">
        <v>1077</v>
      </c>
      <c r="E49" s="177" t="s">
        <v>25</v>
      </c>
      <c r="F49" s="82"/>
      <c r="G49" s="82"/>
      <c r="H49" s="82"/>
      <c r="I49" s="82"/>
      <c r="J49" s="82"/>
      <c r="K49" s="82"/>
      <c r="L49" s="82"/>
      <c r="M49" s="82"/>
      <c r="N49" s="82"/>
      <c r="O49" s="82"/>
      <c r="P49" s="82"/>
      <c r="Q49" s="82"/>
      <c r="R49" s="82"/>
      <c r="S49" s="82"/>
      <c r="T49" s="82"/>
      <c r="U49" s="82"/>
      <c r="V49" s="82"/>
      <c r="W49" s="82"/>
      <c r="X49" s="82"/>
      <c r="Y49" s="82"/>
      <c r="Z49" s="82"/>
      <c r="AA49" s="82"/>
      <c r="AB49" s="82"/>
      <c r="AC49" s="82"/>
      <c r="AD49" s="82"/>
      <c r="AE49" s="82"/>
      <c r="AF49" s="82"/>
      <c r="AG49" s="82"/>
      <c r="AH49" s="82"/>
      <c r="AI49" s="82"/>
      <c r="AJ49" s="82"/>
      <c r="AK49" s="82"/>
      <c r="AL49" s="82"/>
      <c r="AM49" s="82"/>
      <c r="AN49" s="82"/>
      <c r="AO49" s="82"/>
      <c r="AP49" s="82"/>
      <c r="AQ49" s="82"/>
      <c r="AR49" s="82"/>
      <c r="AS49" s="82"/>
      <c r="AT49" s="82"/>
      <c r="AU49" s="82"/>
      <c r="AV49" s="82"/>
      <c r="AW49" s="82"/>
      <c r="AX49" s="82"/>
      <c r="AY49" s="82"/>
      <c r="AZ49" s="82"/>
    </row>
    <row r="50" spans="1:52" x14ac:dyDescent="0.25">
      <c r="A50" s="177" t="s">
        <v>89</v>
      </c>
      <c r="B50" s="177" t="s">
        <v>90</v>
      </c>
      <c r="C50" s="177"/>
      <c r="D50" s="177" t="s">
        <v>1077</v>
      </c>
      <c r="E50" s="177" t="s">
        <v>25</v>
      </c>
      <c r="F50" s="82"/>
      <c r="G50" s="82"/>
      <c r="H50" s="82"/>
      <c r="I50" s="82"/>
      <c r="J50" s="82"/>
      <c r="K50" s="82"/>
      <c r="L50" s="82"/>
      <c r="M50" s="82"/>
      <c r="N50" s="82"/>
      <c r="O50" s="82"/>
      <c r="P50" s="82"/>
      <c r="Q50" s="82"/>
      <c r="R50" s="82"/>
      <c r="S50" s="82"/>
      <c r="T50" s="82"/>
      <c r="U50" s="82"/>
      <c r="V50" s="82"/>
      <c r="W50" s="82"/>
      <c r="X50" s="82"/>
      <c r="Y50" s="82"/>
      <c r="Z50" s="82"/>
      <c r="AA50" s="82"/>
      <c r="AB50" s="82"/>
      <c r="AC50" s="82"/>
      <c r="AD50" s="82"/>
      <c r="AE50" s="82"/>
      <c r="AF50" s="82"/>
      <c r="AG50" s="82"/>
      <c r="AH50" s="82"/>
      <c r="AI50" s="82"/>
      <c r="AJ50" s="82"/>
      <c r="AK50" s="82"/>
      <c r="AL50" s="82"/>
      <c r="AM50" s="82"/>
      <c r="AN50" s="82"/>
      <c r="AO50" s="82"/>
      <c r="AP50" s="82"/>
      <c r="AQ50" s="82"/>
      <c r="AR50" s="82"/>
      <c r="AS50" s="82"/>
      <c r="AT50" s="82"/>
      <c r="AU50" s="82"/>
      <c r="AV50" s="82"/>
      <c r="AW50" s="82"/>
      <c r="AX50" s="82"/>
      <c r="AY50" s="82"/>
      <c r="AZ50" s="82"/>
    </row>
    <row r="51" spans="1:52" x14ac:dyDescent="0.25">
      <c r="A51" s="177" t="s">
        <v>89</v>
      </c>
      <c r="B51" s="177" t="s">
        <v>92</v>
      </c>
      <c r="C51" s="177"/>
      <c r="D51" s="177" t="s">
        <v>1077</v>
      </c>
      <c r="E51" s="177" t="s">
        <v>25</v>
      </c>
      <c r="F51" s="82"/>
      <c r="G51" s="82"/>
      <c r="H51" s="82"/>
      <c r="I51" s="82"/>
      <c r="J51" s="82"/>
      <c r="K51" s="82"/>
      <c r="L51" s="82"/>
      <c r="M51" s="82"/>
      <c r="N51" s="82"/>
      <c r="O51" s="82"/>
      <c r="P51" s="82"/>
      <c r="Q51" s="82"/>
      <c r="R51" s="82"/>
      <c r="S51" s="82"/>
      <c r="T51" s="82"/>
      <c r="U51" s="82"/>
      <c r="V51" s="82"/>
      <c r="W51" s="82"/>
      <c r="X51" s="82"/>
      <c r="Y51" s="82"/>
      <c r="Z51" s="82"/>
      <c r="AA51" s="82"/>
      <c r="AB51" s="82"/>
      <c r="AC51" s="82"/>
      <c r="AD51" s="82"/>
      <c r="AE51" s="82"/>
      <c r="AF51" s="82"/>
      <c r="AG51" s="82"/>
      <c r="AH51" s="82"/>
      <c r="AI51" s="82"/>
      <c r="AJ51" s="82"/>
      <c r="AK51" s="82"/>
      <c r="AL51" s="82"/>
      <c r="AM51" s="82"/>
      <c r="AN51" s="82"/>
      <c r="AO51" s="82"/>
      <c r="AP51" s="82"/>
      <c r="AQ51" s="82"/>
      <c r="AR51" s="82"/>
      <c r="AS51" s="82"/>
      <c r="AT51" s="82"/>
      <c r="AU51" s="82"/>
      <c r="AV51" s="82"/>
      <c r="AW51" s="82"/>
      <c r="AX51" s="82"/>
      <c r="AY51" s="82"/>
      <c r="AZ51" s="82"/>
    </row>
    <row r="52" spans="1:52" x14ac:dyDescent="0.25">
      <c r="A52" s="177" t="s">
        <v>89</v>
      </c>
      <c r="B52" s="177" t="s">
        <v>93</v>
      </c>
      <c r="C52" s="177"/>
      <c r="D52" s="177" t="s">
        <v>1077</v>
      </c>
      <c r="E52" s="177" t="s">
        <v>25</v>
      </c>
      <c r="F52" s="82"/>
      <c r="G52" s="82"/>
      <c r="H52" s="82"/>
      <c r="I52" s="82"/>
      <c r="J52" s="82"/>
      <c r="K52" s="82"/>
      <c r="L52" s="82"/>
      <c r="M52" s="82"/>
      <c r="N52" s="82"/>
      <c r="O52" s="82"/>
      <c r="P52" s="82"/>
      <c r="Q52" s="82"/>
      <c r="R52" s="82"/>
      <c r="S52" s="82"/>
      <c r="T52" s="82"/>
      <c r="U52" s="82"/>
      <c r="V52" s="82"/>
      <c r="W52" s="82"/>
      <c r="X52" s="82"/>
      <c r="Y52" s="82"/>
      <c r="Z52" s="82"/>
      <c r="AA52" s="82"/>
      <c r="AB52" s="82"/>
      <c r="AC52" s="82"/>
      <c r="AD52" s="82"/>
      <c r="AE52" s="82"/>
      <c r="AF52" s="82"/>
      <c r="AG52" s="82"/>
      <c r="AH52" s="82"/>
      <c r="AI52" s="82"/>
      <c r="AJ52" s="82"/>
      <c r="AK52" s="82"/>
      <c r="AL52" s="82"/>
      <c r="AM52" s="82"/>
      <c r="AN52" s="82"/>
      <c r="AO52" s="82"/>
      <c r="AP52" s="82"/>
      <c r="AQ52" s="82"/>
      <c r="AR52" s="82"/>
      <c r="AS52" s="82"/>
      <c r="AT52" s="82"/>
      <c r="AU52" s="82"/>
      <c r="AV52" s="82"/>
      <c r="AW52" s="82"/>
      <c r="AX52" s="82"/>
      <c r="AY52" s="82"/>
      <c r="AZ52" s="82"/>
    </row>
    <row r="53" spans="1:52" x14ac:dyDescent="0.25">
      <c r="A53" s="177" t="s">
        <v>89</v>
      </c>
      <c r="B53" s="177" t="s">
        <v>94</v>
      </c>
      <c r="C53" s="177"/>
      <c r="D53" s="177" t="s">
        <v>1077</v>
      </c>
      <c r="E53" s="177" t="s">
        <v>25</v>
      </c>
      <c r="F53" s="82"/>
      <c r="G53" s="82"/>
      <c r="H53" s="82"/>
      <c r="I53" s="82"/>
      <c r="J53" s="82"/>
      <c r="K53" s="82"/>
      <c r="L53" s="82"/>
      <c r="M53" s="82"/>
      <c r="N53" s="82"/>
      <c r="O53" s="82"/>
      <c r="P53" s="82"/>
      <c r="Q53" s="82"/>
      <c r="R53" s="82"/>
      <c r="S53" s="82"/>
      <c r="T53" s="82"/>
      <c r="U53" s="82"/>
      <c r="V53" s="82"/>
      <c r="W53" s="82"/>
      <c r="X53" s="82"/>
      <c r="Y53" s="82"/>
      <c r="Z53" s="82"/>
      <c r="AA53" s="82"/>
      <c r="AB53" s="82"/>
      <c r="AC53" s="82"/>
      <c r="AD53" s="82"/>
      <c r="AE53" s="82"/>
      <c r="AF53" s="82"/>
      <c r="AG53" s="82"/>
      <c r="AH53" s="82"/>
      <c r="AI53" s="82"/>
      <c r="AJ53" s="82"/>
      <c r="AK53" s="82"/>
      <c r="AL53" s="82"/>
      <c r="AM53" s="82"/>
      <c r="AN53" s="82"/>
      <c r="AO53" s="82"/>
      <c r="AP53" s="82"/>
      <c r="AQ53" s="82"/>
      <c r="AR53" s="82"/>
      <c r="AS53" s="82"/>
      <c r="AT53" s="82"/>
      <c r="AU53" s="82"/>
      <c r="AV53" s="82"/>
      <c r="AW53" s="82"/>
      <c r="AX53" s="82"/>
      <c r="AY53" s="82"/>
      <c r="AZ53" s="82"/>
    </row>
    <row r="54" spans="1:52" x14ac:dyDescent="0.25">
      <c r="A54" s="177" t="s">
        <v>95</v>
      </c>
      <c r="B54" s="177" t="s">
        <v>96</v>
      </c>
      <c r="C54" s="177"/>
      <c r="D54" s="177" t="s">
        <v>1077</v>
      </c>
      <c r="E54" s="177" t="s">
        <v>25</v>
      </c>
      <c r="F54" s="82"/>
      <c r="G54" s="82"/>
      <c r="H54" s="82"/>
      <c r="I54" s="82"/>
      <c r="J54" s="82"/>
      <c r="K54" s="82"/>
      <c r="L54" s="82"/>
      <c r="M54" s="82"/>
      <c r="N54" s="82"/>
      <c r="O54" s="82"/>
      <c r="P54" s="82"/>
      <c r="Q54" s="82"/>
      <c r="R54" s="82"/>
      <c r="S54" s="82"/>
      <c r="T54" s="82"/>
      <c r="U54" s="82"/>
      <c r="V54" s="82"/>
      <c r="W54" s="82"/>
      <c r="X54" s="82"/>
      <c r="Y54" s="82"/>
      <c r="Z54" s="82"/>
      <c r="AA54" s="82"/>
      <c r="AB54" s="82"/>
      <c r="AC54" s="82"/>
      <c r="AD54" s="82"/>
      <c r="AE54" s="82"/>
      <c r="AF54" s="82"/>
      <c r="AG54" s="82"/>
      <c r="AH54" s="82"/>
      <c r="AI54" s="82"/>
      <c r="AJ54" s="82"/>
      <c r="AK54" s="82"/>
      <c r="AL54" s="82"/>
      <c r="AM54" s="82"/>
      <c r="AN54" s="82"/>
      <c r="AO54" s="82"/>
      <c r="AP54" s="82"/>
      <c r="AQ54" s="82"/>
      <c r="AR54" s="82"/>
      <c r="AS54" s="82"/>
      <c r="AT54" s="82"/>
      <c r="AU54" s="82"/>
      <c r="AV54" s="82"/>
      <c r="AW54" s="82"/>
      <c r="AX54" s="82"/>
      <c r="AY54" s="82"/>
      <c r="AZ54" s="82"/>
    </row>
    <row r="55" spans="1:52" x14ac:dyDescent="0.25">
      <c r="A55" s="177" t="s">
        <v>95</v>
      </c>
      <c r="B55" s="177" t="s">
        <v>97</v>
      </c>
      <c r="C55" s="177"/>
      <c r="D55" s="177" t="s">
        <v>1077</v>
      </c>
      <c r="E55" s="177" t="s">
        <v>25</v>
      </c>
      <c r="F55" s="82"/>
      <c r="G55" s="82"/>
      <c r="H55" s="82"/>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c r="AT55" s="82"/>
      <c r="AU55" s="82"/>
      <c r="AV55" s="82"/>
      <c r="AW55" s="82"/>
      <c r="AX55" s="82"/>
      <c r="AY55" s="82"/>
      <c r="AZ55" s="82"/>
    </row>
    <row r="56" spans="1:52" x14ac:dyDescent="0.25">
      <c r="A56" s="177" t="s">
        <v>95</v>
      </c>
      <c r="B56" s="177" t="s">
        <v>98</v>
      </c>
      <c r="C56" s="177"/>
      <c r="D56" s="177" t="s">
        <v>1077</v>
      </c>
      <c r="E56" s="177" t="s">
        <v>25</v>
      </c>
      <c r="F56" s="82"/>
      <c r="G56" s="82"/>
      <c r="H56" s="82"/>
      <c r="I56" s="82"/>
      <c r="J56" s="82"/>
      <c r="K56" s="82"/>
      <c r="L56" s="82"/>
      <c r="M56" s="82"/>
      <c r="N56" s="82"/>
      <c r="O56" s="82"/>
      <c r="P56" s="82"/>
      <c r="Q56" s="82"/>
      <c r="R56" s="82"/>
      <c r="S56" s="82"/>
      <c r="T56" s="82"/>
      <c r="U56" s="82"/>
      <c r="V56" s="82"/>
      <c r="W56" s="82"/>
      <c r="X56" s="82"/>
      <c r="Y56" s="82"/>
      <c r="Z56" s="82"/>
      <c r="AA56" s="82"/>
      <c r="AB56" s="82"/>
      <c r="AC56" s="82"/>
      <c r="AD56" s="82"/>
      <c r="AE56" s="82"/>
      <c r="AF56" s="82"/>
      <c r="AG56" s="82"/>
      <c r="AH56" s="82"/>
      <c r="AI56" s="82"/>
      <c r="AJ56" s="82"/>
      <c r="AK56" s="82"/>
      <c r="AL56" s="82"/>
      <c r="AM56" s="82"/>
      <c r="AN56" s="82"/>
      <c r="AO56" s="82"/>
      <c r="AP56" s="82"/>
      <c r="AQ56" s="82"/>
      <c r="AR56" s="82"/>
      <c r="AS56" s="82"/>
      <c r="AT56" s="82"/>
      <c r="AU56" s="82"/>
      <c r="AV56" s="82"/>
      <c r="AW56" s="82"/>
      <c r="AX56" s="82"/>
      <c r="AY56" s="82"/>
      <c r="AZ56" s="82"/>
    </row>
    <row r="57" spans="1:52" x14ac:dyDescent="0.25">
      <c r="A57" s="177" t="s">
        <v>95</v>
      </c>
      <c r="B57" s="177" t="s">
        <v>99</v>
      </c>
      <c r="C57" s="177"/>
      <c r="D57" s="177" t="s">
        <v>1077</v>
      </c>
      <c r="E57" s="177" t="s">
        <v>25</v>
      </c>
      <c r="F57" s="82"/>
      <c r="G57" s="82"/>
      <c r="H57" s="82"/>
      <c r="I57" s="82"/>
      <c r="J57" s="82"/>
      <c r="K57" s="82"/>
      <c r="L57" s="82"/>
      <c r="M57" s="82"/>
      <c r="N57" s="82"/>
      <c r="O57" s="82"/>
      <c r="P57" s="82"/>
      <c r="Q57" s="82"/>
      <c r="R57" s="82"/>
      <c r="S57" s="82"/>
      <c r="T57" s="82"/>
      <c r="U57" s="82"/>
      <c r="V57" s="82"/>
      <c r="W57" s="82"/>
      <c r="X57" s="82"/>
      <c r="Y57" s="82"/>
      <c r="Z57" s="82"/>
      <c r="AA57" s="82"/>
      <c r="AB57" s="82"/>
      <c r="AC57" s="82"/>
      <c r="AD57" s="82"/>
      <c r="AE57" s="82"/>
      <c r="AF57" s="82"/>
      <c r="AG57" s="82"/>
      <c r="AH57" s="82"/>
      <c r="AI57" s="82"/>
      <c r="AJ57" s="82"/>
      <c r="AK57" s="82"/>
      <c r="AL57" s="82"/>
      <c r="AM57" s="82"/>
      <c r="AN57" s="82"/>
      <c r="AO57" s="82"/>
      <c r="AP57" s="82"/>
      <c r="AQ57" s="82"/>
      <c r="AR57" s="82"/>
      <c r="AS57" s="82"/>
      <c r="AT57" s="82"/>
      <c r="AU57" s="82"/>
      <c r="AV57" s="82"/>
      <c r="AW57" s="82"/>
      <c r="AX57" s="82"/>
      <c r="AY57" s="82"/>
      <c r="AZ57" s="82"/>
    </row>
    <row r="58" spans="1:52" x14ac:dyDescent="0.25">
      <c r="A58" s="177" t="s">
        <v>100</v>
      </c>
      <c r="B58" s="177" t="s">
        <v>101</v>
      </c>
      <c r="C58" s="177"/>
      <c r="D58" s="177" t="s">
        <v>1077</v>
      </c>
      <c r="E58" s="177" t="s">
        <v>25</v>
      </c>
      <c r="F58" s="82"/>
      <c r="G58" s="82"/>
      <c r="H58" s="82"/>
      <c r="I58" s="82"/>
      <c r="J58" s="82"/>
      <c r="K58" s="82"/>
      <c r="L58" s="82"/>
      <c r="M58" s="82"/>
      <c r="N58" s="82"/>
      <c r="O58" s="82"/>
      <c r="P58" s="82"/>
      <c r="Q58" s="82"/>
      <c r="R58" s="82"/>
      <c r="S58" s="82"/>
      <c r="T58" s="82"/>
      <c r="U58" s="82"/>
      <c r="V58" s="82"/>
      <c r="W58" s="82"/>
      <c r="X58" s="82"/>
      <c r="Y58" s="82"/>
      <c r="Z58" s="82"/>
      <c r="AA58" s="82"/>
      <c r="AB58" s="82"/>
      <c r="AC58" s="82"/>
      <c r="AD58" s="82"/>
      <c r="AE58" s="82"/>
      <c r="AF58" s="82"/>
      <c r="AG58" s="82"/>
      <c r="AH58" s="82"/>
      <c r="AI58" s="82"/>
      <c r="AJ58" s="82"/>
      <c r="AK58" s="82"/>
      <c r="AL58" s="82"/>
      <c r="AM58" s="82"/>
      <c r="AN58" s="82"/>
      <c r="AO58" s="82"/>
      <c r="AP58" s="82"/>
      <c r="AQ58" s="82"/>
      <c r="AR58" s="82"/>
      <c r="AS58" s="82"/>
      <c r="AT58" s="82"/>
      <c r="AU58" s="82"/>
      <c r="AV58" s="82"/>
      <c r="AW58" s="82"/>
      <c r="AX58" s="82"/>
      <c r="AY58" s="82"/>
      <c r="AZ58" s="82"/>
    </row>
    <row r="59" spans="1:52" x14ac:dyDescent="0.25">
      <c r="A59" s="177" t="s">
        <v>100</v>
      </c>
      <c r="B59" s="177" t="s">
        <v>103</v>
      </c>
      <c r="C59" s="177"/>
      <c r="D59" s="177" t="s">
        <v>1077</v>
      </c>
      <c r="E59" s="177" t="s">
        <v>25</v>
      </c>
      <c r="F59" s="82"/>
      <c r="G59" s="82"/>
      <c r="H59" s="82"/>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c r="AT59" s="82"/>
      <c r="AU59" s="82"/>
      <c r="AV59" s="82"/>
      <c r="AW59" s="82"/>
      <c r="AX59" s="82"/>
      <c r="AY59" s="82"/>
      <c r="AZ59" s="82"/>
    </row>
    <row r="60" spans="1:52" x14ac:dyDescent="0.25">
      <c r="A60" s="177" t="s">
        <v>100</v>
      </c>
      <c r="B60" s="177" t="s">
        <v>104</v>
      </c>
      <c r="C60" s="177"/>
      <c r="D60" s="177" t="s">
        <v>1077</v>
      </c>
      <c r="E60" s="177" t="s">
        <v>25</v>
      </c>
      <c r="F60" s="82"/>
      <c r="G60" s="82"/>
      <c r="H60" s="82"/>
      <c r="I60" s="82"/>
      <c r="J60" s="82"/>
      <c r="K60" s="82"/>
      <c r="L60" s="82"/>
      <c r="M60" s="82"/>
      <c r="N60" s="82"/>
      <c r="O60" s="82"/>
      <c r="P60" s="82"/>
      <c r="Q60" s="82"/>
      <c r="R60" s="82"/>
      <c r="S60" s="82"/>
      <c r="T60" s="82"/>
      <c r="U60" s="82"/>
      <c r="V60" s="82"/>
      <c r="W60" s="82"/>
      <c r="X60" s="82"/>
      <c r="Y60" s="82"/>
      <c r="Z60" s="82"/>
      <c r="AA60" s="82"/>
      <c r="AB60" s="82"/>
      <c r="AC60" s="82"/>
      <c r="AD60" s="82"/>
      <c r="AE60" s="82"/>
      <c r="AF60" s="82"/>
      <c r="AG60" s="82"/>
      <c r="AH60" s="82"/>
      <c r="AI60" s="82"/>
      <c r="AJ60" s="82"/>
      <c r="AK60" s="82"/>
      <c r="AL60" s="82"/>
      <c r="AM60" s="82"/>
      <c r="AN60" s="82"/>
      <c r="AO60" s="82"/>
      <c r="AP60" s="82"/>
      <c r="AQ60" s="82"/>
      <c r="AR60" s="82"/>
      <c r="AS60" s="82"/>
      <c r="AT60" s="82"/>
      <c r="AU60" s="82"/>
      <c r="AV60" s="82"/>
      <c r="AW60" s="82"/>
      <c r="AX60" s="82"/>
      <c r="AY60" s="82"/>
      <c r="AZ60" s="82"/>
    </row>
    <row r="61" spans="1:52" x14ac:dyDescent="0.25">
      <c r="A61" s="177" t="s">
        <v>100</v>
      </c>
      <c r="B61" s="177" t="s">
        <v>105</v>
      </c>
      <c r="C61" s="177" t="s">
        <v>25</v>
      </c>
      <c r="D61" s="177" t="s">
        <v>1077</v>
      </c>
      <c r="E61" s="177" t="s">
        <v>25</v>
      </c>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2"/>
      <c r="AG61" s="82"/>
      <c r="AH61" s="82"/>
      <c r="AI61" s="82"/>
      <c r="AJ61" s="82"/>
      <c r="AK61" s="82"/>
      <c r="AL61" s="82"/>
      <c r="AM61" s="82"/>
      <c r="AN61" s="82"/>
      <c r="AO61" s="82"/>
      <c r="AP61" s="82"/>
      <c r="AQ61" s="82"/>
      <c r="AR61" s="82"/>
      <c r="AS61" s="82"/>
      <c r="AT61" s="82"/>
      <c r="AU61" s="82"/>
      <c r="AV61" s="82"/>
      <c r="AW61" s="82"/>
      <c r="AX61" s="82"/>
      <c r="AY61" s="82"/>
      <c r="AZ61" s="82"/>
    </row>
    <row r="62" spans="1:52" x14ac:dyDescent="0.25">
      <c r="A62" s="177" t="s">
        <v>107</v>
      </c>
      <c r="B62" s="177" t="s">
        <v>108</v>
      </c>
      <c r="C62" s="177"/>
      <c r="D62" s="177" t="s">
        <v>1077</v>
      </c>
      <c r="E62" s="177" t="s">
        <v>25</v>
      </c>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2"/>
      <c r="AG62" s="82"/>
      <c r="AH62" s="82"/>
      <c r="AI62" s="82"/>
      <c r="AJ62" s="82"/>
      <c r="AK62" s="82"/>
      <c r="AL62" s="82"/>
      <c r="AM62" s="82"/>
      <c r="AN62" s="82"/>
      <c r="AO62" s="82"/>
      <c r="AP62" s="82"/>
      <c r="AQ62" s="82"/>
      <c r="AR62" s="82"/>
      <c r="AS62" s="82"/>
      <c r="AT62" s="82"/>
      <c r="AU62" s="82"/>
      <c r="AV62" s="82"/>
      <c r="AW62" s="82"/>
      <c r="AX62" s="82"/>
      <c r="AY62" s="82"/>
      <c r="AZ62" s="82"/>
    </row>
    <row r="63" spans="1:52" x14ac:dyDescent="0.25">
      <c r="A63" s="177" t="s">
        <v>107</v>
      </c>
      <c r="B63" s="177" t="s">
        <v>109</v>
      </c>
      <c r="C63" s="177"/>
      <c r="D63" s="177" t="s">
        <v>1077</v>
      </c>
      <c r="E63" s="177" t="s">
        <v>25</v>
      </c>
      <c r="F63" s="82"/>
      <c r="G63" s="82"/>
      <c r="H63" s="82"/>
      <c r="I63" s="82"/>
      <c r="J63" s="82"/>
      <c r="K63" s="82"/>
      <c r="L63" s="82"/>
      <c r="M63" s="82"/>
      <c r="N63" s="82"/>
      <c r="O63" s="82"/>
      <c r="P63" s="82"/>
      <c r="Q63" s="82"/>
      <c r="R63" s="82"/>
      <c r="S63" s="82"/>
      <c r="T63" s="82"/>
      <c r="U63" s="82"/>
      <c r="V63" s="82"/>
      <c r="W63" s="82"/>
      <c r="X63" s="82"/>
      <c r="Y63" s="82"/>
      <c r="Z63" s="82"/>
      <c r="AA63" s="82"/>
      <c r="AB63" s="82"/>
      <c r="AC63" s="82"/>
      <c r="AD63" s="82"/>
      <c r="AE63" s="82"/>
      <c r="AF63" s="82"/>
      <c r="AG63" s="82"/>
      <c r="AH63" s="82"/>
      <c r="AI63" s="82"/>
      <c r="AJ63" s="82"/>
      <c r="AK63" s="82"/>
      <c r="AL63" s="82"/>
      <c r="AM63" s="82"/>
      <c r="AN63" s="82"/>
      <c r="AO63" s="82"/>
      <c r="AP63" s="82"/>
      <c r="AQ63" s="82"/>
      <c r="AR63" s="82"/>
      <c r="AS63" s="82"/>
      <c r="AT63" s="82"/>
      <c r="AU63" s="82"/>
      <c r="AV63" s="82"/>
      <c r="AW63" s="82"/>
      <c r="AX63" s="82"/>
      <c r="AY63" s="82"/>
      <c r="AZ63" s="82"/>
    </row>
    <row r="64" spans="1:52" x14ac:dyDescent="0.25">
      <c r="A64" s="177" t="s">
        <v>107</v>
      </c>
      <c r="B64" s="177" t="s">
        <v>110</v>
      </c>
      <c r="C64" s="177"/>
      <c r="D64" s="177" t="s">
        <v>1077</v>
      </c>
      <c r="E64" s="177" t="s">
        <v>25</v>
      </c>
      <c r="F64" s="82"/>
      <c r="G64" s="82"/>
      <c r="H64" s="82"/>
      <c r="I64" s="82"/>
      <c r="J64" s="82"/>
      <c r="K64" s="82"/>
      <c r="L64" s="82"/>
      <c r="M64" s="82"/>
      <c r="N64" s="82"/>
      <c r="O64" s="82"/>
      <c r="P64" s="82"/>
      <c r="Q64" s="82"/>
      <c r="R64" s="82"/>
      <c r="S64" s="82"/>
      <c r="T64" s="82"/>
      <c r="U64" s="82"/>
      <c r="V64" s="82"/>
      <c r="W64" s="82"/>
      <c r="X64" s="82"/>
      <c r="Y64" s="82"/>
      <c r="Z64" s="82"/>
      <c r="AA64" s="82"/>
      <c r="AB64" s="82"/>
      <c r="AC64" s="82"/>
      <c r="AD64" s="82"/>
      <c r="AE64" s="82"/>
      <c r="AF64" s="82"/>
      <c r="AG64" s="82"/>
      <c r="AH64" s="82"/>
      <c r="AI64" s="82"/>
      <c r="AJ64" s="82"/>
      <c r="AK64" s="82"/>
      <c r="AL64" s="82"/>
      <c r="AM64" s="82"/>
      <c r="AN64" s="82"/>
      <c r="AO64" s="82"/>
      <c r="AP64" s="82"/>
      <c r="AQ64" s="82"/>
      <c r="AR64" s="82"/>
      <c r="AS64" s="82"/>
      <c r="AT64" s="82"/>
      <c r="AU64" s="82"/>
      <c r="AV64" s="82"/>
      <c r="AW64" s="82"/>
      <c r="AX64" s="82"/>
      <c r="AY64" s="82"/>
      <c r="AZ64" s="82"/>
    </row>
    <row r="65" spans="1:52" x14ac:dyDescent="0.25">
      <c r="A65" s="177" t="s">
        <v>107</v>
      </c>
      <c r="B65" s="177" t="s">
        <v>111</v>
      </c>
      <c r="C65" s="177"/>
      <c r="D65" s="177" t="s">
        <v>1077</v>
      </c>
      <c r="E65" s="177" t="s">
        <v>25</v>
      </c>
      <c r="F65" s="82"/>
      <c r="G65" s="82"/>
      <c r="H65" s="82"/>
      <c r="I65" s="82"/>
      <c r="J65" s="82"/>
      <c r="K65" s="82"/>
      <c r="L65" s="82"/>
      <c r="M65" s="82"/>
      <c r="N65" s="82"/>
      <c r="O65" s="82"/>
      <c r="P65" s="82"/>
      <c r="Q65" s="82"/>
      <c r="R65" s="82"/>
      <c r="S65" s="82"/>
      <c r="T65" s="82"/>
      <c r="U65" s="82"/>
      <c r="V65" s="82"/>
      <c r="W65" s="82"/>
      <c r="X65" s="82"/>
      <c r="Y65" s="82"/>
      <c r="Z65" s="82"/>
      <c r="AA65" s="82"/>
      <c r="AB65" s="82"/>
      <c r="AC65" s="82"/>
      <c r="AD65" s="82"/>
      <c r="AE65" s="82"/>
      <c r="AF65" s="82"/>
      <c r="AG65" s="82"/>
      <c r="AH65" s="82"/>
      <c r="AI65" s="82"/>
      <c r="AJ65" s="82"/>
      <c r="AK65" s="82"/>
      <c r="AL65" s="82"/>
      <c r="AM65" s="82"/>
      <c r="AN65" s="82"/>
      <c r="AO65" s="82"/>
      <c r="AP65" s="82"/>
      <c r="AQ65" s="82"/>
      <c r="AR65" s="82"/>
      <c r="AS65" s="82"/>
      <c r="AT65" s="82"/>
      <c r="AU65" s="82"/>
      <c r="AV65" s="82"/>
      <c r="AW65" s="82"/>
      <c r="AX65" s="82"/>
      <c r="AY65" s="82"/>
      <c r="AZ65" s="82"/>
    </row>
    <row r="66" spans="1:52" x14ac:dyDescent="0.25">
      <c r="A66" s="177" t="s">
        <v>23</v>
      </c>
      <c r="B66" s="177" t="s">
        <v>111</v>
      </c>
      <c r="C66" s="177" t="s">
        <v>25</v>
      </c>
      <c r="D66" s="177" t="s">
        <v>1077</v>
      </c>
      <c r="E66" s="177" t="s">
        <v>25</v>
      </c>
      <c r="F66" s="82"/>
      <c r="G66" s="82"/>
      <c r="H66" s="82"/>
      <c r="I66" s="82"/>
      <c r="J66" s="82"/>
      <c r="K66" s="82"/>
      <c r="L66" s="82"/>
      <c r="M66" s="82"/>
      <c r="N66" s="82"/>
      <c r="O66" s="82"/>
      <c r="P66" s="82"/>
      <c r="Q66" s="82"/>
      <c r="R66" s="82"/>
      <c r="S66" s="82"/>
      <c r="T66" s="82"/>
      <c r="U66" s="82"/>
      <c r="V66" s="82"/>
      <c r="W66" s="82"/>
      <c r="X66" s="82"/>
      <c r="Y66" s="82"/>
      <c r="Z66" s="82"/>
      <c r="AA66" s="82"/>
      <c r="AB66" s="82"/>
      <c r="AC66" s="82"/>
      <c r="AD66" s="82"/>
      <c r="AE66" s="82"/>
      <c r="AF66" s="82"/>
      <c r="AG66" s="82"/>
      <c r="AH66" s="82"/>
      <c r="AI66" s="82"/>
      <c r="AJ66" s="82"/>
      <c r="AK66" s="82"/>
      <c r="AL66" s="82"/>
      <c r="AM66" s="82"/>
      <c r="AN66" s="82"/>
      <c r="AO66" s="82"/>
      <c r="AP66" s="82"/>
      <c r="AQ66" s="82"/>
      <c r="AR66" s="82"/>
      <c r="AS66" s="82"/>
      <c r="AT66" s="82"/>
      <c r="AU66" s="82"/>
      <c r="AV66" s="82"/>
      <c r="AW66" s="82"/>
      <c r="AX66" s="82"/>
      <c r="AY66" s="82"/>
      <c r="AZ66" s="82"/>
    </row>
    <row r="67" spans="1:52" x14ac:dyDescent="0.25">
      <c r="A67" s="177" t="s">
        <v>48</v>
      </c>
      <c r="B67" s="177" t="s">
        <v>99</v>
      </c>
      <c r="C67" s="177" t="s">
        <v>112</v>
      </c>
      <c r="D67" s="177" t="s">
        <v>1077</v>
      </c>
      <c r="E67" s="177" t="s">
        <v>25</v>
      </c>
      <c r="F67" s="82"/>
      <c r="G67" s="82"/>
      <c r="H67" s="82"/>
      <c r="I67" s="82"/>
      <c r="J67" s="82"/>
      <c r="K67" s="82"/>
      <c r="L67" s="82"/>
      <c r="M67" s="82"/>
      <c r="N67" s="82"/>
      <c r="O67" s="82"/>
      <c r="P67" s="82"/>
      <c r="Q67" s="82"/>
      <c r="R67" s="82"/>
      <c r="S67" s="82"/>
      <c r="T67" s="82"/>
      <c r="U67" s="82"/>
      <c r="V67" s="82"/>
      <c r="W67" s="82"/>
      <c r="X67" s="82"/>
      <c r="Y67" s="82"/>
      <c r="Z67" s="82"/>
      <c r="AA67" s="82"/>
      <c r="AB67" s="82"/>
      <c r="AC67" s="82"/>
      <c r="AD67" s="82"/>
      <c r="AE67" s="82"/>
      <c r="AF67" s="82"/>
      <c r="AG67" s="82"/>
      <c r="AH67" s="82"/>
      <c r="AI67" s="82"/>
      <c r="AJ67" s="82"/>
      <c r="AK67" s="82"/>
      <c r="AL67" s="82"/>
      <c r="AM67" s="82"/>
      <c r="AN67" s="82"/>
      <c r="AO67" s="82"/>
      <c r="AP67" s="82"/>
      <c r="AQ67" s="82"/>
      <c r="AR67" s="82"/>
      <c r="AS67" s="82"/>
      <c r="AT67" s="82"/>
      <c r="AU67" s="82"/>
      <c r="AV67" s="82"/>
      <c r="AW67" s="82"/>
      <c r="AX67" s="82"/>
      <c r="AY67" s="82"/>
      <c r="AZ67" s="82"/>
    </row>
    <row r="68" spans="1:52" x14ac:dyDescent="0.25">
      <c r="A68" s="177"/>
      <c r="B68" s="177"/>
      <c r="C68" s="177"/>
      <c r="D68" s="177"/>
      <c r="E68" s="177"/>
      <c r="F68" s="82"/>
      <c r="G68" s="82"/>
      <c r="H68" s="82"/>
      <c r="I68" s="82"/>
      <c r="J68" s="82"/>
      <c r="K68" s="82"/>
      <c r="L68" s="82"/>
      <c r="M68" s="82"/>
      <c r="N68" s="82"/>
      <c r="O68" s="82"/>
      <c r="P68" s="82"/>
      <c r="Q68" s="82"/>
      <c r="R68" s="82"/>
      <c r="S68" s="82"/>
      <c r="T68" s="82"/>
      <c r="U68" s="82"/>
      <c r="V68" s="82"/>
      <c r="W68" s="82"/>
      <c r="X68" s="82"/>
      <c r="Y68" s="82"/>
      <c r="Z68" s="82"/>
      <c r="AA68" s="82"/>
      <c r="AB68" s="82"/>
      <c r="AC68" s="82"/>
      <c r="AD68" s="82"/>
      <c r="AE68" s="82"/>
      <c r="AF68" s="82"/>
      <c r="AG68" s="82"/>
      <c r="AH68" s="82"/>
      <c r="AI68" s="82"/>
      <c r="AJ68" s="82"/>
      <c r="AK68" s="82"/>
      <c r="AL68" s="82"/>
      <c r="AM68" s="82"/>
      <c r="AN68" s="82"/>
      <c r="AO68" s="82"/>
      <c r="AP68" s="82"/>
      <c r="AQ68" s="82"/>
      <c r="AR68" s="82"/>
      <c r="AS68" s="82"/>
      <c r="AT68" s="82"/>
      <c r="AU68" s="82"/>
      <c r="AV68" s="82"/>
      <c r="AW68" s="82"/>
      <c r="AX68" s="82"/>
      <c r="AY68" s="82"/>
      <c r="AZ68" s="82"/>
    </row>
    <row r="69" spans="1:52" x14ac:dyDescent="0.25">
      <c r="A69" s="177"/>
      <c r="B69" s="177"/>
      <c r="C69" s="177"/>
      <c r="D69" s="177"/>
      <c r="E69" s="177"/>
      <c r="F69" s="82"/>
      <c r="G69" s="82"/>
      <c r="H69" s="82"/>
      <c r="I69" s="82"/>
      <c r="J69" s="82"/>
      <c r="K69" s="82"/>
      <c r="L69" s="82"/>
      <c r="M69" s="82"/>
      <c r="N69" s="82"/>
      <c r="O69" s="82"/>
      <c r="P69" s="82"/>
      <c r="Q69" s="82"/>
      <c r="R69" s="82"/>
      <c r="S69" s="82"/>
      <c r="T69" s="82"/>
      <c r="U69" s="82"/>
      <c r="V69" s="82"/>
      <c r="W69" s="82"/>
      <c r="X69" s="82"/>
      <c r="Y69" s="82"/>
      <c r="Z69" s="82"/>
      <c r="AA69" s="82"/>
      <c r="AB69" s="82"/>
      <c r="AC69" s="82"/>
      <c r="AD69" s="82"/>
      <c r="AE69" s="82"/>
      <c r="AF69" s="82"/>
      <c r="AG69" s="82"/>
      <c r="AH69" s="82"/>
      <c r="AI69" s="82"/>
      <c r="AJ69" s="82"/>
      <c r="AK69" s="82"/>
      <c r="AL69" s="82"/>
      <c r="AM69" s="82"/>
      <c r="AN69" s="82"/>
      <c r="AO69" s="82"/>
      <c r="AP69" s="82"/>
      <c r="AQ69" s="82"/>
      <c r="AR69" s="82"/>
      <c r="AS69" s="82"/>
      <c r="AT69" s="82"/>
      <c r="AU69" s="82"/>
      <c r="AV69" s="82"/>
      <c r="AW69" s="82"/>
      <c r="AX69" s="82"/>
      <c r="AY69" s="82"/>
      <c r="AZ69" s="82"/>
    </row>
    <row r="70" spans="1:52" x14ac:dyDescent="0.25">
      <c r="A70" s="177"/>
      <c r="B70" s="177"/>
      <c r="C70" s="177"/>
      <c r="D70" s="177"/>
      <c r="E70" s="177"/>
      <c r="F70" s="82"/>
      <c r="G70" s="82"/>
      <c r="H70" s="82"/>
      <c r="I70" s="82"/>
      <c r="J70" s="82"/>
      <c r="K70" s="82"/>
      <c r="L70" s="82"/>
      <c r="M70" s="82"/>
      <c r="N70" s="82"/>
      <c r="O70" s="82"/>
      <c r="P70" s="82"/>
      <c r="Q70" s="82"/>
      <c r="R70" s="82"/>
      <c r="S70" s="82"/>
      <c r="T70" s="82"/>
      <c r="U70" s="82"/>
      <c r="V70" s="82"/>
      <c r="W70" s="82"/>
      <c r="X70" s="82"/>
      <c r="Y70" s="82"/>
      <c r="Z70" s="82"/>
      <c r="AA70" s="82"/>
      <c r="AB70" s="82"/>
      <c r="AC70" s="82"/>
      <c r="AD70" s="82"/>
      <c r="AE70" s="82"/>
      <c r="AF70" s="82"/>
      <c r="AG70" s="82"/>
      <c r="AH70" s="82"/>
      <c r="AI70" s="82"/>
      <c r="AJ70" s="82"/>
      <c r="AK70" s="82"/>
      <c r="AL70" s="82"/>
      <c r="AM70" s="82"/>
      <c r="AN70" s="82"/>
      <c r="AO70" s="82"/>
      <c r="AP70" s="82"/>
      <c r="AQ70" s="82"/>
      <c r="AR70" s="82"/>
      <c r="AS70" s="82"/>
      <c r="AT70" s="82"/>
      <c r="AU70" s="82"/>
      <c r="AV70" s="82"/>
      <c r="AW70" s="82"/>
      <c r="AX70" s="82"/>
      <c r="AY70" s="82"/>
      <c r="AZ70" s="82"/>
    </row>
    <row r="71" spans="1:52" hidden="1" x14ac:dyDescent="0.25">
      <c r="A71" s="82"/>
      <c r="B71" s="82"/>
      <c r="C71" s="82"/>
      <c r="D71" s="82"/>
      <c r="E71" s="82"/>
      <c r="F71" s="82"/>
      <c r="G71" s="82"/>
      <c r="H71" s="82"/>
      <c r="I71" s="82"/>
      <c r="J71" s="82"/>
      <c r="K71" s="82"/>
      <c r="L71" s="82"/>
      <c r="M71" s="82"/>
      <c r="N71" s="82"/>
      <c r="O71" s="82"/>
      <c r="P71" s="82"/>
      <c r="Q71" s="82"/>
      <c r="R71" s="82"/>
      <c r="S71" s="82"/>
      <c r="T71" s="82"/>
      <c r="U71" s="82"/>
      <c r="V71" s="82"/>
      <c r="W71" s="82"/>
      <c r="X71" s="82"/>
      <c r="Y71" s="82"/>
      <c r="Z71" s="82"/>
      <c r="AA71" s="82"/>
      <c r="AB71" s="82"/>
      <c r="AC71" s="82"/>
      <c r="AD71" s="82"/>
      <c r="AE71" s="82"/>
      <c r="AF71" s="82"/>
      <c r="AG71" s="82"/>
      <c r="AH71" s="82"/>
      <c r="AI71" s="82"/>
      <c r="AJ71" s="82"/>
      <c r="AK71" s="82"/>
      <c r="AL71" s="82"/>
      <c r="AM71" s="82"/>
      <c r="AN71" s="82"/>
      <c r="AO71" s="82"/>
      <c r="AP71" s="82"/>
      <c r="AQ71" s="82"/>
      <c r="AR71" s="82"/>
      <c r="AS71" s="82"/>
      <c r="AT71" s="82"/>
      <c r="AU71" s="82"/>
      <c r="AV71" s="82"/>
      <c r="AW71" s="82"/>
      <c r="AX71" s="82"/>
      <c r="AY71" s="82"/>
      <c r="AZ71" s="82"/>
    </row>
    <row r="72" spans="1:52" hidden="1" x14ac:dyDescent="0.25">
      <c r="A72" s="82"/>
      <c r="B72" s="82"/>
      <c r="C72" s="82"/>
      <c r="D72" s="82"/>
      <c r="E72" s="82"/>
      <c r="F72" s="82"/>
      <c r="G72" s="82"/>
      <c r="H72" s="82"/>
      <c r="I72" s="82"/>
      <c r="J72" s="82"/>
      <c r="K72" s="82"/>
      <c r="L72" s="82"/>
      <c r="M72" s="82"/>
      <c r="N72" s="82"/>
      <c r="O72" s="82"/>
      <c r="P72" s="82"/>
      <c r="Q72" s="82"/>
      <c r="R72" s="82"/>
      <c r="S72" s="82"/>
      <c r="T72" s="82"/>
      <c r="U72" s="82"/>
      <c r="V72" s="82"/>
      <c r="W72" s="82"/>
      <c r="X72" s="82"/>
      <c r="Y72" s="82"/>
      <c r="Z72" s="82"/>
      <c r="AA72" s="82"/>
      <c r="AB72" s="82"/>
      <c r="AC72" s="82"/>
      <c r="AD72" s="82"/>
      <c r="AE72" s="82"/>
      <c r="AF72" s="82"/>
      <c r="AG72" s="82"/>
      <c r="AH72" s="82"/>
      <c r="AI72" s="82"/>
      <c r="AJ72" s="82"/>
      <c r="AK72" s="82"/>
      <c r="AL72" s="82"/>
      <c r="AM72" s="82"/>
      <c r="AN72" s="82"/>
      <c r="AO72" s="82"/>
      <c r="AP72" s="82"/>
      <c r="AQ72" s="82"/>
      <c r="AR72" s="82"/>
      <c r="AS72" s="82"/>
      <c r="AT72" s="82"/>
      <c r="AU72" s="82"/>
      <c r="AV72" s="82"/>
      <c r="AW72" s="82"/>
      <c r="AX72" s="82"/>
      <c r="AY72" s="82"/>
      <c r="AZ72" s="82"/>
    </row>
    <row r="73" spans="1:52" hidden="1" x14ac:dyDescent="0.25">
      <c r="A73" s="82"/>
      <c r="B73" s="82"/>
      <c r="C73" s="82"/>
      <c r="D73" s="82"/>
      <c r="E73" s="82"/>
      <c r="F73" s="82"/>
      <c r="G73" s="82"/>
      <c r="H73" s="82"/>
      <c r="I73" s="82"/>
      <c r="J73" s="82"/>
      <c r="K73" s="82"/>
      <c r="L73" s="82"/>
      <c r="M73" s="82"/>
      <c r="N73" s="82"/>
      <c r="O73" s="82"/>
      <c r="P73" s="82"/>
      <c r="Q73" s="82"/>
      <c r="R73" s="82"/>
      <c r="S73" s="82"/>
      <c r="T73" s="82"/>
      <c r="U73" s="82"/>
      <c r="V73" s="82"/>
      <c r="W73" s="82"/>
      <c r="X73" s="82"/>
      <c r="Y73" s="82"/>
      <c r="Z73" s="82"/>
      <c r="AA73" s="82"/>
      <c r="AB73" s="82"/>
      <c r="AC73" s="82"/>
      <c r="AD73" s="82"/>
      <c r="AE73" s="82"/>
      <c r="AF73" s="82"/>
      <c r="AG73" s="82"/>
      <c r="AH73" s="82"/>
      <c r="AI73" s="82"/>
      <c r="AJ73" s="82"/>
      <c r="AK73" s="82"/>
      <c r="AL73" s="82"/>
      <c r="AM73" s="82"/>
      <c r="AN73" s="82"/>
      <c r="AO73" s="82"/>
      <c r="AP73" s="82"/>
      <c r="AQ73" s="82"/>
      <c r="AR73" s="82"/>
      <c r="AS73" s="82"/>
      <c r="AT73" s="82"/>
      <c r="AU73" s="82"/>
      <c r="AV73" s="82"/>
      <c r="AW73" s="82"/>
      <c r="AX73" s="82"/>
      <c r="AY73" s="82"/>
      <c r="AZ73" s="82"/>
    </row>
    <row r="74" spans="1:52" hidden="1" x14ac:dyDescent="0.25">
      <c r="A74" s="82"/>
      <c r="B74" s="82"/>
      <c r="C74" s="82"/>
      <c r="D74" s="82"/>
      <c r="E74" s="82"/>
      <c r="F74" s="82"/>
      <c r="G74" s="82"/>
      <c r="H74" s="82"/>
      <c r="I74" s="82"/>
      <c r="J74" s="82"/>
      <c r="K74" s="82"/>
      <c r="L74" s="82"/>
      <c r="M74" s="82"/>
      <c r="N74" s="82"/>
      <c r="O74" s="82"/>
      <c r="P74" s="82"/>
      <c r="Q74" s="82"/>
      <c r="R74" s="82"/>
      <c r="S74" s="82"/>
      <c r="T74" s="82"/>
      <c r="U74" s="82"/>
      <c r="V74" s="82"/>
      <c r="W74" s="82"/>
      <c r="X74" s="82"/>
      <c r="Y74" s="82"/>
      <c r="Z74" s="82"/>
      <c r="AA74" s="82"/>
      <c r="AB74" s="82"/>
      <c r="AC74" s="82"/>
      <c r="AD74" s="82"/>
      <c r="AE74" s="82"/>
      <c r="AF74" s="82"/>
      <c r="AG74" s="82"/>
      <c r="AH74" s="82"/>
      <c r="AI74" s="82"/>
      <c r="AJ74" s="82"/>
      <c r="AK74" s="82"/>
      <c r="AL74" s="82"/>
      <c r="AM74" s="82"/>
      <c r="AN74" s="82"/>
      <c r="AO74" s="82"/>
      <c r="AP74" s="82"/>
      <c r="AQ74" s="82"/>
      <c r="AR74" s="82"/>
      <c r="AS74" s="82"/>
      <c r="AT74" s="82"/>
      <c r="AU74" s="82"/>
      <c r="AV74" s="82"/>
      <c r="AW74" s="82"/>
      <c r="AX74" s="82"/>
      <c r="AY74" s="82"/>
      <c r="AZ74" s="82"/>
    </row>
    <row r="75" spans="1:52" hidden="1" x14ac:dyDescent="0.25">
      <c r="A75" s="82"/>
      <c r="B75" s="82"/>
      <c r="C75" s="82"/>
      <c r="D75" s="82"/>
      <c r="E75" s="82"/>
      <c r="F75" s="82"/>
      <c r="G75" s="82"/>
      <c r="H75" s="82"/>
      <c r="I75" s="82"/>
      <c r="J75" s="82"/>
      <c r="K75" s="82"/>
      <c r="L75" s="82"/>
      <c r="M75" s="82"/>
      <c r="N75" s="82"/>
      <c r="O75" s="82"/>
      <c r="P75" s="82"/>
      <c r="Q75" s="82"/>
      <c r="R75" s="82"/>
      <c r="S75" s="82"/>
      <c r="T75" s="82"/>
      <c r="U75" s="82"/>
      <c r="V75" s="82"/>
      <c r="W75" s="82"/>
      <c r="X75" s="82"/>
      <c r="Y75" s="82"/>
      <c r="Z75" s="82"/>
      <c r="AA75" s="82"/>
      <c r="AB75" s="82"/>
      <c r="AC75" s="82"/>
      <c r="AD75" s="82"/>
      <c r="AE75" s="82"/>
      <c r="AF75" s="82"/>
      <c r="AG75" s="82"/>
      <c r="AH75" s="82"/>
      <c r="AI75" s="82"/>
      <c r="AJ75" s="82"/>
      <c r="AK75" s="82"/>
      <c r="AL75" s="82"/>
      <c r="AM75" s="82"/>
      <c r="AN75" s="82"/>
      <c r="AO75" s="82"/>
      <c r="AP75" s="82"/>
      <c r="AQ75" s="82"/>
      <c r="AR75" s="82"/>
      <c r="AS75" s="82"/>
      <c r="AT75" s="82"/>
      <c r="AU75" s="82"/>
      <c r="AV75" s="82"/>
      <c r="AW75" s="82"/>
      <c r="AX75" s="82"/>
      <c r="AY75" s="82"/>
      <c r="AZ75" s="82"/>
    </row>
    <row r="76" spans="1:52" hidden="1" x14ac:dyDescent="0.25">
      <c r="A76" s="82"/>
      <c r="B76" s="82"/>
      <c r="C76" s="82"/>
      <c r="D76" s="82"/>
      <c r="E76" s="82"/>
      <c r="F76" s="82"/>
      <c r="G76" s="82"/>
      <c r="H76" s="82"/>
      <c r="I76" s="82"/>
      <c r="J76" s="82"/>
      <c r="K76" s="82"/>
      <c r="L76" s="82"/>
      <c r="M76" s="82"/>
      <c r="N76" s="82"/>
      <c r="O76" s="82"/>
      <c r="P76" s="82"/>
      <c r="Q76" s="82"/>
      <c r="R76" s="82"/>
      <c r="S76" s="82"/>
      <c r="T76" s="82"/>
      <c r="U76" s="82"/>
      <c r="V76" s="82"/>
      <c r="W76" s="82"/>
      <c r="X76" s="82"/>
      <c r="Y76" s="82"/>
      <c r="Z76" s="82"/>
      <c r="AA76" s="82"/>
      <c r="AB76" s="82"/>
      <c r="AC76" s="82"/>
      <c r="AD76" s="82"/>
      <c r="AE76" s="82"/>
      <c r="AF76" s="82"/>
      <c r="AG76" s="82"/>
      <c r="AH76" s="82"/>
      <c r="AI76" s="82"/>
      <c r="AJ76" s="82"/>
      <c r="AK76" s="82"/>
      <c r="AL76" s="82"/>
      <c r="AM76" s="82"/>
      <c r="AN76" s="82"/>
      <c r="AO76" s="82"/>
      <c r="AP76" s="82"/>
      <c r="AQ76" s="82"/>
      <c r="AR76" s="82"/>
      <c r="AS76" s="82"/>
      <c r="AT76" s="82"/>
      <c r="AU76" s="82"/>
      <c r="AV76" s="82"/>
      <c r="AW76" s="82"/>
      <c r="AX76" s="82"/>
      <c r="AY76" s="82"/>
      <c r="AZ76" s="82"/>
    </row>
    <row r="77" spans="1:52" hidden="1" x14ac:dyDescent="0.25">
      <c r="A77" s="82"/>
      <c r="B77" s="82"/>
      <c r="C77" s="82"/>
      <c r="D77" s="82"/>
      <c r="E77" s="82"/>
      <c r="F77" s="82"/>
      <c r="G77" s="82"/>
      <c r="H77" s="82"/>
      <c r="I77" s="82"/>
      <c r="J77" s="82"/>
      <c r="K77" s="82"/>
      <c r="L77" s="82"/>
      <c r="M77" s="82"/>
      <c r="N77" s="82"/>
      <c r="O77" s="82"/>
      <c r="P77" s="82"/>
      <c r="Q77" s="82"/>
      <c r="R77" s="82"/>
      <c r="S77" s="82"/>
      <c r="T77" s="82"/>
      <c r="U77" s="82"/>
      <c r="V77" s="82"/>
      <c r="W77" s="82"/>
      <c r="X77" s="82"/>
      <c r="Y77" s="82"/>
      <c r="Z77" s="82"/>
      <c r="AA77" s="82"/>
      <c r="AB77" s="82"/>
      <c r="AC77" s="82"/>
      <c r="AD77" s="82"/>
      <c r="AE77" s="82"/>
      <c r="AF77" s="82"/>
      <c r="AG77" s="82"/>
      <c r="AH77" s="82"/>
      <c r="AI77" s="82"/>
      <c r="AJ77" s="82"/>
      <c r="AK77" s="82"/>
      <c r="AL77" s="82"/>
      <c r="AM77" s="82"/>
      <c r="AN77" s="82"/>
      <c r="AO77" s="82"/>
      <c r="AP77" s="82"/>
      <c r="AQ77" s="82"/>
      <c r="AR77" s="82"/>
      <c r="AS77" s="82"/>
      <c r="AT77" s="82"/>
      <c r="AU77" s="82"/>
      <c r="AV77" s="82"/>
      <c r="AW77" s="82"/>
      <c r="AX77" s="82"/>
      <c r="AY77" s="82"/>
      <c r="AZ77" s="82"/>
    </row>
    <row r="78" spans="1:52" hidden="1" x14ac:dyDescent="0.25">
      <c r="A78" s="82"/>
      <c r="B78" s="82"/>
      <c r="C78" s="82"/>
      <c r="D78" s="82"/>
      <c r="E78" s="82"/>
      <c r="F78" s="82"/>
      <c r="G78" s="82"/>
      <c r="H78" s="82"/>
      <c r="I78" s="82"/>
      <c r="J78" s="82"/>
      <c r="K78" s="82"/>
      <c r="L78" s="82"/>
      <c r="M78" s="82"/>
      <c r="N78" s="82"/>
      <c r="O78" s="82"/>
      <c r="P78" s="82"/>
      <c r="Q78" s="82"/>
      <c r="R78" s="82"/>
      <c r="S78" s="82"/>
      <c r="T78" s="82"/>
      <c r="U78" s="82"/>
      <c r="V78" s="82"/>
      <c r="W78" s="82"/>
      <c r="X78" s="82"/>
      <c r="Y78" s="82"/>
      <c r="Z78" s="82"/>
      <c r="AA78" s="82"/>
      <c r="AB78" s="82"/>
      <c r="AC78" s="82"/>
      <c r="AD78" s="82"/>
      <c r="AE78" s="82"/>
      <c r="AF78" s="82"/>
      <c r="AG78" s="82"/>
      <c r="AH78" s="82"/>
      <c r="AI78" s="82"/>
      <c r="AJ78" s="82"/>
      <c r="AK78" s="82"/>
      <c r="AL78" s="82"/>
      <c r="AM78" s="82"/>
      <c r="AN78" s="82"/>
      <c r="AO78" s="82"/>
      <c r="AP78" s="82"/>
      <c r="AQ78" s="82"/>
      <c r="AR78" s="82"/>
      <c r="AS78" s="82"/>
      <c r="AT78" s="82"/>
      <c r="AU78" s="82"/>
      <c r="AV78" s="82"/>
      <c r="AW78" s="82"/>
      <c r="AX78" s="82"/>
      <c r="AY78" s="82"/>
      <c r="AZ78" s="82"/>
    </row>
    <row r="79" spans="1:52" hidden="1" x14ac:dyDescent="0.25">
      <c r="A79" s="82"/>
      <c r="B79" s="82"/>
      <c r="C79" s="82"/>
      <c r="D79" s="82"/>
      <c r="E79" s="82"/>
      <c r="F79" s="82"/>
      <c r="G79" s="82"/>
      <c r="H79" s="82"/>
      <c r="I79" s="82"/>
      <c r="J79" s="82"/>
      <c r="K79" s="82"/>
      <c r="L79" s="82"/>
      <c r="M79" s="82"/>
      <c r="N79" s="82"/>
      <c r="O79" s="82"/>
      <c r="P79" s="82"/>
      <c r="Q79" s="82"/>
      <c r="R79" s="82"/>
      <c r="S79" s="82"/>
      <c r="T79" s="82"/>
      <c r="U79" s="82"/>
      <c r="V79" s="82"/>
      <c r="W79" s="82"/>
      <c r="X79" s="82"/>
      <c r="Y79" s="82"/>
      <c r="Z79" s="82"/>
      <c r="AA79" s="82"/>
      <c r="AB79" s="82"/>
      <c r="AC79" s="82"/>
      <c r="AD79" s="82"/>
      <c r="AE79" s="82"/>
      <c r="AF79" s="82"/>
      <c r="AG79" s="82"/>
      <c r="AH79" s="82"/>
      <c r="AI79" s="82"/>
      <c r="AJ79" s="82"/>
      <c r="AK79" s="82"/>
      <c r="AL79" s="82"/>
      <c r="AM79" s="82"/>
      <c r="AN79" s="82"/>
      <c r="AO79" s="82"/>
      <c r="AP79" s="82"/>
      <c r="AQ79" s="82"/>
      <c r="AR79" s="82"/>
      <c r="AS79" s="82"/>
      <c r="AT79" s="82"/>
      <c r="AU79" s="82"/>
      <c r="AV79" s="82"/>
      <c r="AW79" s="82"/>
      <c r="AX79" s="82"/>
      <c r="AY79" s="82"/>
      <c r="AZ79" s="82"/>
    </row>
    <row r="80" spans="1:52" hidden="1" x14ac:dyDescent="0.25">
      <c r="A80" s="82"/>
      <c r="B80" s="82"/>
      <c r="C80" s="82"/>
      <c r="D80" s="82"/>
      <c r="E80" s="82"/>
      <c r="F80" s="82"/>
      <c r="G80" s="82"/>
      <c r="H80" s="82"/>
      <c r="I80" s="82"/>
      <c r="J80" s="82"/>
      <c r="K80" s="82"/>
      <c r="L80" s="82"/>
      <c r="M80" s="82"/>
      <c r="N80" s="82"/>
      <c r="O80" s="82"/>
      <c r="P80" s="82"/>
      <c r="Q80" s="82"/>
      <c r="R80" s="82"/>
      <c r="S80" s="82"/>
      <c r="T80" s="82"/>
      <c r="U80" s="82"/>
      <c r="V80" s="82"/>
      <c r="W80" s="82"/>
      <c r="X80" s="82"/>
      <c r="Y80" s="82"/>
      <c r="Z80" s="82"/>
      <c r="AA80" s="82"/>
      <c r="AB80" s="82"/>
      <c r="AC80" s="82"/>
      <c r="AD80" s="82"/>
      <c r="AE80" s="82"/>
      <c r="AF80" s="82"/>
      <c r="AG80" s="82"/>
      <c r="AH80" s="82"/>
      <c r="AI80" s="82"/>
      <c r="AJ80" s="82"/>
      <c r="AK80" s="82"/>
      <c r="AL80" s="82"/>
      <c r="AM80" s="82"/>
      <c r="AN80" s="82"/>
      <c r="AO80" s="82"/>
      <c r="AP80" s="82"/>
      <c r="AQ80" s="82"/>
      <c r="AR80" s="82"/>
      <c r="AS80" s="82"/>
      <c r="AT80" s="82"/>
      <c r="AU80" s="82"/>
      <c r="AV80" s="82"/>
      <c r="AW80" s="82"/>
      <c r="AX80" s="82"/>
      <c r="AY80" s="82"/>
      <c r="AZ80" s="82"/>
    </row>
    <row r="81" spans="1:52" hidden="1" x14ac:dyDescent="0.25">
      <c r="A81" s="82"/>
      <c r="B81" s="82"/>
      <c r="C81" s="82"/>
      <c r="D81" s="82"/>
      <c r="E81" s="82"/>
      <c r="F81" s="82"/>
      <c r="G81" s="82"/>
      <c r="H81" s="82"/>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c r="AT81" s="82"/>
      <c r="AU81" s="82"/>
      <c r="AV81" s="82"/>
      <c r="AW81" s="82"/>
      <c r="AX81" s="82"/>
      <c r="AY81" s="82"/>
      <c r="AZ81" s="82"/>
    </row>
    <row r="82" spans="1:52" hidden="1" x14ac:dyDescent="0.25">
      <c r="A82" s="82"/>
      <c r="B82" s="82"/>
      <c r="C82" s="82"/>
      <c r="D82" s="82"/>
      <c r="E82" s="82"/>
      <c r="F82" s="82"/>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2"/>
      <c r="AI82" s="82"/>
      <c r="AJ82" s="82"/>
      <c r="AK82" s="82"/>
      <c r="AL82" s="82"/>
      <c r="AM82" s="82"/>
      <c r="AN82" s="82"/>
      <c r="AO82" s="82"/>
      <c r="AP82" s="82"/>
      <c r="AQ82" s="82"/>
      <c r="AR82" s="82"/>
      <c r="AS82" s="82"/>
      <c r="AT82" s="82"/>
      <c r="AU82" s="82"/>
      <c r="AV82" s="82"/>
      <c r="AW82" s="82"/>
      <c r="AX82" s="82"/>
      <c r="AY82" s="82"/>
      <c r="AZ82" s="82"/>
    </row>
    <row r="83" spans="1:52" hidden="1" x14ac:dyDescent="0.25">
      <c r="A83" s="82"/>
      <c r="B83" s="82"/>
      <c r="C83" s="82"/>
      <c r="D83" s="82"/>
      <c r="E83" s="82"/>
      <c r="F83" s="82"/>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2"/>
      <c r="AI83" s="82"/>
      <c r="AJ83" s="82"/>
      <c r="AK83" s="82"/>
      <c r="AL83" s="82"/>
      <c r="AM83" s="82"/>
      <c r="AN83" s="82"/>
      <c r="AO83" s="82"/>
      <c r="AP83" s="82"/>
      <c r="AQ83" s="82"/>
      <c r="AR83" s="82"/>
      <c r="AS83" s="82"/>
      <c r="AT83" s="82"/>
      <c r="AU83" s="82"/>
      <c r="AV83" s="82"/>
      <c r="AW83" s="82"/>
      <c r="AX83" s="82"/>
      <c r="AY83" s="82"/>
      <c r="AZ83" s="82"/>
    </row>
    <row r="84" spans="1:52" hidden="1" x14ac:dyDescent="0.25">
      <c r="A84" s="82"/>
      <c r="B84" s="82"/>
      <c r="C84" s="82"/>
      <c r="D84" s="82"/>
      <c r="E84" s="82"/>
      <c r="F84" s="82"/>
      <c r="G84" s="82"/>
      <c r="H84" s="82"/>
      <c r="I84" s="82"/>
      <c r="J84" s="82"/>
      <c r="K84" s="82"/>
      <c r="L84" s="82"/>
      <c r="M84" s="82"/>
      <c r="N84" s="82"/>
      <c r="O84" s="82"/>
      <c r="P84" s="82"/>
      <c r="Q84" s="82"/>
      <c r="R84" s="82"/>
      <c r="S84" s="82"/>
      <c r="T84" s="82"/>
      <c r="U84" s="82"/>
      <c r="V84" s="82"/>
      <c r="W84" s="82"/>
      <c r="X84" s="82"/>
      <c r="Y84" s="82"/>
      <c r="Z84" s="82"/>
      <c r="AA84" s="82"/>
      <c r="AB84" s="82"/>
      <c r="AC84" s="82"/>
      <c r="AD84" s="82"/>
      <c r="AE84" s="82"/>
      <c r="AF84" s="82"/>
      <c r="AG84" s="82"/>
      <c r="AH84" s="82"/>
      <c r="AI84" s="82"/>
      <c r="AJ84" s="82"/>
      <c r="AK84" s="82"/>
      <c r="AL84" s="82"/>
      <c r="AM84" s="82"/>
      <c r="AN84" s="82"/>
      <c r="AO84" s="82"/>
      <c r="AP84" s="82"/>
      <c r="AQ84" s="82"/>
      <c r="AR84" s="82"/>
      <c r="AS84" s="82"/>
      <c r="AT84" s="82"/>
      <c r="AU84" s="82"/>
      <c r="AV84" s="82"/>
      <c r="AW84" s="82"/>
      <c r="AX84" s="82"/>
      <c r="AY84" s="82"/>
      <c r="AZ84" s="82"/>
    </row>
    <row r="85" spans="1:52" hidden="1" x14ac:dyDescent="0.25">
      <c r="A85" s="82"/>
      <c r="B85" s="82"/>
      <c r="C85" s="82"/>
      <c r="D85" s="82"/>
      <c r="E85" s="82"/>
      <c r="F85" s="82"/>
      <c r="G85" s="82"/>
      <c r="H85" s="82"/>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c r="AT85" s="82"/>
      <c r="AU85" s="82"/>
      <c r="AV85" s="82"/>
      <c r="AW85" s="82"/>
      <c r="AX85" s="82"/>
      <c r="AY85" s="82"/>
      <c r="AZ85" s="82"/>
    </row>
    <row r="86" spans="1:52" hidden="1" x14ac:dyDescent="0.25">
      <c r="A86" s="82"/>
      <c r="B86" s="82"/>
      <c r="C86" s="82"/>
      <c r="D86" s="82"/>
      <c r="E86" s="82"/>
      <c r="F86" s="82"/>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H86" s="82"/>
      <c r="AI86" s="82"/>
      <c r="AJ86" s="82"/>
      <c r="AK86" s="82"/>
      <c r="AL86" s="82"/>
      <c r="AM86" s="82"/>
      <c r="AN86" s="82"/>
      <c r="AO86" s="82"/>
      <c r="AP86" s="82"/>
      <c r="AQ86" s="82"/>
      <c r="AR86" s="82"/>
      <c r="AS86" s="82"/>
      <c r="AT86" s="82"/>
      <c r="AU86" s="82"/>
      <c r="AV86" s="82"/>
      <c r="AW86" s="82"/>
      <c r="AX86" s="82"/>
      <c r="AY86" s="82"/>
      <c r="AZ86" s="82"/>
    </row>
    <row r="87" spans="1:52" hidden="1" x14ac:dyDescent="0.25">
      <c r="A87" s="82"/>
      <c r="B87" s="82"/>
      <c r="C87" s="82"/>
      <c r="D87" s="82"/>
      <c r="E87" s="82"/>
      <c r="F87" s="82"/>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H87" s="82"/>
      <c r="AI87" s="82"/>
      <c r="AJ87" s="82"/>
      <c r="AK87" s="82"/>
      <c r="AL87" s="82"/>
      <c r="AM87" s="82"/>
      <c r="AN87" s="82"/>
      <c r="AO87" s="82"/>
      <c r="AP87" s="82"/>
      <c r="AQ87" s="82"/>
      <c r="AR87" s="82"/>
      <c r="AS87" s="82"/>
      <c r="AT87" s="82"/>
      <c r="AU87" s="82"/>
      <c r="AV87" s="82"/>
      <c r="AW87" s="82"/>
      <c r="AX87" s="82"/>
      <c r="AY87" s="82"/>
      <c r="AZ87" s="82"/>
    </row>
    <row r="88" spans="1:52" hidden="1" x14ac:dyDescent="0.25">
      <c r="A88" s="82"/>
      <c r="B88" s="82"/>
      <c r="C88" s="82"/>
      <c r="D88" s="82"/>
      <c r="E88" s="82"/>
      <c r="F88" s="82"/>
      <c r="G88" s="82"/>
      <c r="H88" s="82"/>
      <c r="I88" s="82"/>
      <c r="J88" s="82"/>
      <c r="K88" s="82"/>
      <c r="L88" s="82"/>
      <c r="M88" s="82"/>
      <c r="N88" s="82"/>
      <c r="O88" s="82"/>
      <c r="P88" s="82"/>
      <c r="Q88" s="82"/>
      <c r="R88" s="82"/>
      <c r="S88" s="82"/>
      <c r="T88" s="82"/>
      <c r="U88" s="82"/>
      <c r="V88" s="82"/>
      <c r="W88" s="82"/>
      <c r="X88" s="82"/>
      <c r="Y88" s="82"/>
      <c r="Z88" s="82"/>
      <c r="AA88" s="82"/>
      <c r="AB88" s="82"/>
      <c r="AC88" s="82"/>
      <c r="AD88" s="82"/>
      <c r="AE88" s="82"/>
      <c r="AF88" s="82"/>
      <c r="AG88" s="82"/>
      <c r="AH88" s="82"/>
      <c r="AI88" s="82"/>
      <c r="AJ88" s="82"/>
      <c r="AK88" s="82"/>
      <c r="AL88" s="82"/>
      <c r="AM88" s="82"/>
      <c r="AN88" s="82"/>
      <c r="AO88" s="82"/>
      <c r="AP88" s="82"/>
      <c r="AQ88" s="82"/>
      <c r="AR88" s="82"/>
      <c r="AS88" s="82"/>
      <c r="AT88" s="82"/>
      <c r="AU88" s="82"/>
      <c r="AV88" s="82"/>
      <c r="AW88" s="82"/>
      <c r="AX88" s="82"/>
      <c r="AY88" s="82"/>
      <c r="AZ88" s="82"/>
    </row>
    <row r="89" spans="1:52" hidden="1" x14ac:dyDescent="0.25">
      <c r="A89" s="82"/>
      <c r="B89" s="82"/>
      <c r="C89" s="82"/>
      <c r="D89" s="82"/>
      <c r="E89" s="82"/>
      <c r="F89" s="82"/>
      <c r="G89" s="82"/>
      <c r="H89" s="82"/>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c r="AT89" s="82"/>
      <c r="AU89" s="82"/>
      <c r="AV89" s="82"/>
      <c r="AW89" s="82"/>
      <c r="AX89" s="82"/>
      <c r="AY89" s="82"/>
      <c r="AZ89" s="82"/>
    </row>
    <row r="90" spans="1:52" hidden="1" x14ac:dyDescent="0.25">
      <c r="A90" s="82"/>
      <c r="B90" s="82"/>
      <c r="C90" s="82"/>
      <c r="D90" s="82"/>
      <c r="E90" s="82"/>
      <c r="F90" s="82"/>
      <c r="G90" s="82"/>
      <c r="H90" s="82"/>
      <c r="I90" s="82"/>
      <c r="J90" s="82"/>
      <c r="K90" s="82"/>
      <c r="L90" s="82"/>
      <c r="M90" s="82"/>
      <c r="N90" s="82"/>
      <c r="O90" s="82"/>
      <c r="P90" s="82"/>
      <c r="Q90" s="82"/>
      <c r="R90" s="82"/>
      <c r="S90" s="82"/>
      <c r="T90" s="82"/>
      <c r="U90" s="82"/>
      <c r="V90" s="82"/>
      <c r="W90" s="82"/>
      <c r="X90" s="82"/>
      <c r="Y90" s="82"/>
      <c r="Z90" s="82"/>
      <c r="AA90" s="82"/>
      <c r="AB90" s="82"/>
      <c r="AC90" s="82"/>
      <c r="AD90" s="82"/>
      <c r="AE90" s="82"/>
      <c r="AF90" s="82"/>
      <c r="AG90" s="82"/>
      <c r="AH90" s="82"/>
      <c r="AI90" s="82"/>
      <c r="AJ90" s="82"/>
      <c r="AK90" s="82"/>
      <c r="AL90" s="82"/>
      <c r="AM90" s="82"/>
      <c r="AN90" s="82"/>
      <c r="AO90" s="82"/>
      <c r="AP90" s="82"/>
      <c r="AQ90" s="82"/>
      <c r="AR90" s="82"/>
      <c r="AS90" s="82"/>
      <c r="AT90" s="82"/>
      <c r="AU90" s="82"/>
      <c r="AV90" s="82"/>
      <c r="AW90" s="82"/>
      <c r="AX90" s="82"/>
      <c r="AY90" s="82"/>
      <c r="AZ90" s="82"/>
    </row>
    <row r="91" spans="1:52" hidden="1" x14ac:dyDescent="0.25">
      <c r="A91" s="82"/>
      <c r="B91" s="82"/>
      <c r="C91" s="82"/>
      <c r="D91" s="82"/>
      <c r="E91" s="82"/>
      <c r="F91" s="82"/>
      <c r="G91" s="82"/>
      <c r="H91" s="82"/>
      <c r="I91" s="82"/>
      <c r="J91" s="82"/>
      <c r="K91" s="82"/>
      <c r="L91" s="82"/>
      <c r="M91" s="82"/>
      <c r="N91" s="82"/>
      <c r="O91" s="82"/>
      <c r="P91" s="82"/>
      <c r="Q91" s="82"/>
      <c r="R91" s="82"/>
      <c r="S91" s="82"/>
      <c r="T91" s="82"/>
      <c r="U91" s="82"/>
      <c r="V91" s="82"/>
      <c r="W91" s="82"/>
      <c r="X91" s="82"/>
      <c r="Y91" s="82"/>
      <c r="Z91" s="82"/>
      <c r="AA91" s="82"/>
      <c r="AB91" s="82"/>
      <c r="AC91" s="82"/>
      <c r="AD91" s="82"/>
      <c r="AE91" s="82"/>
      <c r="AF91" s="82"/>
      <c r="AG91" s="82"/>
      <c r="AH91" s="82"/>
      <c r="AI91" s="82"/>
      <c r="AJ91" s="82"/>
      <c r="AK91" s="82"/>
      <c r="AL91" s="82"/>
      <c r="AM91" s="82"/>
      <c r="AN91" s="82"/>
      <c r="AO91" s="82"/>
      <c r="AP91" s="82"/>
      <c r="AQ91" s="82"/>
      <c r="AR91" s="82"/>
      <c r="AS91" s="82"/>
      <c r="AT91" s="82"/>
      <c r="AU91" s="82"/>
      <c r="AV91" s="82"/>
      <c r="AW91" s="82"/>
      <c r="AX91" s="82"/>
      <c r="AY91" s="82"/>
      <c r="AZ91" s="82"/>
    </row>
    <row r="92" spans="1:52" hidden="1" x14ac:dyDescent="0.25">
      <c r="A92" s="82"/>
      <c r="B92" s="82"/>
      <c r="C92" s="82"/>
      <c r="D92" s="82"/>
      <c r="E92" s="82"/>
      <c r="F92" s="82"/>
      <c r="G92" s="82"/>
      <c r="H92" s="82"/>
      <c r="I92" s="82"/>
      <c r="J92" s="82"/>
      <c r="K92" s="82"/>
      <c r="L92" s="82"/>
      <c r="M92" s="82"/>
      <c r="N92" s="82"/>
      <c r="O92" s="82"/>
      <c r="P92" s="82"/>
      <c r="Q92" s="82"/>
      <c r="R92" s="82"/>
      <c r="S92" s="82"/>
      <c r="T92" s="82"/>
      <c r="U92" s="82"/>
      <c r="V92" s="82"/>
      <c r="W92" s="82"/>
      <c r="X92" s="82"/>
      <c r="Y92" s="82"/>
      <c r="Z92" s="82"/>
      <c r="AA92" s="82"/>
      <c r="AB92" s="82"/>
      <c r="AC92" s="82"/>
      <c r="AD92" s="82"/>
      <c r="AE92" s="82"/>
      <c r="AF92" s="82"/>
      <c r="AG92" s="82"/>
      <c r="AH92" s="82"/>
      <c r="AI92" s="82"/>
      <c r="AJ92" s="82"/>
      <c r="AK92" s="82"/>
      <c r="AL92" s="82"/>
      <c r="AM92" s="82"/>
      <c r="AN92" s="82"/>
      <c r="AO92" s="82"/>
      <c r="AP92" s="82"/>
      <c r="AQ92" s="82"/>
      <c r="AR92" s="82"/>
      <c r="AS92" s="82"/>
      <c r="AT92" s="82"/>
      <c r="AU92" s="82"/>
      <c r="AV92" s="82"/>
      <c r="AW92" s="82"/>
      <c r="AX92" s="82"/>
      <c r="AY92" s="82"/>
      <c r="AZ92" s="82"/>
    </row>
    <row r="93" spans="1:52" hidden="1" x14ac:dyDescent="0.25">
      <c r="A93" s="82"/>
      <c r="B93" s="82"/>
      <c r="C93" s="82"/>
      <c r="D93" s="82"/>
      <c r="E93" s="82"/>
      <c r="F93" s="82"/>
      <c r="G93" s="82"/>
      <c r="H93" s="82"/>
      <c r="I93" s="82"/>
      <c r="J93" s="82"/>
      <c r="K93" s="82"/>
      <c r="L93" s="82"/>
      <c r="M93" s="82"/>
      <c r="N93" s="82"/>
      <c r="O93" s="82"/>
      <c r="P93" s="82"/>
      <c r="Q93" s="82"/>
      <c r="R93" s="82"/>
      <c r="S93" s="82"/>
      <c r="T93" s="82"/>
      <c r="U93" s="82"/>
      <c r="V93" s="82"/>
      <c r="W93" s="82"/>
      <c r="X93" s="82"/>
      <c r="Y93" s="82"/>
      <c r="Z93" s="82"/>
      <c r="AA93" s="82"/>
      <c r="AB93" s="82"/>
      <c r="AC93" s="82"/>
      <c r="AD93" s="82"/>
      <c r="AE93" s="82"/>
      <c r="AF93" s="82"/>
      <c r="AG93" s="82"/>
      <c r="AH93" s="82"/>
      <c r="AI93" s="82"/>
      <c r="AJ93" s="82"/>
      <c r="AK93" s="82"/>
      <c r="AL93" s="82"/>
      <c r="AM93" s="82"/>
      <c r="AN93" s="82"/>
      <c r="AO93" s="82"/>
      <c r="AP93" s="82"/>
      <c r="AQ93" s="82"/>
      <c r="AR93" s="82"/>
      <c r="AS93" s="82"/>
      <c r="AT93" s="82"/>
      <c r="AU93" s="82"/>
      <c r="AV93" s="82"/>
      <c r="AW93" s="82"/>
      <c r="AX93" s="82"/>
      <c r="AY93" s="82"/>
      <c r="AZ93" s="82"/>
    </row>
    <row r="94" spans="1:52" hidden="1" x14ac:dyDescent="0.25">
      <c r="A94" s="82"/>
      <c r="B94" s="82"/>
      <c r="C94" s="82"/>
      <c r="D94" s="82"/>
      <c r="E94" s="82"/>
      <c r="F94" s="82"/>
      <c r="G94" s="82"/>
      <c r="H94" s="82"/>
      <c r="I94" s="82"/>
      <c r="J94" s="82"/>
      <c r="K94" s="82"/>
      <c r="L94" s="82"/>
      <c r="M94" s="82"/>
      <c r="N94" s="82"/>
      <c r="O94" s="82"/>
      <c r="P94" s="82"/>
      <c r="Q94" s="82"/>
      <c r="R94" s="82"/>
      <c r="S94" s="82"/>
      <c r="T94" s="82"/>
      <c r="U94" s="82"/>
      <c r="V94" s="82"/>
      <c r="W94" s="82"/>
      <c r="X94" s="82"/>
      <c r="Y94" s="82"/>
      <c r="Z94" s="82"/>
      <c r="AA94" s="82"/>
      <c r="AB94" s="82"/>
      <c r="AC94" s="82"/>
      <c r="AD94" s="82"/>
      <c r="AE94" s="82"/>
      <c r="AF94" s="82"/>
      <c r="AG94" s="82"/>
      <c r="AH94" s="82"/>
      <c r="AI94" s="82"/>
      <c r="AJ94" s="82"/>
      <c r="AK94" s="82"/>
      <c r="AL94" s="82"/>
      <c r="AM94" s="82"/>
      <c r="AN94" s="82"/>
      <c r="AO94" s="82"/>
      <c r="AP94" s="82"/>
      <c r="AQ94" s="82"/>
      <c r="AR94" s="82"/>
      <c r="AS94" s="82"/>
      <c r="AT94" s="82"/>
      <c r="AU94" s="82"/>
      <c r="AV94" s="82"/>
      <c r="AW94" s="82"/>
      <c r="AX94" s="82"/>
      <c r="AY94" s="82"/>
      <c r="AZ94" s="82"/>
    </row>
    <row r="95" spans="1:52" hidden="1" x14ac:dyDescent="0.25">
      <c r="A95" s="82"/>
      <c r="B95" s="82"/>
      <c r="C95" s="82"/>
      <c r="D95" s="82"/>
      <c r="E95" s="82"/>
      <c r="F95" s="82"/>
      <c r="G95" s="82"/>
      <c r="H95" s="82"/>
      <c r="I95" s="82"/>
      <c r="J95" s="82"/>
      <c r="K95" s="82"/>
      <c r="L95" s="82"/>
      <c r="M95" s="82"/>
      <c r="N95" s="82"/>
      <c r="O95" s="82"/>
      <c r="P95" s="82"/>
      <c r="Q95" s="82"/>
      <c r="R95" s="82"/>
      <c r="S95" s="82"/>
      <c r="T95" s="82"/>
      <c r="U95" s="82"/>
      <c r="V95" s="82"/>
      <c r="W95" s="82"/>
      <c r="X95" s="82"/>
      <c r="Y95" s="82"/>
      <c r="Z95" s="82"/>
      <c r="AA95" s="82"/>
      <c r="AB95" s="82"/>
      <c r="AC95" s="82"/>
      <c r="AD95" s="82"/>
      <c r="AE95" s="82"/>
      <c r="AF95" s="82"/>
      <c r="AG95" s="82"/>
      <c r="AH95" s="82"/>
      <c r="AI95" s="82"/>
      <c r="AJ95" s="82"/>
      <c r="AK95" s="82"/>
      <c r="AL95" s="82"/>
      <c r="AM95" s="82"/>
      <c r="AN95" s="82"/>
      <c r="AO95" s="82"/>
      <c r="AP95" s="82"/>
      <c r="AQ95" s="82"/>
      <c r="AR95" s="82"/>
      <c r="AS95" s="82"/>
      <c r="AT95" s="82"/>
      <c r="AU95" s="82"/>
      <c r="AV95" s="82"/>
      <c r="AW95" s="82"/>
      <c r="AX95" s="82"/>
      <c r="AY95" s="82"/>
      <c r="AZ95" s="82"/>
    </row>
    <row r="96" spans="1:52" hidden="1" x14ac:dyDescent="0.25">
      <c r="A96" s="82"/>
      <c r="B96" s="82"/>
      <c r="C96" s="82"/>
      <c r="D96" s="82"/>
      <c r="E96" s="82"/>
      <c r="F96" s="82"/>
      <c r="G96" s="82"/>
      <c r="H96" s="82"/>
      <c r="I96" s="82"/>
      <c r="J96" s="82"/>
      <c r="K96" s="82"/>
      <c r="L96" s="82"/>
      <c r="M96" s="82"/>
      <c r="N96" s="82"/>
      <c r="O96" s="82"/>
      <c r="P96" s="82"/>
      <c r="Q96" s="82"/>
      <c r="R96" s="82"/>
      <c r="S96" s="82"/>
      <c r="T96" s="82"/>
      <c r="U96" s="82"/>
      <c r="V96" s="82"/>
      <c r="W96" s="82"/>
      <c r="X96" s="82"/>
      <c r="Y96" s="82"/>
      <c r="Z96" s="82"/>
      <c r="AA96" s="82"/>
      <c r="AB96" s="82"/>
      <c r="AC96" s="82"/>
      <c r="AD96" s="82"/>
      <c r="AE96" s="82"/>
      <c r="AF96" s="82"/>
      <c r="AG96" s="82"/>
      <c r="AH96" s="82"/>
      <c r="AI96" s="82"/>
      <c r="AJ96" s="82"/>
      <c r="AK96" s="82"/>
      <c r="AL96" s="82"/>
      <c r="AM96" s="82"/>
      <c r="AN96" s="82"/>
      <c r="AO96" s="82"/>
      <c r="AP96" s="82"/>
      <c r="AQ96" s="82"/>
      <c r="AR96" s="82"/>
      <c r="AS96" s="82"/>
      <c r="AT96" s="82"/>
      <c r="AU96" s="82"/>
      <c r="AV96" s="82"/>
      <c r="AW96" s="82"/>
      <c r="AX96" s="82"/>
      <c r="AY96" s="82"/>
      <c r="AZ96" s="82"/>
    </row>
    <row r="97" spans="1:52" hidden="1" x14ac:dyDescent="0.25">
      <c r="A97" s="82"/>
      <c r="B97" s="82"/>
      <c r="C97" s="82"/>
      <c r="D97" s="82"/>
      <c r="E97" s="82"/>
      <c r="F97" s="82"/>
      <c r="G97" s="82"/>
      <c r="H97" s="82"/>
      <c r="I97" s="82"/>
      <c r="J97" s="82"/>
      <c r="K97" s="82"/>
      <c r="L97" s="82"/>
      <c r="M97" s="82"/>
      <c r="N97" s="82"/>
      <c r="O97" s="82"/>
      <c r="P97" s="82"/>
      <c r="Q97" s="82"/>
      <c r="R97" s="82"/>
      <c r="S97" s="82"/>
      <c r="T97" s="82"/>
      <c r="U97" s="82"/>
      <c r="V97" s="82"/>
      <c r="W97" s="82"/>
      <c r="X97" s="82"/>
      <c r="Y97" s="82"/>
      <c r="Z97" s="82"/>
      <c r="AA97" s="82"/>
      <c r="AB97" s="82"/>
      <c r="AC97" s="82"/>
      <c r="AD97" s="82"/>
      <c r="AE97" s="82"/>
      <c r="AF97" s="82"/>
      <c r="AG97" s="82"/>
      <c r="AH97" s="82"/>
      <c r="AI97" s="82"/>
      <c r="AJ97" s="82"/>
      <c r="AK97" s="82"/>
      <c r="AL97" s="82"/>
      <c r="AM97" s="82"/>
      <c r="AN97" s="82"/>
      <c r="AO97" s="82"/>
      <c r="AP97" s="82"/>
      <c r="AQ97" s="82"/>
      <c r="AR97" s="82"/>
      <c r="AS97" s="82"/>
      <c r="AT97" s="82"/>
      <c r="AU97" s="82"/>
      <c r="AV97" s="82"/>
      <c r="AW97" s="82"/>
      <c r="AX97" s="82"/>
      <c r="AY97" s="82"/>
      <c r="AZ97" s="82"/>
    </row>
    <row r="98" spans="1:52" hidden="1" x14ac:dyDescent="0.25">
      <c r="A98" s="82"/>
      <c r="B98" s="82"/>
      <c r="C98" s="82"/>
      <c r="D98" s="82"/>
      <c r="E98" s="82"/>
      <c r="F98" s="82"/>
      <c r="G98" s="82"/>
      <c r="H98" s="82"/>
      <c r="I98" s="82"/>
      <c r="J98" s="82"/>
      <c r="K98" s="82"/>
      <c r="L98" s="82"/>
      <c r="M98" s="82"/>
      <c r="N98" s="82"/>
      <c r="O98" s="82"/>
      <c r="P98" s="82"/>
      <c r="Q98" s="82"/>
      <c r="R98" s="82"/>
      <c r="S98" s="82"/>
      <c r="T98" s="82"/>
      <c r="U98" s="82"/>
      <c r="V98" s="82"/>
      <c r="W98" s="82"/>
      <c r="X98" s="82"/>
      <c r="Y98" s="82"/>
      <c r="Z98" s="82"/>
      <c r="AA98" s="82"/>
      <c r="AB98" s="82"/>
      <c r="AC98" s="82"/>
      <c r="AD98" s="82"/>
      <c r="AE98" s="82"/>
      <c r="AF98" s="82"/>
      <c r="AG98" s="82"/>
      <c r="AH98" s="82"/>
      <c r="AI98" s="82"/>
      <c r="AJ98" s="82"/>
      <c r="AK98" s="82"/>
      <c r="AL98" s="82"/>
      <c r="AM98" s="82"/>
      <c r="AN98" s="82"/>
      <c r="AO98" s="82"/>
      <c r="AP98" s="82"/>
      <c r="AQ98" s="82"/>
      <c r="AR98" s="82"/>
      <c r="AS98" s="82"/>
      <c r="AT98" s="82"/>
      <c r="AU98" s="82"/>
      <c r="AV98" s="82"/>
      <c r="AW98" s="82"/>
      <c r="AX98" s="82"/>
      <c r="AY98" s="82"/>
      <c r="AZ98" s="82"/>
    </row>
    <row r="99" spans="1:52" hidden="1" x14ac:dyDescent="0.25">
      <c r="A99" s="82"/>
      <c r="B99" s="82"/>
      <c r="C99" s="82"/>
      <c r="D99" s="82"/>
      <c r="E99" s="82"/>
      <c r="F99" s="82"/>
      <c r="G99" s="82"/>
      <c r="H99" s="82"/>
      <c r="I99" s="82"/>
      <c r="J99" s="82"/>
      <c r="K99" s="82"/>
      <c r="L99" s="82"/>
      <c r="M99" s="82"/>
      <c r="N99" s="82"/>
      <c r="O99" s="82"/>
      <c r="P99" s="82"/>
      <c r="Q99" s="82"/>
      <c r="R99" s="82"/>
      <c r="S99" s="82"/>
      <c r="T99" s="82"/>
      <c r="U99" s="82"/>
      <c r="V99" s="82"/>
      <c r="W99" s="82"/>
      <c r="X99" s="82"/>
      <c r="Y99" s="82"/>
      <c r="Z99" s="82"/>
      <c r="AA99" s="82"/>
      <c r="AB99" s="82"/>
      <c r="AC99" s="82"/>
      <c r="AD99" s="82"/>
      <c r="AE99" s="82"/>
      <c r="AF99" s="82"/>
      <c r="AG99" s="82"/>
      <c r="AH99" s="82"/>
      <c r="AI99" s="82"/>
      <c r="AJ99" s="82"/>
      <c r="AK99" s="82"/>
      <c r="AL99" s="82"/>
      <c r="AM99" s="82"/>
      <c r="AN99" s="82"/>
      <c r="AO99" s="82"/>
      <c r="AP99" s="82"/>
      <c r="AQ99" s="82"/>
      <c r="AR99" s="82"/>
      <c r="AS99" s="82"/>
      <c r="AT99" s="82"/>
      <c r="AU99" s="82"/>
      <c r="AV99" s="82"/>
      <c r="AW99" s="82"/>
      <c r="AX99" s="82"/>
      <c r="AY99" s="82"/>
      <c r="AZ99" s="82"/>
    </row>
    <row r="100" spans="1:52" hidden="1" x14ac:dyDescent="0.25">
      <c r="A100" s="82"/>
      <c r="B100" s="82"/>
      <c r="C100" s="82"/>
      <c r="D100" s="82"/>
      <c r="E100" s="82"/>
      <c r="F100" s="82"/>
      <c r="G100" s="82"/>
      <c r="H100" s="82"/>
      <c r="I100" s="82"/>
      <c r="J100" s="82"/>
      <c r="K100" s="82"/>
      <c r="L100" s="82"/>
      <c r="M100" s="82"/>
      <c r="N100" s="82"/>
      <c r="O100" s="82"/>
      <c r="P100" s="82"/>
      <c r="Q100" s="82"/>
      <c r="R100" s="82"/>
      <c r="S100" s="82"/>
      <c r="T100" s="82"/>
      <c r="U100" s="82"/>
      <c r="V100" s="82"/>
      <c r="W100" s="82"/>
      <c r="X100" s="82"/>
      <c r="Y100" s="82"/>
      <c r="Z100" s="82"/>
      <c r="AA100" s="82"/>
      <c r="AB100" s="82"/>
      <c r="AC100" s="82"/>
      <c r="AD100" s="82"/>
      <c r="AE100" s="82"/>
      <c r="AF100" s="82"/>
      <c r="AG100" s="82"/>
      <c r="AH100" s="82"/>
      <c r="AI100" s="82"/>
      <c r="AJ100" s="82"/>
      <c r="AK100" s="82"/>
      <c r="AL100" s="82"/>
      <c r="AM100" s="82"/>
      <c r="AN100" s="82"/>
      <c r="AO100" s="82"/>
      <c r="AP100" s="82"/>
      <c r="AQ100" s="82"/>
      <c r="AR100" s="82"/>
      <c r="AS100" s="82"/>
      <c r="AT100" s="82"/>
      <c r="AU100" s="82"/>
      <c r="AV100" s="82"/>
      <c r="AW100" s="82"/>
      <c r="AX100" s="82"/>
      <c r="AY100" s="82"/>
      <c r="AZ100" s="82"/>
    </row>
    <row r="101" spans="1:52" hidden="1" x14ac:dyDescent="0.25">
      <c r="A101" s="82"/>
      <c r="B101" s="82"/>
      <c r="C101" s="82"/>
      <c r="D101" s="82"/>
      <c r="E101" s="82"/>
      <c r="F101" s="82"/>
      <c r="G101" s="82"/>
      <c r="H101" s="82"/>
      <c r="I101" s="82"/>
      <c r="J101" s="82"/>
      <c r="K101" s="82"/>
      <c r="L101" s="82"/>
      <c r="M101" s="82"/>
      <c r="N101" s="82"/>
      <c r="O101" s="82"/>
      <c r="P101" s="82"/>
      <c r="Q101" s="82"/>
      <c r="R101" s="82"/>
      <c r="S101" s="82"/>
      <c r="T101" s="82"/>
      <c r="U101" s="82"/>
      <c r="V101" s="82"/>
      <c r="W101" s="82"/>
      <c r="X101" s="82"/>
      <c r="Y101" s="82"/>
      <c r="Z101" s="82"/>
      <c r="AA101" s="82"/>
      <c r="AB101" s="82"/>
      <c r="AC101" s="82"/>
      <c r="AD101" s="82"/>
      <c r="AE101" s="82"/>
      <c r="AF101" s="82"/>
      <c r="AG101" s="82"/>
      <c r="AH101" s="82"/>
      <c r="AI101" s="82"/>
      <c r="AJ101" s="82"/>
      <c r="AK101" s="82"/>
      <c r="AL101" s="82"/>
      <c r="AM101" s="82"/>
      <c r="AN101" s="82"/>
      <c r="AO101" s="82"/>
      <c r="AP101" s="82"/>
      <c r="AQ101" s="82"/>
      <c r="AR101" s="82"/>
      <c r="AS101" s="82"/>
      <c r="AT101" s="82"/>
      <c r="AU101" s="82"/>
      <c r="AV101" s="82"/>
      <c r="AW101" s="82"/>
      <c r="AX101" s="82"/>
      <c r="AY101" s="82"/>
      <c r="AZ101" s="82"/>
    </row>
    <row r="102" spans="1:52" hidden="1" x14ac:dyDescent="0.25">
      <c r="A102" s="82"/>
      <c r="B102" s="82"/>
      <c r="C102" s="82"/>
      <c r="D102" s="82"/>
      <c r="E102" s="82"/>
      <c r="F102" s="82"/>
      <c r="G102" s="82"/>
      <c r="H102" s="82"/>
      <c r="I102" s="82"/>
      <c r="J102" s="82"/>
      <c r="K102" s="82"/>
      <c r="L102" s="82"/>
      <c r="M102" s="82"/>
      <c r="N102" s="82"/>
      <c r="O102" s="82"/>
      <c r="P102" s="82"/>
      <c r="Q102" s="82"/>
      <c r="R102" s="82"/>
      <c r="S102" s="82"/>
      <c r="T102" s="82"/>
      <c r="U102" s="82"/>
      <c r="V102" s="82"/>
      <c r="W102" s="82"/>
      <c r="X102" s="82"/>
      <c r="Y102" s="82"/>
      <c r="Z102" s="82"/>
      <c r="AA102" s="82"/>
      <c r="AB102" s="82"/>
      <c r="AC102" s="82"/>
      <c r="AD102" s="82"/>
      <c r="AE102" s="82"/>
      <c r="AF102" s="82"/>
      <c r="AG102" s="82"/>
      <c r="AH102" s="82"/>
      <c r="AI102" s="82"/>
      <c r="AJ102" s="82"/>
      <c r="AK102" s="82"/>
      <c r="AL102" s="82"/>
      <c r="AM102" s="82"/>
      <c r="AN102" s="82"/>
      <c r="AO102" s="82"/>
      <c r="AP102" s="82"/>
      <c r="AQ102" s="82"/>
      <c r="AR102" s="82"/>
      <c r="AS102" s="82"/>
      <c r="AT102" s="82"/>
      <c r="AU102" s="82"/>
      <c r="AV102" s="82"/>
      <c r="AW102" s="82"/>
      <c r="AX102" s="82"/>
      <c r="AY102" s="82"/>
      <c r="AZ102" s="82"/>
    </row>
    <row r="103" spans="1:52" hidden="1" x14ac:dyDescent="0.25">
      <c r="A103" s="82"/>
      <c r="B103" s="82"/>
      <c r="C103" s="82"/>
      <c r="D103" s="82"/>
      <c r="E103" s="82"/>
      <c r="F103" s="82"/>
      <c r="G103" s="82"/>
      <c r="H103" s="82"/>
      <c r="I103" s="82"/>
      <c r="J103" s="82"/>
      <c r="K103" s="82"/>
      <c r="L103" s="82"/>
      <c r="M103" s="82"/>
      <c r="N103" s="82"/>
      <c r="O103" s="82"/>
      <c r="P103" s="82"/>
      <c r="Q103" s="82"/>
      <c r="R103" s="82"/>
      <c r="S103" s="82"/>
      <c r="T103" s="82"/>
      <c r="U103" s="82"/>
      <c r="V103" s="82"/>
      <c r="W103" s="82"/>
      <c r="X103" s="82"/>
      <c r="Y103" s="82"/>
      <c r="Z103" s="82"/>
      <c r="AA103" s="82"/>
      <c r="AB103" s="82"/>
      <c r="AC103" s="82"/>
      <c r="AD103" s="82"/>
      <c r="AE103" s="82"/>
      <c r="AF103" s="82"/>
      <c r="AG103" s="82"/>
      <c r="AH103" s="82"/>
      <c r="AI103" s="82"/>
      <c r="AJ103" s="82"/>
      <c r="AK103" s="82"/>
      <c r="AL103" s="82"/>
      <c r="AM103" s="82"/>
      <c r="AN103" s="82"/>
      <c r="AO103" s="82"/>
      <c r="AP103" s="82"/>
      <c r="AQ103" s="82"/>
      <c r="AR103" s="82"/>
      <c r="AS103" s="82"/>
      <c r="AT103" s="82"/>
      <c r="AU103" s="82"/>
      <c r="AV103" s="82"/>
      <c r="AW103" s="82"/>
      <c r="AX103" s="82"/>
      <c r="AY103" s="82"/>
      <c r="AZ103" s="82"/>
    </row>
    <row r="104" spans="1:52" hidden="1" x14ac:dyDescent="0.25">
      <c r="A104" s="82"/>
      <c r="B104" s="82"/>
      <c r="C104" s="82"/>
      <c r="D104" s="82"/>
      <c r="E104" s="82"/>
      <c r="F104" s="82"/>
      <c r="G104" s="82"/>
      <c r="H104" s="82"/>
      <c r="I104" s="82"/>
      <c r="J104" s="82"/>
      <c r="K104" s="82"/>
      <c r="L104" s="82"/>
      <c r="M104" s="82"/>
      <c r="N104" s="82"/>
      <c r="O104" s="82"/>
      <c r="P104" s="82"/>
      <c r="Q104" s="82"/>
      <c r="R104" s="82"/>
      <c r="S104" s="82"/>
      <c r="T104" s="82"/>
      <c r="U104" s="82"/>
      <c r="V104" s="82"/>
      <c r="W104" s="82"/>
      <c r="X104" s="82"/>
      <c r="Y104" s="82"/>
      <c r="Z104" s="82"/>
      <c r="AA104" s="82"/>
      <c r="AB104" s="82"/>
      <c r="AC104" s="82"/>
      <c r="AD104" s="82"/>
      <c r="AE104" s="82"/>
      <c r="AF104" s="82"/>
      <c r="AG104" s="82"/>
      <c r="AH104" s="82"/>
      <c r="AI104" s="82"/>
      <c r="AJ104" s="82"/>
      <c r="AK104" s="82"/>
      <c r="AL104" s="82"/>
      <c r="AM104" s="82"/>
      <c r="AN104" s="82"/>
      <c r="AO104" s="82"/>
      <c r="AP104" s="82"/>
      <c r="AQ104" s="82"/>
      <c r="AR104" s="82"/>
      <c r="AS104" s="82"/>
      <c r="AT104" s="82"/>
      <c r="AU104" s="82"/>
      <c r="AV104" s="82"/>
      <c r="AW104" s="82"/>
      <c r="AX104" s="82"/>
      <c r="AY104" s="82"/>
      <c r="AZ104" s="82"/>
    </row>
    <row r="105" spans="1:52" hidden="1" x14ac:dyDescent="0.25">
      <c r="A105" s="82"/>
      <c r="B105" s="82"/>
      <c r="C105" s="82"/>
      <c r="D105" s="82"/>
      <c r="E105" s="82"/>
      <c r="F105" s="82"/>
      <c r="G105" s="82"/>
      <c r="H105" s="82"/>
      <c r="I105" s="82"/>
      <c r="J105" s="82"/>
      <c r="K105" s="82"/>
      <c r="L105" s="82"/>
      <c r="M105" s="82"/>
      <c r="N105" s="82"/>
      <c r="O105" s="82"/>
      <c r="P105" s="82"/>
      <c r="Q105" s="82"/>
      <c r="R105" s="82"/>
      <c r="S105" s="82"/>
      <c r="T105" s="82"/>
      <c r="U105" s="82"/>
      <c r="V105" s="82"/>
      <c r="W105" s="82"/>
      <c r="X105" s="82"/>
      <c r="Y105" s="82"/>
      <c r="Z105" s="82"/>
      <c r="AA105" s="82"/>
      <c r="AB105" s="82"/>
      <c r="AC105" s="82"/>
      <c r="AD105" s="82"/>
      <c r="AE105" s="82"/>
      <c r="AF105" s="82"/>
      <c r="AG105" s="82"/>
      <c r="AH105" s="82"/>
      <c r="AI105" s="82"/>
      <c r="AJ105" s="82"/>
      <c r="AK105" s="82"/>
      <c r="AL105" s="82"/>
      <c r="AM105" s="82"/>
      <c r="AN105" s="82"/>
      <c r="AO105" s="82"/>
      <c r="AP105" s="82"/>
      <c r="AQ105" s="82"/>
      <c r="AR105" s="82"/>
      <c r="AS105" s="82"/>
      <c r="AT105" s="82"/>
      <c r="AU105" s="82"/>
      <c r="AV105" s="82"/>
      <c r="AW105" s="82"/>
      <c r="AX105" s="82"/>
      <c r="AY105" s="82"/>
      <c r="AZ105" s="82"/>
    </row>
    <row r="106" spans="1:52" hidden="1" x14ac:dyDescent="0.25">
      <c r="A106" s="82"/>
      <c r="B106" s="82"/>
      <c r="C106" s="82"/>
      <c r="D106" s="82"/>
      <c r="E106" s="82"/>
      <c r="F106" s="82"/>
      <c r="G106" s="82"/>
      <c r="H106" s="82"/>
      <c r="I106" s="82"/>
      <c r="J106" s="82"/>
      <c r="K106" s="82"/>
      <c r="L106" s="82"/>
      <c r="M106" s="82"/>
      <c r="N106" s="82"/>
      <c r="O106" s="82"/>
      <c r="P106" s="82"/>
      <c r="Q106" s="82"/>
      <c r="R106" s="82"/>
      <c r="S106" s="82"/>
      <c r="T106" s="82"/>
      <c r="U106" s="82"/>
      <c r="V106" s="82"/>
      <c r="W106" s="82"/>
      <c r="X106" s="82"/>
      <c r="Y106" s="82"/>
      <c r="Z106" s="82"/>
      <c r="AA106" s="82"/>
      <c r="AB106" s="82"/>
      <c r="AC106" s="82"/>
      <c r="AD106" s="82"/>
      <c r="AE106" s="82"/>
      <c r="AF106" s="82"/>
      <c r="AG106" s="82"/>
      <c r="AH106" s="82"/>
      <c r="AI106" s="82"/>
      <c r="AJ106" s="82"/>
      <c r="AK106" s="82"/>
      <c r="AL106" s="82"/>
      <c r="AM106" s="82"/>
      <c r="AN106" s="82"/>
      <c r="AO106" s="82"/>
      <c r="AP106" s="82"/>
      <c r="AQ106" s="82"/>
      <c r="AR106" s="82"/>
      <c r="AS106" s="82"/>
      <c r="AT106" s="82"/>
      <c r="AU106" s="82"/>
      <c r="AV106" s="82"/>
      <c r="AW106" s="82"/>
      <c r="AX106" s="82"/>
      <c r="AY106" s="82"/>
      <c r="AZ106" s="82"/>
    </row>
    <row r="107" spans="1:52" hidden="1" x14ac:dyDescent="0.25">
      <c r="A107" s="82"/>
      <c r="B107" s="82"/>
      <c r="C107" s="82"/>
      <c r="D107" s="82"/>
      <c r="E107" s="82"/>
      <c r="F107" s="82"/>
      <c r="G107" s="82"/>
      <c r="H107" s="82"/>
      <c r="I107" s="82"/>
      <c r="J107" s="82"/>
      <c r="K107" s="82"/>
      <c r="L107" s="82"/>
      <c r="M107" s="82"/>
      <c r="N107" s="82"/>
      <c r="O107" s="82"/>
      <c r="P107" s="82"/>
      <c r="Q107" s="82"/>
      <c r="R107" s="82"/>
      <c r="S107" s="82"/>
      <c r="T107" s="82"/>
      <c r="U107" s="82"/>
      <c r="V107" s="82"/>
      <c r="W107" s="82"/>
      <c r="X107" s="82"/>
      <c r="Y107" s="82"/>
      <c r="Z107" s="82"/>
      <c r="AA107" s="82"/>
      <c r="AB107" s="82"/>
      <c r="AC107" s="82"/>
      <c r="AD107" s="82"/>
      <c r="AE107" s="82"/>
      <c r="AF107" s="82"/>
      <c r="AG107" s="82"/>
      <c r="AH107" s="82"/>
      <c r="AI107" s="82"/>
      <c r="AJ107" s="82"/>
      <c r="AK107" s="82"/>
      <c r="AL107" s="82"/>
      <c r="AM107" s="82"/>
      <c r="AN107" s="82"/>
      <c r="AO107" s="82"/>
      <c r="AP107" s="82"/>
      <c r="AQ107" s="82"/>
      <c r="AR107" s="82"/>
      <c r="AS107" s="82"/>
      <c r="AT107" s="82"/>
      <c r="AU107" s="82"/>
      <c r="AV107" s="82"/>
      <c r="AW107" s="82"/>
      <c r="AX107" s="82"/>
      <c r="AY107" s="82"/>
      <c r="AZ107" s="82"/>
    </row>
    <row r="108" spans="1:52" hidden="1" x14ac:dyDescent="0.25">
      <c r="A108" s="82"/>
      <c r="B108" s="82"/>
      <c r="C108" s="82"/>
      <c r="D108" s="82"/>
      <c r="E108" s="82"/>
      <c r="F108" s="82"/>
      <c r="G108" s="82"/>
      <c r="H108" s="82"/>
      <c r="I108" s="82"/>
      <c r="J108" s="82"/>
      <c r="K108" s="82"/>
      <c r="L108" s="82"/>
      <c r="M108" s="82"/>
      <c r="N108" s="82"/>
      <c r="O108" s="82"/>
      <c r="P108" s="82"/>
      <c r="Q108" s="82"/>
      <c r="R108" s="82"/>
      <c r="S108" s="82"/>
      <c r="T108" s="82"/>
      <c r="U108" s="82"/>
      <c r="V108" s="82"/>
      <c r="W108" s="82"/>
      <c r="X108" s="82"/>
      <c r="Y108" s="82"/>
      <c r="Z108" s="82"/>
      <c r="AA108" s="82"/>
      <c r="AB108" s="82"/>
      <c r="AC108" s="82"/>
      <c r="AD108" s="82"/>
      <c r="AE108" s="82"/>
      <c r="AF108" s="82"/>
      <c r="AG108" s="82"/>
      <c r="AH108" s="82"/>
      <c r="AI108" s="82"/>
      <c r="AJ108" s="82"/>
      <c r="AK108" s="82"/>
      <c r="AL108" s="82"/>
      <c r="AM108" s="82"/>
      <c r="AN108" s="82"/>
      <c r="AO108" s="82"/>
      <c r="AP108" s="82"/>
      <c r="AQ108" s="82"/>
      <c r="AR108" s="82"/>
      <c r="AS108" s="82"/>
      <c r="AT108" s="82"/>
      <c r="AU108" s="82"/>
      <c r="AV108" s="82"/>
      <c r="AW108" s="82"/>
      <c r="AX108" s="82"/>
      <c r="AY108" s="82"/>
      <c r="AZ108" s="82"/>
    </row>
    <row r="109" spans="1:52" hidden="1" x14ac:dyDescent="0.25">
      <c r="A109" s="82"/>
      <c r="B109" s="82"/>
      <c r="C109" s="82"/>
      <c r="D109" s="82"/>
      <c r="E109" s="82"/>
      <c r="F109" s="82"/>
      <c r="G109" s="82"/>
      <c r="H109" s="82"/>
      <c r="I109" s="82"/>
      <c r="J109" s="82"/>
      <c r="K109" s="82"/>
      <c r="L109" s="82"/>
      <c r="M109" s="82"/>
      <c r="N109" s="82"/>
      <c r="O109" s="82"/>
      <c r="P109" s="82"/>
      <c r="Q109" s="82"/>
      <c r="R109" s="82"/>
      <c r="S109" s="82"/>
      <c r="T109" s="82"/>
      <c r="U109" s="82"/>
      <c r="V109" s="82"/>
      <c r="W109" s="82"/>
      <c r="X109" s="82"/>
      <c r="Y109" s="82"/>
      <c r="Z109" s="82"/>
      <c r="AA109" s="82"/>
      <c r="AB109" s="82"/>
      <c r="AC109" s="82"/>
      <c r="AD109" s="82"/>
      <c r="AE109" s="82"/>
      <c r="AF109" s="82"/>
      <c r="AG109" s="82"/>
      <c r="AH109" s="82"/>
      <c r="AI109" s="82"/>
      <c r="AJ109" s="82"/>
      <c r="AK109" s="82"/>
      <c r="AL109" s="82"/>
      <c r="AM109" s="82"/>
      <c r="AN109" s="82"/>
      <c r="AO109" s="82"/>
      <c r="AP109" s="82"/>
      <c r="AQ109" s="82"/>
      <c r="AR109" s="82"/>
      <c r="AS109" s="82"/>
      <c r="AT109" s="82"/>
      <c r="AU109" s="82"/>
      <c r="AV109" s="82"/>
      <c r="AW109" s="82"/>
      <c r="AX109" s="82"/>
      <c r="AY109" s="82"/>
      <c r="AZ109" s="82"/>
    </row>
    <row r="110" spans="1:52" hidden="1" x14ac:dyDescent="0.25">
      <c r="A110" s="82"/>
      <c r="B110" s="82"/>
      <c r="C110" s="82"/>
      <c r="D110" s="82"/>
      <c r="E110" s="82"/>
      <c r="F110" s="82"/>
      <c r="G110" s="82"/>
      <c r="H110" s="82"/>
      <c r="I110" s="82"/>
      <c r="J110" s="82"/>
      <c r="K110" s="82"/>
      <c r="L110" s="82"/>
      <c r="M110" s="82"/>
      <c r="N110" s="82"/>
      <c r="O110" s="82"/>
      <c r="P110" s="82"/>
      <c r="Q110" s="82"/>
      <c r="R110" s="82"/>
      <c r="S110" s="82"/>
      <c r="T110" s="82"/>
      <c r="U110" s="82"/>
      <c r="V110" s="82"/>
      <c r="W110" s="82"/>
      <c r="X110" s="82"/>
      <c r="Y110" s="82"/>
      <c r="Z110" s="82"/>
      <c r="AA110" s="82"/>
      <c r="AB110" s="82"/>
      <c r="AC110" s="82"/>
      <c r="AD110" s="82"/>
      <c r="AE110" s="82"/>
      <c r="AF110" s="82"/>
      <c r="AG110" s="82"/>
      <c r="AH110" s="82"/>
      <c r="AI110" s="82"/>
      <c r="AJ110" s="82"/>
      <c r="AK110" s="82"/>
      <c r="AL110" s="82"/>
      <c r="AM110" s="82"/>
      <c r="AN110" s="82"/>
      <c r="AO110" s="82"/>
      <c r="AP110" s="82"/>
      <c r="AQ110" s="82"/>
      <c r="AR110" s="82"/>
      <c r="AS110" s="82"/>
      <c r="AT110" s="82"/>
      <c r="AU110" s="82"/>
      <c r="AV110" s="82"/>
      <c r="AW110" s="82"/>
      <c r="AX110" s="82"/>
      <c r="AY110" s="82"/>
      <c r="AZ110" s="82"/>
    </row>
    <row r="111" spans="1:52" hidden="1" x14ac:dyDescent="0.25">
      <c r="A111" s="82"/>
      <c r="B111" s="82"/>
      <c r="C111" s="82"/>
      <c r="D111" s="82"/>
      <c r="E111" s="82"/>
      <c r="F111" s="82"/>
      <c r="G111" s="82"/>
      <c r="H111" s="82"/>
      <c r="I111" s="82"/>
      <c r="J111" s="82"/>
      <c r="K111" s="82"/>
      <c r="L111" s="82"/>
      <c r="M111" s="82"/>
      <c r="N111" s="82"/>
      <c r="O111" s="82"/>
      <c r="P111" s="82"/>
      <c r="Q111" s="82"/>
      <c r="R111" s="82"/>
      <c r="S111" s="82"/>
      <c r="T111" s="82"/>
      <c r="U111" s="82"/>
      <c r="V111" s="82"/>
      <c r="W111" s="82"/>
      <c r="X111" s="82"/>
      <c r="Y111" s="82"/>
      <c r="Z111" s="82"/>
      <c r="AA111" s="82"/>
      <c r="AB111" s="82"/>
      <c r="AC111" s="82"/>
      <c r="AD111" s="82"/>
      <c r="AE111" s="82"/>
      <c r="AF111" s="82"/>
      <c r="AG111" s="82"/>
      <c r="AH111" s="82"/>
      <c r="AI111" s="82"/>
      <c r="AJ111" s="82"/>
      <c r="AK111" s="82"/>
      <c r="AL111" s="82"/>
      <c r="AM111" s="82"/>
      <c r="AN111" s="82"/>
      <c r="AO111" s="82"/>
      <c r="AP111" s="82"/>
      <c r="AQ111" s="82"/>
      <c r="AR111" s="82"/>
      <c r="AS111" s="82"/>
      <c r="AT111" s="82"/>
      <c r="AU111" s="82"/>
      <c r="AV111" s="82"/>
      <c r="AW111" s="82"/>
      <c r="AX111" s="82"/>
      <c r="AY111" s="82"/>
      <c r="AZ111" s="82"/>
    </row>
    <row r="112" spans="1:52" hidden="1" x14ac:dyDescent="0.25">
      <c r="A112" s="82"/>
      <c r="B112" s="82"/>
      <c r="C112" s="82"/>
      <c r="D112" s="82"/>
      <c r="E112" s="82"/>
      <c r="F112" s="82"/>
      <c r="G112" s="82"/>
      <c r="H112" s="82"/>
      <c r="I112" s="82"/>
      <c r="J112" s="82"/>
      <c r="K112" s="82"/>
      <c r="L112" s="82"/>
      <c r="M112" s="82"/>
      <c r="N112" s="82"/>
      <c r="O112" s="82"/>
      <c r="P112" s="82"/>
      <c r="Q112" s="82"/>
      <c r="R112" s="82"/>
      <c r="S112" s="82"/>
      <c r="T112" s="82"/>
      <c r="U112" s="82"/>
      <c r="V112" s="82"/>
      <c r="W112" s="82"/>
      <c r="X112" s="82"/>
      <c r="Y112" s="82"/>
      <c r="Z112" s="82"/>
      <c r="AA112" s="82"/>
      <c r="AB112" s="82"/>
      <c r="AC112" s="82"/>
      <c r="AD112" s="82"/>
      <c r="AE112" s="82"/>
      <c r="AF112" s="82"/>
      <c r="AG112" s="82"/>
      <c r="AH112" s="82"/>
      <c r="AI112" s="82"/>
      <c r="AJ112" s="82"/>
      <c r="AK112" s="82"/>
      <c r="AL112" s="82"/>
      <c r="AM112" s="82"/>
      <c r="AN112" s="82"/>
      <c r="AO112" s="82"/>
      <c r="AP112" s="82"/>
      <c r="AQ112" s="82"/>
      <c r="AR112" s="82"/>
      <c r="AS112" s="82"/>
      <c r="AT112" s="82"/>
      <c r="AU112" s="82"/>
      <c r="AV112" s="82"/>
      <c r="AW112" s="82"/>
      <c r="AX112" s="82"/>
      <c r="AY112" s="82"/>
      <c r="AZ112" s="82"/>
    </row>
    <row r="113" spans="1:52" hidden="1" x14ac:dyDescent="0.25">
      <c r="A113" s="82"/>
      <c r="B113" s="82"/>
      <c r="C113" s="82"/>
      <c r="D113" s="82"/>
      <c r="E113" s="82"/>
      <c r="F113" s="82"/>
      <c r="G113" s="82"/>
      <c r="H113" s="82"/>
      <c r="I113" s="82"/>
      <c r="J113" s="82"/>
      <c r="K113" s="82"/>
      <c r="L113" s="82"/>
      <c r="M113" s="82"/>
      <c r="N113" s="82"/>
      <c r="O113" s="82"/>
      <c r="P113" s="82"/>
      <c r="Q113" s="82"/>
      <c r="R113" s="82"/>
      <c r="S113" s="82"/>
      <c r="T113" s="82"/>
      <c r="U113" s="82"/>
      <c r="V113" s="82"/>
      <c r="W113" s="82"/>
      <c r="X113" s="82"/>
      <c r="Y113" s="82"/>
      <c r="Z113" s="82"/>
      <c r="AA113" s="82"/>
      <c r="AB113" s="82"/>
      <c r="AC113" s="82"/>
      <c r="AD113" s="82"/>
      <c r="AE113" s="82"/>
      <c r="AF113" s="82"/>
      <c r="AG113" s="82"/>
      <c r="AH113" s="82"/>
      <c r="AI113" s="82"/>
      <c r="AJ113" s="82"/>
      <c r="AK113" s="82"/>
      <c r="AL113" s="82"/>
      <c r="AM113" s="82"/>
      <c r="AN113" s="82"/>
      <c r="AO113" s="82"/>
      <c r="AP113" s="82"/>
      <c r="AQ113" s="82"/>
      <c r="AR113" s="82"/>
      <c r="AS113" s="82"/>
      <c r="AT113" s="82"/>
      <c r="AU113" s="82"/>
      <c r="AV113" s="82"/>
      <c r="AW113" s="82"/>
      <c r="AX113" s="82"/>
      <c r="AY113" s="82"/>
      <c r="AZ113" s="82"/>
    </row>
    <row r="114" spans="1:52" hidden="1" x14ac:dyDescent="0.25">
      <c r="A114" s="82"/>
      <c r="B114" s="82"/>
      <c r="C114" s="82"/>
      <c r="D114" s="82"/>
      <c r="E114" s="82"/>
      <c r="F114" s="82"/>
      <c r="G114" s="82"/>
      <c r="H114" s="82"/>
      <c r="I114" s="82"/>
      <c r="J114" s="82"/>
      <c r="K114" s="82"/>
      <c r="L114" s="82"/>
      <c r="M114" s="82"/>
      <c r="N114" s="82"/>
      <c r="O114" s="82"/>
      <c r="P114" s="82"/>
      <c r="Q114" s="82"/>
      <c r="R114" s="82"/>
      <c r="S114" s="82"/>
      <c r="T114" s="82"/>
      <c r="U114" s="82"/>
      <c r="V114" s="82"/>
      <c r="W114" s="82"/>
      <c r="X114" s="82"/>
      <c r="Y114" s="82"/>
      <c r="Z114" s="82"/>
      <c r="AA114" s="82"/>
      <c r="AB114" s="82"/>
      <c r="AC114" s="82"/>
      <c r="AD114" s="82"/>
      <c r="AE114" s="82"/>
      <c r="AF114" s="82"/>
      <c r="AG114" s="82"/>
      <c r="AH114" s="82"/>
      <c r="AI114" s="82"/>
      <c r="AJ114" s="82"/>
      <c r="AK114" s="82"/>
      <c r="AL114" s="82"/>
      <c r="AM114" s="82"/>
      <c r="AN114" s="82"/>
      <c r="AO114" s="82"/>
      <c r="AP114" s="82"/>
      <c r="AQ114" s="82"/>
      <c r="AR114" s="82"/>
      <c r="AS114" s="82"/>
      <c r="AT114" s="82"/>
      <c r="AU114" s="82"/>
      <c r="AV114" s="82"/>
      <c r="AW114" s="82"/>
      <c r="AX114" s="82"/>
      <c r="AY114" s="82"/>
      <c r="AZ114" s="82"/>
    </row>
    <row r="115" spans="1:52" hidden="1" x14ac:dyDescent="0.25">
      <c r="A115" s="82"/>
      <c r="B115" s="82"/>
      <c r="C115" s="82"/>
      <c r="D115" s="82"/>
      <c r="E115" s="82"/>
      <c r="F115" s="82"/>
      <c r="G115" s="82"/>
      <c r="H115" s="82"/>
      <c r="I115" s="82"/>
      <c r="J115" s="82"/>
      <c r="K115" s="82"/>
      <c r="L115" s="82"/>
      <c r="M115" s="82"/>
      <c r="N115" s="82"/>
      <c r="O115" s="82"/>
      <c r="P115" s="82"/>
      <c r="Q115" s="82"/>
      <c r="R115" s="82"/>
      <c r="S115" s="82"/>
      <c r="T115" s="82"/>
      <c r="U115" s="82"/>
      <c r="V115" s="82"/>
      <c r="W115" s="82"/>
      <c r="X115" s="82"/>
      <c r="Y115" s="82"/>
      <c r="Z115" s="82"/>
      <c r="AA115" s="82"/>
      <c r="AB115" s="82"/>
      <c r="AC115" s="82"/>
      <c r="AD115" s="82"/>
      <c r="AE115" s="82"/>
      <c r="AF115" s="82"/>
      <c r="AG115" s="82"/>
      <c r="AH115" s="82"/>
      <c r="AI115" s="82"/>
      <c r="AJ115" s="82"/>
      <c r="AK115" s="82"/>
      <c r="AL115" s="82"/>
      <c r="AM115" s="82"/>
      <c r="AN115" s="82"/>
      <c r="AO115" s="82"/>
      <c r="AP115" s="82"/>
      <c r="AQ115" s="82"/>
      <c r="AR115" s="82"/>
      <c r="AS115" s="82"/>
      <c r="AT115" s="82"/>
      <c r="AU115" s="82"/>
      <c r="AV115" s="82"/>
      <c r="AW115" s="82"/>
      <c r="AX115" s="82"/>
      <c r="AY115" s="82"/>
      <c r="AZ115" s="82"/>
    </row>
    <row r="116" spans="1:52" hidden="1" x14ac:dyDescent="0.25">
      <c r="A116" s="82"/>
      <c r="B116" s="82"/>
      <c r="C116" s="82"/>
      <c r="D116" s="82"/>
      <c r="E116" s="82"/>
      <c r="F116" s="82"/>
      <c r="G116" s="82"/>
      <c r="H116" s="82"/>
      <c r="I116" s="82"/>
      <c r="J116" s="82"/>
      <c r="K116" s="82"/>
      <c r="L116" s="82"/>
      <c r="M116" s="82"/>
      <c r="N116" s="82"/>
      <c r="O116" s="82"/>
      <c r="P116" s="82"/>
      <c r="Q116" s="82"/>
      <c r="R116" s="82"/>
      <c r="S116" s="82"/>
      <c r="T116" s="82"/>
      <c r="U116" s="82"/>
      <c r="V116" s="82"/>
      <c r="W116" s="82"/>
      <c r="X116" s="82"/>
      <c r="Y116" s="82"/>
      <c r="Z116" s="82"/>
      <c r="AA116" s="82"/>
      <c r="AB116" s="82"/>
      <c r="AC116" s="82"/>
      <c r="AD116" s="82"/>
      <c r="AE116" s="82"/>
      <c r="AF116" s="82"/>
      <c r="AG116" s="82"/>
      <c r="AH116" s="82"/>
      <c r="AI116" s="82"/>
      <c r="AJ116" s="82"/>
      <c r="AK116" s="82"/>
      <c r="AL116" s="82"/>
      <c r="AM116" s="82"/>
      <c r="AN116" s="82"/>
      <c r="AO116" s="82"/>
      <c r="AP116" s="82"/>
      <c r="AQ116" s="82"/>
      <c r="AR116" s="82"/>
      <c r="AS116" s="82"/>
      <c r="AT116" s="82"/>
      <c r="AU116" s="82"/>
      <c r="AV116" s="82"/>
      <c r="AW116" s="82"/>
      <c r="AX116" s="82"/>
      <c r="AY116" s="82"/>
      <c r="AZ116" s="82"/>
    </row>
    <row r="117" spans="1:52" hidden="1" x14ac:dyDescent="0.25">
      <c r="A117" s="82"/>
      <c r="B117" s="82"/>
      <c r="C117" s="82"/>
      <c r="D117" s="82"/>
      <c r="E117" s="82"/>
      <c r="F117" s="82"/>
      <c r="G117" s="82"/>
      <c r="H117" s="82"/>
      <c r="I117" s="82"/>
      <c r="J117" s="82"/>
      <c r="K117" s="82"/>
      <c r="L117" s="82"/>
      <c r="M117" s="82"/>
      <c r="N117" s="82"/>
      <c r="O117" s="82"/>
      <c r="P117" s="82"/>
      <c r="Q117" s="82"/>
      <c r="R117" s="82"/>
      <c r="S117" s="82"/>
      <c r="T117" s="82"/>
      <c r="U117" s="82"/>
      <c r="V117" s="82"/>
      <c r="W117" s="82"/>
      <c r="X117" s="82"/>
      <c r="Y117" s="82"/>
      <c r="Z117" s="82"/>
      <c r="AA117" s="82"/>
      <c r="AB117" s="82"/>
      <c r="AC117" s="82"/>
      <c r="AD117" s="82"/>
      <c r="AE117" s="82"/>
      <c r="AF117" s="82"/>
      <c r="AG117" s="82"/>
      <c r="AH117" s="82"/>
      <c r="AI117" s="82"/>
      <c r="AJ117" s="82"/>
      <c r="AK117" s="82"/>
      <c r="AL117" s="82"/>
      <c r="AM117" s="82"/>
      <c r="AN117" s="82"/>
      <c r="AO117" s="82"/>
      <c r="AP117" s="82"/>
      <c r="AQ117" s="82"/>
      <c r="AR117" s="82"/>
      <c r="AS117" s="82"/>
      <c r="AT117" s="82"/>
      <c r="AU117" s="82"/>
      <c r="AV117" s="82"/>
      <c r="AW117" s="82"/>
      <c r="AX117" s="82"/>
      <c r="AY117" s="82"/>
      <c r="AZ117" s="82"/>
    </row>
    <row r="118" spans="1:52" hidden="1" x14ac:dyDescent="0.25">
      <c r="A118" s="82"/>
      <c r="B118" s="82"/>
      <c r="C118" s="82"/>
      <c r="D118" s="82"/>
      <c r="E118" s="82"/>
      <c r="F118" s="82"/>
      <c r="G118" s="82"/>
      <c r="H118" s="82"/>
      <c r="I118" s="82"/>
      <c r="J118" s="82"/>
      <c r="K118" s="82"/>
      <c r="L118" s="82"/>
      <c r="M118" s="82"/>
      <c r="N118" s="82"/>
      <c r="O118" s="82"/>
      <c r="P118" s="82"/>
      <c r="Q118" s="82"/>
      <c r="R118" s="82"/>
      <c r="S118" s="82"/>
      <c r="T118" s="82"/>
      <c r="U118" s="82"/>
      <c r="V118" s="82"/>
      <c r="W118" s="82"/>
      <c r="X118" s="82"/>
      <c r="Y118" s="82"/>
      <c r="Z118" s="82"/>
      <c r="AA118" s="82"/>
      <c r="AB118" s="82"/>
      <c r="AC118" s="82"/>
      <c r="AD118" s="82"/>
      <c r="AE118" s="82"/>
      <c r="AF118" s="82"/>
      <c r="AG118" s="82"/>
      <c r="AH118" s="82"/>
      <c r="AI118" s="82"/>
      <c r="AJ118" s="82"/>
      <c r="AK118" s="82"/>
      <c r="AL118" s="82"/>
      <c r="AM118" s="82"/>
      <c r="AN118" s="82"/>
      <c r="AO118" s="82"/>
      <c r="AP118" s="82"/>
      <c r="AQ118" s="82"/>
      <c r="AR118" s="82"/>
      <c r="AS118" s="82"/>
      <c r="AT118" s="82"/>
      <c r="AU118" s="82"/>
      <c r="AV118" s="82"/>
      <c r="AW118" s="82"/>
      <c r="AX118" s="82"/>
      <c r="AY118" s="82"/>
      <c r="AZ118" s="82"/>
    </row>
    <row r="119" spans="1:52" hidden="1" x14ac:dyDescent="0.25">
      <c r="A119" s="82"/>
      <c r="B119" s="82"/>
      <c r="C119" s="82"/>
      <c r="D119" s="82"/>
      <c r="E119" s="82"/>
      <c r="F119" s="82"/>
      <c r="G119" s="82"/>
      <c r="H119" s="82"/>
      <c r="I119" s="82"/>
      <c r="J119" s="82"/>
      <c r="K119" s="82"/>
      <c r="L119" s="82"/>
      <c r="M119" s="82"/>
      <c r="N119" s="82"/>
      <c r="O119" s="82"/>
      <c r="P119" s="82"/>
      <c r="Q119" s="82"/>
      <c r="R119" s="82"/>
      <c r="S119" s="82"/>
      <c r="T119" s="82"/>
      <c r="U119" s="82"/>
      <c r="V119" s="82"/>
      <c r="W119" s="82"/>
      <c r="X119" s="82"/>
      <c r="Y119" s="82"/>
      <c r="Z119" s="82"/>
      <c r="AA119" s="82"/>
      <c r="AB119" s="82"/>
      <c r="AC119" s="82"/>
      <c r="AD119" s="82"/>
      <c r="AE119" s="82"/>
      <c r="AF119" s="82"/>
      <c r="AG119" s="82"/>
      <c r="AH119" s="82"/>
      <c r="AI119" s="82"/>
      <c r="AJ119" s="82"/>
      <c r="AK119" s="82"/>
      <c r="AL119" s="82"/>
      <c r="AM119" s="82"/>
      <c r="AN119" s="82"/>
      <c r="AO119" s="82"/>
      <c r="AP119" s="82"/>
      <c r="AQ119" s="82"/>
      <c r="AR119" s="82"/>
      <c r="AS119" s="82"/>
      <c r="AT119" s="82"/>
      <c r="AU119" s="82"/>
      <c r="AV119" s="82"/>
      <c r="AW119" s="82"/>
      <c r="AX119" s="82"/>
      <c r="AY119" s="82"/>
      <c r="AZ119" s="82"/>
    </row>
    <row r="120" spans="1:52" hidden="1" x14ac:dyDescent="0.25">
      <c r="A120" s="82"/>
      <c r="B120" s="82"/>
      <c r="C120" s="82"/>
      <c r="D120" s="82"/>
      <c r="E120" s="82"/>
      <c r="F120" s="82"/>
      <c r="G120" s="82"/>
      <c r="H120" s="82"/>
      <c r="I120" s="82"/>
      <c r="J120" s="82"/>
      <c r="K120" s="82"/>
      <c r="L120" s="82"/>
      <c r="M120" s="82"/>
      <c r="N120" s="82"/>
      <c r="O120" s="82"/>
      <c r="P120" s="82"/>
      <c r="Q120" s="82"/>
      <c r="R120" s="82"/>
      <c r="S120" s="82"/>
      <c r="T120" s="82"/>
      <c r="U120" s="82"/>
      <c r="V120" s="82"/>
      <c r="W120" s="82"/>
      <c r="X120" s="82"/>
      <c r="Y120" s="82"/>
      <c r="Z120" s="82"/>
      <c r="AA120" s="82"/>
      <c r="AB120" s="82"/>
      <c r="AC120" s="82"/>
      <c r="AD120" s="82"/>
      <c r="AE120" s="82"/>
      <c r="AF120" s="82"/>
      <c r="AG120" s="82"/>
      <c r="AH120" s="82"/>
      <c r="AI120" s="82"/>
      <c r="AJ120" s="82"/>
      <c r="AK120" s="82"/>
      <c r="AL120" s="82"/>
      <c r="AM120" s="82"/>
      <c r="AN120" s="82"/>
      <c r="AO120" s="82"/>
      <c r="AP120" s="82"/>
      <c r="AQ120" s="82"/>
      <c r="AR120" s="82"/>
      <c r="AS120" s="82"/>
      <c r="AT120" s="82"/>
      <c r="AU120" s="82"/>
      <c r="AV120" s="82"/>
      <c r="AW120" s="82"/>
      <c r="AX120" s="82"/>
      <c r="AY120" s="82"/>
      <c r="AZ120" s="82"/>
    </row>
    <row r="121" spans="1:52" hidden="1" x14ac:dyDescent="0.25">
      <c r="A121" s="82"/>
      <c r="B121" s="82"/>
      <c r="C121" s="82"/>
      <c r="D121" s="82"/>
      <c r="E121" s="82"/>
      <c r="F121" s="82"/>
      <c r="G121" s="82"/>
      <c r="H121" s="82"/>
      <c r="I121" s="82"/>
      <c r="J121" s="82"/>
      <c r="K121" s="82"/>
      <c r="L121" s="82"/>
      <c r="M121" s="82"/>
      <c r="N121" s="82"/>
      <c r="O121" s="82"/>
      <c r="P121" s="82"/>
      <c r="Q121" s="82"/>
      <c r="R121" s="82"/>
      <c r="S121" s="82"/>
      <c r="T121" s="82"/>
      <c r="U121" s="82"/>
      <c r="V121" s="82"/>
      <c r="W121" s="82"/>
      <c r="X121" s="82"/>
      <c r="Y121" s="82"/>
      <c r="Z121" s="82"/>
      <c r="AA121" s="82"/>
      <c r="AB121" s="82"/>
      <c r="AC121" s="82"/>
      <c r="AD121" s="82"/>
      <c r="AE121" s="82"/>
      <c r="AF121" s="82"/>
      <c r="AG121" s="82"/>
      <c r="AH121" s="82"/>
      <c r="AI121" s="82"/>
      <c r="AJ121" s="82"/>
      <c r="AK121" s="82"/>
      <c r="AL121" s="82"/>
      <c r="AM121" s="82"/>
      <c r="AN121" s="82"/>
      <c r="AO121" s="82"/>
      <c r="AP121" s="82"/>
      <c r="AQ121" s="82"/>
      <c r="AR121" s="82"/>
      <c r="AS121" s="82"/>
      <c r="AT121" s="82"/>
      <c r="AU121" s="82"/>
      <c r="AV121" s="82"/>
      <c r="AW121" s="82"/>
      <c r="AX121" s="82"/>
      <c r="AY121" s="82"/>
      <c r="AZ121" s="82"/>
    </row>
    <row r="122" spans="1:52" hidden="1" x14ac:dyDescent="0.25">
      <c r="A122" s="82"/>
      <c r="B122" s="82"/>
      <c r="C122" s="82"/>
      <c r="D122" s="82"/>
      <c r="E122" s="82"/>
      <c r="F122" s="82"/>
      <c r="G122" s="82"/>
      <c r="H122" s="82"/>
      <c r="I122" s="82"/>
      <c r="J122" s="82"/>
      <c r="K122" s="82"/>
      <c r="L122" s="82"/>
      <c r="M122" s="82"/>
      <c r="N122" s="82"/>
      <c r="O122" s="82"/>
      <c r="P122" s="82"/>
      <c r="Q122" s="82"/>
      <c r="R122" s="82"/>
      <c r="S122" s="82"/>
      <c r="T122" s="82"/>
      <c r="U122" s="82"/>
      <c r="V122" s="82"/>
      <c r="W122" s="82"/>
      <c r="X122" s="82"/>
      <c r="Y122" s="82"/>
      <c r="Z122" s="82"/>
      <c r="AA122" s="82"/>
      <c r="AB122" s="82"/>
      <c r="AC122" s="82"/>
      <c r="AD122" s="82"/>
      <c r="AE122" s="82"/>
      <c r="AF122" s="82"/>
      <c r="AG122" s="82"/>
      <c r="AH122" s="82"/>
      <c r="AI122" s="82"/>
      <c r="AJ122" s="82"/>
      <c r="AK122" s="82"/>
      <c r="AL122" s="82"/>
      <c r="AM122" s="82"/>
      <c r="AN122" s="82"/>
      <c r="AO122" s="82"/>
      <c r="AP122" s="82"/>
      <c r="AQ122" s="82"/>
      <c r="AR122" s="82"/>
      <c r="AS122" s="82"/>
      <c r="AT122" s="82"/>
      <c r="AU122" s="82"/>
      <c r="AV122" s="82"/>
      <c r="AW122" s="82"/>
      <c r="AX122" s="82"/>
      <c r="AY122" s="82"/>
      <c r="AZ122" s="82"/>
    </row>
    <row r="123" spans="1:52" hidden="1" x14ac:dyDescent="0.25">
      <c r="A123" s="82"/>
      <c r="B123" s="82"/>
      <c r="C123" s="82"/>
      <c r="D123" s="82"/>
      <c r="E123" s="82"/>
      <c r="F123" s="82"/>
      <c r="G123" s="82"/>
      <c r="H123" s="82"/>
      <c r="I123" s="82"/>
      <c r="J123" s="82"/>
      <c r="K123" s="82"/>
      <c r="L123" s="82"/>
      <c r="M123" s="82"/>
      <c r="N123" s="82"/>
      <c r="O123" s="82"/>
      <c r="P123" s="82"/>
      <c r="Q123" s="82"/>
      <c r="R123" s="82"/>
      <c r="S123" s="82"/>
      <c r="T123" s="82"/>
      <c r="U123" s="82"/>
      <c r="V123" s="82"/>
      <c r="W123" s="82"/>
      <c r="X123" s="82"/>
      <c r="Y123" s="82"/>
      <c r="Z123" s="82"/>
      <c r="AA123" s="82"/>
      <c r="AB123" s="82"/>
      <c r="AC123" s="82"/>
      <c r="AD123" s="82"/>
      <c r="AE123" s="82"/>
      <c r="AF123" s="82"/>
      <c r="AG123" s="82"/>
      <c r="AH123" s="82"/>
      <c r="AI123" s="82"/>
      <c r="AJ123" s="82"/>
      <c r="AK123" s="82"/>
      <c r="AL123" s="82"/>
      <c r="AM123" s="82"/>
      <c r="AN123" s="82"/>
      <c r="AO123" s="82"/>
      <c r="AP123" s="82"/>
      <c r="AQ123" s="82"/>
      <c r="AR123" s="82"/>
      <c r="AS123" s="82"/>
      <c r="AT123" s="82"/>
      <c r="AU123" s="82"/>
      <c r="AV123" s="82"/>
      <c r="AW123" s="82"/>
      <c r="AX123" s="82"/>
      <c r="AY123" s="82"/>
      <c r="AZ123" s="82"/>
    </row>
    <row r="124" spans="1:52" hidden="1" x14ac:dyDescent="0.25">
      <c r="A124" s="82"/>
      <c r="B124" s="82"/>
      <c r="C124" s="82"/>
      <c r="D124" s="82"/>
      <c r="E124" s="82"/>
      <c r="F124" s="82"/>
      <c r="G124" s="82"/>
      <c r="H124" s="82"/>
      <c r="I124" s="82"/>
      <c r="J124" s="82"/>
      <c r="K124" s="82"/>
      <c r="L124" s="82"/>
      <c r="M124" s="82"/>
      <c r="N124" s="82"/>
      <c r="O124" s="82"/>
      <c r="P124" s="82"/>
      <c r="Q124" s="82"/>
      <c r="R124" s="82"/>
      <c r="S124" s="82"/>
      <c r="T124" s="82"/>
      <c r="U124" s="82"/>
      <c r="V124" s="82"/>
      <c r="W124" s="82"/>
      <c r="X124" s="82"/>
      <c r="Y124" s="82"/>
      <c r="Z124" s="82"/>
      <c r="AA124" s="82"/>
      <c r="AB124" s="82"/>
      <c r="AC124" s="82"/>
      <c r="AD124" s="82"/>
      <c r="AE124" s="82"/>
      <c r="AF124" s="82"/>
      <c r="AG124" s="82"/>
      <c r="AH124" s="82"/>
      <c r="AI124" s="82"/>
      <c r="AJ124" s="82"/>
      <c r="AK124" s="82"/>
      <c r="AL124" s="82"/>
      <c r="AM124" s="82"/>
      <c r="AN124" s="82"/>
      <c r="AO124" s="82"/>
      <c r="AP124" s="82"/>
      <c r="AQ124" s="82"/>
      <c r="AR124" s="82"/>
      <c r="AS124" s="82"/>
      <c r="AT124" s="82"/>
      <c r="AU124" s="82"/>
      <c r="AV124" s="82"/>
      <c r="AW124" s="82"/>
      <c r="AX124" s="82"/>
      <c r="AY124" s="82"/>
      <c r="AZ124" s="82"/>
    </row>
    <row r="125" spans="1:52" hidden="1" x14ac:dyDescent="0.25">
      <c r="A125" s="82"/>
      <c r="B125" s="82"/>
      <c r="C125" s="82"/>
      <c r="D125" s="82"/>
      <c r="E125" s="82"/>
      <c r="F125" s="82"/>
      <c r="G125" s="82"/>
      <c r="H125" s="82"/>
      <c r="I125" s="82"/>
      <c r="J125" s="82"/>
      <c r="K125" s="82"/>
      <c r="L125" s="82"/>
      <c r="M125" s="82"/>
      <c r="N125" s="82"/>
      <c r="O125" s="82"/>
      <c r="P125" s="82"/>
      <c r="Q125" s="82"/>
      <c r="R125" s="82"/>
      <c r="S125" s="82"/>
      <c r="T125" s="82"/>
      <c r="U125" s="82"/>
      <c r="V125" s="82"/>
      <c r="W125" s="82"/>
      <c r="X125" s="82"/>
      <c r="Y125" s="82"/>
      <c r="Z125" s="82"/>
      <c r="AA125" s="82"/>
      <c r="AB125" s="82"/>
      <c r="AC125" s="82"/>
      <c r="AD125" s="82"/>
      <c r="AE125" s="82"/>
      <c r="AF125" s="82"/>
      <c r="AG125" s="82"/>
      <c r="AH125" s="82"/>
      <c r="AI125" s="82"/>
      <c r="AJ125" s="82"/>
      <c r="AK125" s="82"/>
      <c r="AL125" s="82"/>
      <c r="AM125" s="82"/>
      <c r="AN125" s="82"/>
      <c r="AO125" s="82"/>
      <c r="AP125" s="82"/>
      <c r="AQ125" s="82"/>
      <c r="AR125" s="82"/>
      <c r="AS125" s="82"/>
      <c r="AT125" s="82"/>
      <c r="AU125" s="82"/>
      <c r="AV125" s="82"/>
      <c r="AW125" s="82"/>
      <c r="AX125" s="82"/>
      <c r="AY125" s="82"/>
      <c r="AZ125" s="82"/>
    </row>
    <row r="126" spans="1:52" hidden="1" x14ac:dyDescent="0.25">
      <c r="A126" s="82"/>
      <c r="B126" s="82"/>
      <c r="C126" s="82"/>
      <c r="D126" s="82"/>
      <c r="E126" s="82"/>
      <c r="F126" s="82"/>
      <c r="G126" s="82"/>
      <c r="H126" s="82"/>
      <c r="I126" s="82"/>
      <c r="J126" s="82"/>
      <c r="K126" s="82"/>
      <c r="L126" s="82"/>
      <c r="M126" s="82"/>
      <c r="N126" s="82"/>
      <c r="O126" s="82"/>
      <c r="P126" s="82"/>
      <c r="Q126" s="82"/>
      <c r="R126" s="82"/>
      <c r="S126" s="82"/>
      <c r="T126" s="82"/>
      <c r="U126" s="82"/>
      <c r="V126" s="82"/>
      <c r="W126" s="82"/>
      <c r="X126" s="82"/>
      <c r="Y126" s="82"/>
      <c r="Z126" s="82"/>
      <c r="AA126" s="82"/>
      <c r="AB126" s="82"/>
      <c r="AC126" s="82"/>
      <c r="AD126" s="82"/>
      <c r="AE126" s="82"/>
      <c r="AF126" s="82"/>
      <c r="AG126" s="82"/>
      <c r="AH126" s="82"/>
      <c r="AI126" s="82"/>
      <c r="AJ126" s="82"/>
      <c r="AK126" s="82"/>
      <c r="AL126" s="82"/>
      <c r="AM126" s="82"/>
      <c r="AN126" s="82"/>
      <c r="AO126" s="82"/>
      <c r="AP126" s="82"/>
      <c r="AQ126" s="82"/>
      <c r="AR126" s="82"/>
      <c r="AS126" s="82"/>
      <c r="AT126" s="82"/>
      <c r="AU126" s="82"/>
      <c r="AV126" s="82"/>
      <c r="AW126" s="82"/>
      <c r="AX126" s="82"/>
      <c r="AY126" s="82"/>
      <c r="AZ126" s="82"/>
    </row>
    <row r="127" spans="1:52" hidden="1" x14ac:dyDescent="0.25">
      <c r="A127" s="82"/>
      <c r="B127" s="82"/>
      <c r="C127" s="82"/>
      <c r="D127" s="82"/>
      <c r="E127" s="82"/>
      <c r="F127" s="82"/>
      <c r="G127" s="82"/>
      <c r="H127" s="82"/>
      <c r="I127" s="82"/>
      <c r="J127" s="82"/>
      <c r="K127" s="82"/>
      <c r="L127" s="82"/>
      <c r="M127" s="82"/>
      <c r="N127" s="82"/>
      <c r="O127" s="82"/>
      <c r="P127" s="82"/>
      <c r="Q127" s="82"/>
      <c r="R127" s="82"/>
      <c r="S127" s="82"/>
      <c r="T127" s="82"/>
      <c r="U127" s="82"/>
      <c r="V127" s="82"/>
      <c r="W127" s="82"/>
      <c r="X127" s="82"/>
      <c r="Y127" s="82"/>
      <c r="Z127" s="82"/>
      <c r="AA127" s="82"/>
      <c r="AB127" s="82"/>
      <c r="AC127" s="82"/>
      <c r="AD127" s="82"/>
      <c r="AE127" s="82"/>
      <c r="AF127" s="82"/>
      <c r="AG127" s="82"/>
      <c r="AH127" s="82"/>
      <c r="AI127" s="82"/>
      <c r="AJ127" s="82"/>
      <c r="AK127" s="82"/>
      <c r="AL127" s="82"/>
      <c r="AM127" s="82"/>
      <c r="AN127" s="82"/>
      <c r="AO127" s="82"/>
      <c r="AP127" s="82"/>
      <c r="AQ127" s="82"/>
      <c r="AR127" s="82"/>
      <c r="AS127" s="82"/>
      <c r="AT127" s="82"/>
      <c r="AU127" s="82"/>
      <c r="AV127" s="82"/>
      <c r="AW127" s="82"/>
      <c r="AX127" s="82"/>
      <c r="AY127" s="82"/>
      <c r="AZ127" s="82"/>
    </row>
    <row r="128" spans="1:52" hidden="1" x14ac:dyDescent="0.25">
      <c r="A128" s="82"/>
      <c r="B128" s="82"/>
      <c r="C128" s="82"/>
      <c r="D128" s="82"/>
      <c r="E128" s="82"/>
      <c r="F128" s="82"/>
      <c r="G128" s="82"/>
      <c r="H128" s="82"/>
      <c r="I128" s="82"/>
      <c r="J128" s="82"/>
      <c r="K128" s="82"/>
      <c r="L128" s="82"/>
      <c r="M128" s="82"/>
      <c r="N128" s="82"/>
      <c r="O128" s="82"/>
      <c r="P128" s="82"/>
      <c r="Q128" s="82"/>
      <c r="R128" s="82"/>
      <c r="S128" s="82"/>
      <c r="T128" s="82"/>
      <c r="U128" s="82"/>
      <c r="V128" s="82"/>
      <c r="W128" s="82"/>
      <c r="X128" s="82"/>
      <c r="Y128" s="82"/>
      <c r="Z128" s="82"/>
      <c r="AA128" s="82"/>
      <c r="AB128" s="82"/>
      <c r="AC128" s="82"/>
      <c r="AD128" s="82"/>
      <c r="AE128" s="82"/>
      <c r="AF128" s="82"/>
      <c r="AG128" s="82"/>
      <c r="AH128" s="82"/>
      <c r="AI128" s="82"/>
      <c r="AJ128" s="82"/>
      <c r="AK128" s="82"/>
      <c r="AL128" s="82"/>
      <c r="AM128" s="82"/>
      <c r="AN128" s="82"/>
      <c r="AO128" s="82"/>
      <c r="AP128" s="82"/>
      <c r="AQ128" s="82"/>
      <c r="AR128" s="82"/>
      <c r="AS128" s="82"/>
      <c r="AT128" s="82"/>
      <c r="AU128" s="82"/>
      <c r="AV128" s="82"/>
      <c r="AW128" s="82"/>
      <c r="AX128" s="82"/>
      <c r="AY128" s="82"/>
      <c r="AZ128" s="82"/>
    </row>
    <row r="129" spans="1:52" hidden="1" x14ac:dyDescent="0.25">
      <c r="A129" s="82"/>
      <c r="B129" s="82"/>
      <c r="C129" s="82"/>
      <c r="D129" s="82"/>
      <c r="E129" s="82"/>
      <c r="F129" s="82"/>
      <c r="G129" s="82"/>
      <c r="H129" s="82"/>
      <c r="I129" s="82"/>
      <c r="J129" s="82"/>
      <c r="K129" s="82"/>
      <c r="L129" s="82"/>
      <c r="M129" s="82"/>
      <c r="N129" s="82"/>
      <c r="O129" s="82"/>
      <c r="P129" s="82"/>
      <c r="Q129" s="82"/>
      <c r="R129" s="82"/>
      <c r="S129" s="82"/>
      <c r="T129" s="82"/>
      <c r="U129" s="82"/>
      <c r="V129" s="82"/>
      <c r="W129" s="82"/>
      <c r="X129" s="82"/>
      <c r="Y129" s="82"/>
      <c r="Z129" s="82"/>
      <c r="AA129" s="82"/>
      <c r="AB129" s="82"/>
      <c r="AC129" s="82"/>
      <c r="AD129" s="82"/>
      <c r="AE129" s="82"/>
      <c r="AF129" s="82"/>
      <c r="AG129" s="82"/>
      <c r="AH129" s="82"/>
      <c r="AI129" s="82"/>
      <c r="AJ129" s="82"/>
      <c r="AK129" s="82"/>
      <c r="AL129" s="82"/>
      <c r="AM129" s="82"/>
      <c r="AN129" s="82"/>
      <c r="AO129" s="82"/>
      <c r="AP129" s="82"/>
      <c r="AQ129" s="82"/>
      <c r="AR129" s="82"/>
      <c r="AS129" s="82"/>
      <c r="AT129" s="82"/>
      <c r="AU129" s="82"/>
      <c r="AV129" s="82"/>
      <c r="AW129" s="82"/>
      <c r="AX129" s="82"/>
      <c r="AY129" s="82"/>
      <c r="AZ129" s="82"/>
    </row>
    <row r="130" spans="1:52" hidden="1" x14ac:dyDescent="0.25">
      <c r="A130" s="82"/>
      <c r="B130" s="82"/>
      <c r="C130" s="82"/>
      <c r="D130" s="82"/>
      <c r="E130" s="82"/>
      <c r="F130" s="82"/>
      <c r="G130" s="82"/>
      <c r="H130" s="82"/>
      <c r="I130" s="82"/>
      <c r="J130" s="82"/>
      <c r="K130" s="82"/>
      <c r="L130" s="82"/>
      <c r="M130" s="82"/>
      <c r="N130" s="82"/>
      <c r="O130" s="82"/>
      <c r="P130" s="82"/>
      <c r="Q130" s="82"/>
      <c r="R130" s="82"/>
      <c r="S130" s="82"/>
      <c r="T130" s="82"/>
      <c r="U130" s="82"/>
      <c r="V130" s="82"/>
      <c r="W130" s="82"/>
      <c r="X130" s="82"/>
      <c r="Y130" s="82"/>
      <c r="Z130" s="82"/>
      <c r="AA130" s="82"/>
      <c r="AB130" s="82"/>
      <c r="AC130" s="82"/>
      <c r="AD130" s="82"/>
      <c r="AE130" s="82"/>
      <c r="AF130" s="82"/>
      <c r="AG130" s="82"/>
      <c r="AH130" s="82"/>
      <c r="AI130" s="82"/>
      <c r="AJ130" s="82"/>
      <c r="AK130" s="82"/>
      <c r="AL130" s="82"/>
      <c r="AM130" s="82"/>
      <c r="AN130" s="82"/>
      <c r="AO130" s="82"/>
      <c r="AP130" s="82"/>
      <c r="AQ130" s="82"/>
      <c r="AR130" s="82"/>
      <c r="AS130" s="82"/>
      <c r="AT130" s="82"/>
      <c r="AU130" s="82"/>
      <c r="AV130" s="82"/>
      <c r="AW130" s="82"/>
      <c r="AX130" s="82"/>
      <c r="AY130" s="82"/>
      <c r="AZ130" s="82"/>
    </row>
    <row r="131" spans="1:52" hidden="1" x14ac:dyDescent="0.25">
      <c r="A131" s="82"/>
      <c r="B131" s="82"/>
      <c r="C131" s="82"/>
      <c r="D131" s="82"/>
      <c r="E131" s="82"/>
      <c r="F131" s="82"/>
      <c r="G131" s="82"/>
      <c r="H131" s="82"/>
      <c r="I131" s="82"/>
      <c r="J131" s="82"/>
      <c r="K131" s="82"/>
      <c r="L131" s="82"/>
      <c r="M131" s="82"/>
      <c r="N131" s="82"/>
      <c r="O131" s="82"/>
      <c r="P131" s="82"/>
      <c r="Q131" s="82"/>
      <c r="R131" s="82"/>
      <c r="S131" s="82"/>
      <c r="T131" s="82"/>
      <c r="U131" s="82"/>
      <c r="V131" s="82"/>
      <c r="W131" s="82"/>
      <c r="X131" s="82"/>
      <c r="Y131" s="82"/>
      <c r="Z131" s="82"/>
      <c r="AA131" s="82"/>
      <c r="AB131" s="82"/>
      <c r="AC131" s="82"/>
      <c r="AD131" s="82"/>
      <c r="AE131" s="82"/>
      <c r="AF131" s="82"/>
      <c r="AG131" s="82"/>
      <c r="AH131" s="82"/>
      <c r="AI131" s="82"/>
      <c r="AJ131" s="82"/>
      <c r="AK131" s="82"/>
      <c r="AL131" s="82"/>
      <c r="AM131" s="82"/>
      <c r="AN131" s="82"/>
      <c r="AO131" s="82"/>
      <c r="AP131" s="82"/>
      <c r="AQ131" s="82"/>
      <c r="AR131" s="82"/>
      <c r="AS131" s="82"/>
      <c r="AT131" s="82"/>
      <c r="AU131" s="82"/>
      <c r="AV131" s="82"/>
      <c r="AW131" s="82"/>
      <c r="AX131" s="82"/>
      <c r="AY131" s="82"/>
      <c r="AZ131" s="82"/>
    </row>
    <row r="132" spans="1:52" hidden="1" x14ac:dyDescent="0.25">
      <c r="A132" s="82"/>
      <c r="B132" s="82"/>
      <c r="C132" s="82"/>
      <c r="D132" s="82"/>
      <c r="E132" s="82"/>
      <c r="F132" s="82"/>
      <c r="G132" s="82"/>
      <c r="H132" s="82"/>
      <c r="I132" s="82"/>
      <c r="J132" s="82"/>
      <c r="K132" s="82"/>
      <c r="L132" s="82"/>
      <c r="M132" s="82"/>
      <c r="N132" s="82"/>
      <c r="O132" s="82"/>
      <c r="P132" s="82"/>
      <c r="Q132" s="82"/>
      <c r="R132" s="82"/>
      <c r="S132" s="82"/>
      <c r="T132" s="82"/>
      <c r="U132" s="82"/>
      <c r="V132" s="82"/>
      <c r="W132" s="82"/>
      <c r="X132" s="82"/>
      <c r="Y132" s="82"/>
      <c r="Z132" s="82"/>
      <c r="AA132" s="82"/>
      <c r="AB132" s="82"/>
      <c r="AC132" s="82"/>
      <c r="AD132" s="82"/>
      <c r="AE132" s="82"/>
      <c r="AF132" s="82"/>
      <c r="AG132" s="82"/>
      <c r="AH132" s="82"/>
      <c r="AI132" s="82"/>
      <c r="AJ132" s="82"/>
      <c r="AK132" s="82"/>
      <c r="AL132" s="82"/>
      <c r="AM132" s="82"/>
      <c r="AN132" s="82"/>
      <c r="AO132" s="82"/>
      <c r="AP132" s="82"/>
      <c r="AQ132" s="82"/>
      <c r="AR132" s="82"/>
      <c r="AS132" s="82"/>
      <c r="AT132" s="82"/>
      <c r="AU132" s="82"/>
      <c r="AV132" s="82"/>
      <c r="AW132" s="82"/>
      <c r="AX132" s="82"/>
      <c r="AY132" s="82"/>
      <c r="AZ132" s="82"/>
    </row>
    <row r="133" spans="1:52" hidden="1" x14ac:dyDescent="0.25">
      <c r="A133" s="82"/>
      <c r="B133" s="82"/>
      <c r="C133" s="82"/>
      <c r="D133" s="82"/>
      <c r="E133" s="82"/>
      <c r="F133" s="82"/>
      <c r="G133" s="82"/>
      <c r="H133" s="82"/>
      <c r="I133" s="82"/>
      <c r="J133" s="82"/>
      <c r="K133" s="82"/>
      <c r="L133" s="82"/>
      <c r="M133" s="82"/>
      <c r="N133" s="82"/>
      <c r="O133" s="82"/>
      <c r="P133" s="82"/>
      <c r="Q133" s="82"/>
      <c r="R133" s="82"/>
      <c r="S133" s="82"/>
      <c r="T133" s="82"/>
      <c r="U133" s="82"/>
      <c r="V133" s="82"/>
      <c r="W133" s="82"/>
      <c r="X133" s="82"/>
      <c r="Y133" s="82"/>
      <c r="Z133" s="82"/>
      <c r="AA133" s="82"/>
      <c r="AB133" s="82"/>
      <c r="AC133" s="82"/>
      <c r="AD133" s="82"/>
      <c r="AE133" s="82"/>
      <c r="AF133" s="82"/>
      <c r="AG133" s="82"/>
      <c r="AH133" s="82"/>
      <c r="AI133" s="82"/>
      <c r="AJ133" s="82"/>
      <c r="AK133" s="82"/>
      <c r="AL133" s="82"/>
      <c r="AM133" s="82"/>
      <c r="AN133" s="82"/>
      <c r="AO133" s="82"/>
      <c r="AP133" s="82"/>
      <c r="AQ133" s="82"/>
      <c r="AR133" s="82"/>
      <c r="AS133" s="82"/>
      <c r="AT133" s="82"/>
      <c r="AU133" s="82"/>
      <c r="AV133" s="82"/>
      <c r="AW133" s="82"/>
      <c r="AX133" s="82"/>
      <c r="AY133" s="82"/>
      <c r="AZ133" s="82"/>
    </row>
    <row r="134" spans="1:52" hidden="1" x14ac:dyDescent="0.25">
      <c r="A134" s="82"/>
      <c r="B134" s="82"/>
      <c r="C134" s="82"/>
      <c r="D134" s="82"/>
      <c r="E134" s="82"/>
      <c r="F134" s="82"/>
      <c r="G134" s="82"/>
      <c r="H134" s="82"/>
      <c r="I134" s="82"/>
      <c r="J134" s="82"/>
      <c r="K134" s="82"/>
      <c r="L134" s="82"/>
      <c r="M134" s="82"/>
      <c r="N134" s="82"/>
      <c r="O134" s="82"/>
      <c r="P134" s="82"/>
      <c r="Q134" s="82"/>
      <c r="R134" s="82"/>
      <c r="S134" s="82"/>
      <c r="T134" s="82"/>
      <c r="U134" s="82"/>
      <c r="V134" s="82"/>
      <c r="W134" s="82"/>
      <c r="X134" s="82"/>
      <c r="Y134" s="82"/>
      <c r="Z134" s="82"/>
      <c r="AA134" s="82"/>
      <c r="AB134" s="82"/>
      <c r="AC134" s="82"/>
      <c r="AD134" s="82"/>
      <c r="AE134" s="82"/>
      <c r="AF134" s="82"/>
      <c r="AG134" s="82"/>
      <c r="AH134" s="82"/>
      <c r="AI134" s="82"/>
      <c r="AJ134" s="82"/>
      <c r="AK134" s="82"/>
      <c r="AL134" s="82"/>
      <c r="AM134" s="82"/>
      <c r="AN134" s="82"/>
      <c r="AO134" s="82"/>
      <c r="AP134" s="82"/>
      <c r="AQ134" s="82"/>
      <c r="AR134" s="82"/>
      <c r="AS134" s="82"/>
      <c r="AT134" s="82"/>
      <c r="AU134" s="82"/>
      <c r="AV134" s="82"/>
      <c r="AW134" s="82"/>
      <c r="AX134" s="82"/>
      <c r="AY134" s="82"/>
      <c r="AZ134" s="82"/>
    </row>
    <row r="135" spans="1:52" hidden="1" x14ac:dyDescent="0.25">
      <c r="A135" s="82"/>
      <c r="B135" s="82"/>
      <c r="C135" s="82"/>
      <c r="D135" s="82"/>
      <c r="E135" s="82"/>
      <c r="F135" s="82"/>
      <c r="G135" s="82"/>
      <c r="H135" s="82"/>
      <c r="I135" s="82"/>
      <c r="J135" s="82"/>
      <c r="K135" s="82"/>
      <c r="L135" s="82"/>
      <c r="M135" s="82"/>
      <c r="N135" s="82"/>
      <c r="O135" s="82"/>
      <c r="P135" s="82"/>
      <c r="Q135" s="82"/>
      <c r="R135" s="82"/>
      <c r="S135" s="82"/>
      <c r="T135" s="82"/>
      <c r="U135" s="82"/>
      <c r="V135" s="82"/>
      <c r="W135" s="82"/>
      <c r="X135" s="82"/>
      <c r="Y135" s="82"/>
      <c r="Z135" s="82"/>
      <c r="AA135" s="82"/>
      <c r="AB135" s="82"/>
      <c r="AC135" s="82"/>
      <c r="AD135" s="82"/>
      <c r="AE135" s="82"/>
      <c r="AF135" s="82"/>
      <c r="AG135" s="82"/>
      <c r="AH135" s="82"/>
      <c r="AI135" s="82"/>
      <c r="AJ135" s="82"/>
      <c r="AK135" s="82"/>
      <c r="AL135" s="82"/>
      <c r="AM135" s="82"/>
      <c r="AN135" s="82"/>
      <c r="AO135" s="82"/>
      <c r="AP135" s="82"/>
      <c r="AQ135" s="82"/>
      <c r="AR135" s="82"/>
      <c r="AS135" s="82"/>
      <c r="AT135" s="82"/>
      <c r="AU135" s="82"/>
      <c r="AV135" s="82"/>
      <c r="AW135" s="82"/>
      <c r="AX135" s="82"/>
      <c r="AY135" s="82"/>
      <c r="AZ135" s="82"/>
    </row>
    <row r="136" spans="1:52" hidden="1" x14ac:dyDescent="0.25">
      <c r="A136" s="82"/>
      <c r="B136" s="82"/>
      <c r="C136" s="82"/>
      <c r="D136" s="82"/>
      <c r="E136" s="82"/>
      <c r="F136" s="82"/>
      <c r="G136" s="82"/>
      <c r="H136" s="82"/>
      <c r="I136" s="82"/>
      <c r="J136" s="82"/>
      <c r="K136" s="82"/>
      <c r="L136" s="82"/>
      <c r="M136" s="82"/>
      <c r="N136" s="82"/>
      <c r="O136" s="82"/>
      <c r="P136" s="82"/>
      <c r="Q136" s="82"/>
      <c r="R136" s="82"/>
      <c r="S136" s="82"/>
      <c r="T136" s="82"/>
      <c r="U136" s="82"/>
      <c r="V136" s="82"/>
      <c r="W136" s="82"/>
      <c r="X136" s="82"/>
      <c r="Y136" s="82"/>
      <c r="Z136" s="82"/>
      <c r="AA136" s="82"/>
      <c r="AB136" s="82"/>
      <c r="AC136" s="82"/>
      <c r="AD136" s="82"/>
      <c r="AE136" s="82"/>
      <c r="AF136" s="82"/>
      <c r="AG136" s="82"/>
      <c r="AH136" s="82"/>
      <c r="AI136" s="82"/>
      <c r="AJ136" s="82"/>
      <c r="AK136" s="82"/>
      <c r="AL136" s="82"/>
      <c r="AM136" s="82"/>
      <c r="AN136" s="82"/>
      <c r="AO136" s="82"/>
      <c r="AP136" s="82"/>
      <c r="AQ136" s="82"/>
      <c r="AR136" s="82"/>
      <c r="AS136" s="82"/>
      <c r="AT136" s="82"/>
      <c r="AU136" s="82"/>
      <c r="AV136" s="82"/>
      <c r="AW136" s="82"/>
      <c r="AX136" s="82"/>
      <c r="AY136" s="82"/>
      <c r="AZ136" s="82"/>
    </row>
    <row r="137" spans="1:52" hidden="1" x14ac:dyDescent="0.25">
      <c r="A137" s="82"/>
      <c r="B137" s="82"/>
      <c r="C137" s="82"/>
      <c r="D137" s="82"/>
      <c r="E137" s="82"/>
      <c r="F137" s="82"/>
      <c r="G137" s="82"/>
      <c r="H137" s="82"/>
      <c r="I137" s="82"/>
      <c r="J137" s="82"/>
      <c r="K137" s="82"/>
      <c r="L137" s="82"/>
      <c r="M137" s="82"/>
      <c r="N137" s="82"/>
      <c r="O137" s="82"/>
      <c r="P137" s="82"/>
      <c r="Q137" s="82"/>
      <c r="R137" s="82"/>
      <c r="S137" s="82"/>
      <c r="T137" s="82"/>
      <c r="U137" s="82"/>
      <c r="V137" s="82"/>
      <c r="W137" s="82"/>
      <c r="X137" s="82"/>
      <c r="Y137" s="82"/>
      <c r="Z137" s="82"/>
      <c r="AA137" s="82"/>
      <c r="AB137" s="82"/>
      <c r="AC137" s="82"/>
      <c r="AD137" s="82"/>
      <c r="AE137" s="82"/>
      <c r="AF137" s="82"/>
      <c r="AG137" s="82"/>
      <c r="AH137" s="82"/>
      <c r="AI137" s="82"/>
      <c r="AJ137" s="82"/>
      <c r="AK137" s="82"/>
      <c r="AL137" s="82"/>
      <c r="AM137" s="82"/>
      <c r="AN137" s="82"/>
      <c r="AO137" s="82"/>
      <c r="AP137" s="82"/>
      <c r="AQ137" s="82"/>
      <c r="AR137" s="82"/>
      <c r="AS137" s="82"/>
      <c r="AT137" s="82"/>
      <c r="AU137" s="82"/>
      <c r="AV137" s="82"/>
      <c r="AW137" s="82"/>
      <c r="AX137" s="82"/>
      <c r="AY137" s="82"/>
      <c r="AZ137" s="82"/>
    </row>
    <row r="138" spans="1:52" hidden="1" x14ac:dyDescent="0.25">
      <c r="A138" s="82"/>
      <c r="B138" s="82"/>
      <c r="C138" s="82"/>
      <c r="D138" s="82"/>
      <c r="E138" s="82"/>
      <c r="F138" s="82"/>
      <c r="G138" s="82"/>
      <c r="H138" s="82"/>
      <c r="I138" s="82"/>
      <c r="J138" s="82"/>
      <c r="K138" s="82"/>
      <c r="L138" s="82"/>
      <c r="M138" s="82"/>
      <c r="N138" s="82"/>
      <c r="O138" s="82"/>
      <c r="P138" s="82"/>
      <c r="Q138" s="82"/>
      <c r="R138" s="82"/>
      <c r="S138" s="82"/>
      <c r="T138" s="82"/>
      <c r="U138" s="82"/>
      <c r="V138" s="82"/>
      <c r="W138" s="82"/>
      <c r="X138" s="82"/>
      <c r="Y138" s="82"/>
      <c r="Z138" s="82"/>
      <c r="AA138" s="82"/>
      <c r="AB138" s="82"/>
      <c r="AC138" s="82"/>
      <c r="AD138" s="82"/>
      <c r="AE138" s="82"/>
      <c r="AF138" s="82"/>
      <c r="AG138" s="82"/>
      <c r="AH138" s="82"/>
      <c r="AI138" s="82"/>
      <c r="AJ138" s="82"/>
      <c r="AK138" s="82"/>
      <c r="AL138" s="82"/>
      <c r="AM138" s="82"/>
      <c r="AN138" s="82"/>
      <c r="AO138" s="82"/>
      <c r="AP138" s="82"/>
      <c r="AQ138" s="82"/>
      <c r="AR138" s="82"/>
      <c r="AS138" s="82"/>
      <c r="AT138" s="82"/>
      <c r="AU138" s="82"/>
      <c r="AV138" s="82"/>
      <c r="AW138" s="82"/>
      <c r="AX138" s="82"/>
      <c r="AY138" s="82"/>
      <c r="AZ138" s="82"/>
    </row>
    <row r="139" spans="1:52" hidden="1" x14ac:dyDescent="0.25">
      <c r="A139" s="82"/>
      <c r="B139" s="82"/>
      <c r="C139" s="82"/>
      <c r="D139" s="82"/>
      <c r="E139" s="82"/>
      <c r="F139" s="82"/>
      <c r="G139" s="82"/>
      <c r="H139" s="82"/>
      <c r="I139" s="82"/>
      <c r="J139" s="82"/>
      <c r="K139" s="82"/>
      <c r="L139" s="82"/>
      <c r="M139" s="82"/>
      <c r="N139" s="82"/>
      <c r="O139" s="82"/>
      <c r="P139" s="82"/>
      <c r="Q139" s="82"/>
      <c r="R139" s="82"/>
      <c r="S139" s="82"/>
      <c r="T139" s="82"/>
      <c r="U139" s="82"/>
      <c r="V139" s="82"/>
      <c r="W139" s="82"/>
      <c r="X139" s="82"/>
      <c r="Y139" s="82"/>
      <c r="Z139" s="82"/>
      <c r="AA139" s="82"/>
      <c r="AB139" s="82"/>
      <c r="AC139" s="82"/>
      <c r="AD139" s="82"/>
      <c r="AE139" s="82"/>
      <c r="AF139" s="82"/>
      <c r="AG139" s="82"/>
      <c r="AH139" s="82"/>
      <c r="AI139" s="82"/>
      <c r="AJ139" s="82"/>
      <c r="AK139" s="82"/>
      <c r="AL139" s="82"/>
      <c r="AM139" s="82"/>
      <c r="AN139" s="82"/>
      <c r="AO139" s="82"/>
      <c r="AP139" s="82"/>
      <c r="AQ139" s="82"/>
      <c r="AR139" s="82"/>
      <c r="AS139" s="82"/>
      <c r="AT139" s="82"/>
      <c r="AU139" s="82"/>
      <c r="AV139" s="82"/>
      <c r="AW139" s="82"/>
      <c r="AX139" s="82"/>
      <c r="AY139" s="82"/>
      <c r="AZ139" s="82"/>
    </row>
    <row r="140" spans="1:52" hidden="1" x14ac:dyDescent="0.25">
      <c r="A140" s="82"/>
      <c r="B140" s="82"/>
      <c r="C140" s="82"/>
      <c r="D140" s="82"/>
      <c r="E140" s="82"/>
      <c r="F140" s="82"/>
      <c r="G140" s="82"/>
      <c r="H140" s="82"/>
      <c r="I140" s="82"/>
      <c r="J140" s="82"/>
      <c r="K140" s="82"/>
      <c r="L140" s="82"/>
      <c r="M140" s="82"/>
      <c r="N140" s="82"/>
      <c r="O140" s="82"/>
      <c r="P140" s="82"/>
      <c r="Q140" s="82"/>
      <c r="R140" s="82"/>
      <c r="S140" s="82"/>
      <c r="T140" s="82"/>
      <c r="U140" s="82"/>
      <c r="V140" s="82"/>
      <c r="W140" s="82"/>
      <c r="X140" s="82"/>
      <c r="Y140" s="82"/>
      <c r="Z140" s="82"/>
      <c r="AA140" s="82"/>
      <c r="AB140" s="82"/>
      <c r="AC140" s="82"/>
      <c r="AD140" s="82"/>
      <c r="AE140" s="82"/>
      <c r="AF140" s="82"/>
      <c r="AG140" s="82"/>
      <c r="AH140" s="82"/>
      <c r="AI140" s="82"/>
      <c r="AJ140" s="82"/>
      <c r="AK140" s="82"/>
      <c r="AL140" s="82"/>
      <c r="AM140" s="82"/>
      <c r="AN140" s="82"/>
      <c r="AO140" s="82"/>
      <c r="AP140" s="82"/>
      <c r="AQ140" s="82"/>
      <c r="AR140" s="82"/>
      <c r="AS140" s="82"/>
      <c r="AT140" s="82"/>
      <c r="AU140" s="82"/>
      <c r="AV140" s="82"/>
      <c r="AW140" s="82"/>
      <c r="AX140" s="82"/>
      <c r="AY140" s="82"/>
      <c r="AZ140" s="82"/>
    </row>
    <row r="141" spans="1:52" hidden="1" x14ac:dyDescent="0.25">
      <c r="A141" s="82"/>
      <c r="B141" s="82"/>
      <c r="C141" s="82"/>
      <c r="D141" s="82"/>
      <c r="E141" s="82"/>
      <c r="F141" s="82"/>
      <c r="G141" s="82"/>
      <c r="H141" s="82"/>
      <c r="I141" s="82"/>
      <c r="J141" s="82"/>
      <c r="K141" s="82"/>
      <c r="L141" s="82"/>
      <c r="M141" s="82"/>
      <c r="N141" s="82"/>
      <c r="O141" s="82"/>
      <c r="P141" s="82"/>
      <c r="Q141" s="82"/>
      <c r="R141" s="82"/>
      <c r="S141" s="82"/>
      <c r="T141" s="82"/>
      <c r="U141" s="82"/>
      <c r="V141" s="82"/>
      <c r="W141" s="82"/>
      <c r="X141" s="82"/>
      <c r="Y141" s="82"/>
      <c r="Z141" s="82"/>
      <c r="AA141" s="82"/>
      <c r="AB141" s="82"/>
      <c r="AC141" s="82"/>
      <c r="AD141" s="82"/>
      <c r="AE141" s="82"/>
      <c r="AF141" s="82"/>
      <c r="AG141" s="82"/>
      <c r="AH141" s="82"/>
      <c r="AI141" s="82"/>
      <c r="AJ141" s="82"/>
      <c r="AK141" s="82"/>
      <c r="AL141" s="82"/>
      <c r="AM141" s="82"/>
      <c r="AN141" s="82"/>
      <c r="AO141" s="82"/>
      <c r="AP141" s="82"/>
      <c r="AQ141" s="82"/>
      <c r="AR141" s="82"/>
      <c r="AS141" s="82"/>
      <c r="AT141" s="82"/>
      <c r="AU141" s="82"/>
      <c r="AV141" s="82"/>
      <c r="AW141" s="82"/>
      <c r="AX141" s="82"/>
      <c r="AY141" s="82"/>
      <c r="AZ141" s="82"/>
    </row>
    <row r="142" spans="1:52" hidden="1" x14ac:dyDescent="0.25">
      <c r="A142" s="82"/>
      <c r="B142" s="82"/>
      <c r="C142" s="82"/>
      <c r="D142" s="82"/>
      <c r="E142" s="82"/>
      <c r="F142" s="82"/>
      <c r="G142" s="82"/>
      <c r="H142" s="82"/>
      <c r="I142" s="82"/>
      <c r="J142" s="82"/>
      <c r="K142" s="82"/>
      <c r="L142" s="82"/>
      <c r="M142" s="82"/>
      <c r="N142" s="82"/>
      <c r="O142" s="82"/>
      <c r="P142" s="82"/>
      <c r="Q142" s="82"/>
      <c r="R142" s="82"/>
      <c r="S142" s="82"/>
      <c r="T142" s="82"/>
      <c r="U142" s="82"/>
      <c r="V142" s="82"/>
      <c r="W142" s="82"/>
      <c r="X142" s="82"/>
      <c r="Y142" s="82"/>
      <c r="Z142" s="82"/>
      <c r="AA142" s="82"/>
      <c r="AB142" s="82"/>
      <c r="AC142" s="82"/>
      <c r="AD142" s="82"/>
      <c r="AE142" s="82"/>
      <c r="AF142" s="82"/>
      <c r="AG142" s="82"/>
      <c r="AH142" s="82"/>
      <c r="AI142" s="82"/>
      <c r="AJ142" s="82"/>
      <c r="AK142" s="82"/>
      <c r="AL142" s="82"/>
      <c r="AM142" s="82"/>
      <c r="AN142" s="82"/>
      <c r="AO142" s="82"/>
      <c r="AP142" s="82"/>
      <c r="AQ142" s="82"/>
      <c r="AR142" s="82"/>
      <c r="AS142" s="82"/>
      <c r="AT142" s="82"/>
      <c r="AU142" s="82"/>
      <c r="AV142" s="82"/>
      <c r="AW142" s="82"/>
      <c r="AX142" s="82"/>
      <c r="AY142" s="82"/>
      <c r="AZ142" s="82"/>
    </row>
    <row r="143" spans="1:52" hidden="1" x14ac:dyDescent="0.25">
      <c r="A143" s="82"/>
      <c r="B143" s="82"/>
      <c r="C143" s="82"/>
      <c r="D143" s="82"/>
      <c r="E143" s="82"/>
      <c r="F143" s="82"/>
      <c r="G143" s="82"/>
      <c r="H143" s="82"/>
      <c r="I143" s="82"/>
      <c r="J143" s="82"/>
      <c r="K143" s="82"/>
      <c r="L143" s="82"/>
      <c r="M143" s="82"/>
      <c r="N143" s="82"/>
      <c r="O143" s="82"/>
      <c r="P143" s="82"/>
      <c r="Q143" s="82"/>
      <c r="R143" s="82"/>
      <c r="S143" s="82"/>
      <c r="T143" s="82"/>
      <c r="U143" s="82"/>
      <c r="V143" s="82"/>
      <c r="W143" s="82"/>
      <c r="X143" s="82"/>
      <c r="Y143" s="82"/>
      <c r="Z143" s="82"/>
      <c r="AA143" s="82"/>
      <c r="AB143" s="82"/>
      <c r="AC143" s="82"/>
      <c r="AD143" s="82"/>
      <c r="AE143" s="82"/>
      <c r="AF143" s="82"/>
      <c r="AG143" s="82"/>
      <c r="AH143" s="82"/>
      <c r="AI143" s="82"/>
      <c r="AJ143" s="82"/>
      <c r="AK143" s="82"/>
      <c r="AL143" s="82"/>
      <c r="AM143" s="82"/>
      <c r="AN143" s="82"/>
      <c r="AO143" s="82"/>
      <c r="AP143" s="82"/>
      <c r="AQ143" s="82"/>
      <c r="AR143" s="82"/>
      <c r="AS143" s="82"/>
      <c r="AT143" s="82"/>
      <c r="AU143" s="82"/>
      <c r="AV143" s="82"/>
      <c r="AW143" s="82"/>
      <c r="AX143" s="82"/>
      <c r="AY143" s="82"/>
      <c r="AZ143" s="82"/>
    </row>
    <row r="144" spans="1:52" hidden="1" x14ac:dyDescent="0.25">
      <c r="A144" s="82"/>
      <c r="B144" s="82"/>
      <c r="C144" s="82"/>
      <c r="D144" s="82"/>
      <c r="E144" s="82"/>
      <c r="F144" s="82"/>
      <c r="G144" s="82"/>
      <c r="H144" s="82"/>
      <c r="I144" s="82"/>
      <c r="J144" s="82"/>
      <c r="K144" s="82"/>
      <c r="L144" s="82"/>
      <c r="M144" s="82"/>
      <c r="N144" s="82"/>
      <c r="O144" s="82"/>
      <c r="P144" s="82"/>
      <c r="Q144" s="82"/>
      <c r="R144" s="82"/>
      <c r="S144" s="82"/>
      <c r="T144" s="82"/>
      <c r="U144" s="82"/>
      <c r="V144" s="82"/>
      <c r="W144" s="82"/>
      <c r="X144" s="82"/>
      <c r="Y144" s="82"/>
      <c r="Z144" s="82"/>
      <c r="AA144" s="82"/>
      <c r="AB144" s="82"/>
      <c r="AC144" s="82"/>
      <c r="AD144" s="82"/>
      <c r="AE144" s="82"/>
      <c r="AF144" s="82"/>
      <c r="AG144" s="82"/>
      <c r="AH144" s="82"/>
      <c r="AI144" s="82"/>
      <c r="AJ144" s="82"/>
      <c r="AK144" s="82"/>
      <c r="AL144" s="82"/>
      <c r="AM144" s="82"/>
      <c r="AN144" s="82"/>
      <c r="AO144" s="82"/>
      <c r="AP144" s="82"/>
      <c r="AQ144" s="82"/>
      <c r="AR144" s="82"/>
      <c r="AS144" s="82"/>
      <c r="AT144" s="82"/>
      <c r="AU144" s="82"/>
      <c r="AV144" s="82"/>
      <c r="AW144" s="82"/>
      <c r="AX144" s="82"/>
      <c r="AY144" s="82"/>
      <c r="AZ144" s="82"/>
    </row>
    <row r="145" spans="1:52" hidden="1" x14ac:dyDescent="0.25">
      <c r="A145" s="82"/>
      <c r="B145" s="82"/>
      <c r="C145" s="82"/>
      <c r="D145" s="82"/>
      <c r="E145" s="82"/>
      <c r="F145" s="82"/>
      <c r="G145" s="82"/>
      <c r="H145" s="82"/>
      <c r="I145" s="82"/>
      <c r="J145" s="82"/>
      <c r="K145" s="82"/>
      <c r="L145" s="82"/>
      <c r="M145" s="82"/>
      <c r="N145" s="82"/>
      <c r="O145" s="82"/>
      <c r="P145" s="82"/>
      <c r="Q145" s="82"/>
      <c r="R145" s="82"/>
      <c r="S145" s="82"/>
      <c r="T145" s="82"/>
      <c r="U145" s="82"/>
      <c r="V145" s="82"/>
      <c r="W145" s="82"/>
      <c r="X145" s="82"/>
      <c r="Y145" s="82"/>
      <c r="Z145" s="82"/>
      <c r="AA145" s="82"/>
      <c r="AB145" s="82"/>
      <c r="AC145" s="82"/>
      <c r="AD145" s="82"/>
      <c r="AE145" s="82"/>
      <c r="AF145" s="82"/>
      <c r="AG145" s="82"/>
      <c r="AH145" s="82"/>
      <c r="AI145" s="82"/>
      <c r="AJ145" s="82"/>
      <c r="AK145" s="82"/>
      <c r="AL145" s="82"/>
      <c r="AM145" s="82"/>
      <c r="AN145" s="82"/>
      <c r="AO145" s="82"/>
      <c r="AP145" s="82"/>
      <c r="AQ145" s="82"/>
      <c r="AR145" s="82"/>
      <c r="AS145" s="82"/>
      <c r="AT145" s="82"/>
      <c r="AU145" s="82"/>
      <c r="AV145" s="82"/>
      <c r="AW145" s="82"/>
      <c r="AX145" s="82"/>
      <c r="AY145" s="82"/>
      <c r="AZ145" s="82"/>
    </row>
    <row r="146" spans="1:52" hidden="1" x14ac:dyDescent="0.25">
      <c r="A146" s="82"/>
      <c r="B146" s="82"/>
      <c r="C146" s="82"/>
      <c r="D146" s="82"/>
      <c r="E146" s="82"/>
      <c r="F146" s="82"/>
      <c r="G146" s="82"/>
      <c r="H146" s="82"/>
      <c r="I146" s="82"/>
      <c r="J146" s="82"/>
      <c r="K146" s="82"/>
      <c r="L146" s="82"/>
      <c r="M146" s="82"/>
      <c r="N146" s="82"/>
      <c r="O146" s="82"/>
      <c r="P146" s="82"/>
      <c r="Q146" s="82"/>
      <c r="R146" s="82"/>
      <c r="S146" s="82"/>
      <c r="T146" s="82"/>
      <c r="U146" s="82"/>
      <c r="V146" s="82"/>
      <c r="W146" s="82"/>
      <c r="X146" s="82"/>
      <c r="Y146" s="82"/>
      <c r="Z146" s="82"/>
      <c r="AA146" s="82"/>
      <c r="AB146" s="82"/>
      <c r="AC146" s="82"/>
      <c r="AD146" s="82"/>
      <c r="AE146" s="82"/>
      <c r="AF146" s="82"/>
      <c r="AG146" s="82"/>
      <c r="AH146" s="82"/>
      <c r="AI146" s="82"/>
      <c r="AJ146" s="82"/>
      <c r="AK146" s="82"/>
      <c r="AL146" s="82"/>
      <c r="AM146" s="82"/>
      <c r="AN146" s="82"/>
      <c r="AO146" s="82"/>
      <c r="AP146" s="82"/>
      <c r="AQ146" s="82"/>
      <c r="AR146" s="82"/>
      <c r="AS146" s="82"/>
      <c r="AT146" s="82"/>
      <c r="AU146" s="82"/>
      <c r="AV146" s="82"/>
      <c r="AW146" s="82"/>
      <c r="AX146" s="82"/>
      <c r="AY146" s="82"/>
      <c r="AZ146" s="82"/>
    </row>
    <row r="147" spans="1:52" hidden="1" x14ac:dyDescent="0.25">
      <c r="A147" s="82"/>
      <c r="B147" s="82"/>
      <c r="C147" s="82"/>
      <c r="D147" s="82"/>
      <c r="E147" s="82"/>
      <c r="F147" s="82"/>
      <c r="G147" s="82"/>
      <c r="H147" s="82"/>
      <c r="I147" s="82"/>
      <c r="J147" s="82"/>
      <c r="K147" s="82"/>
      <c r="L147" s="82"/>
      <c r="M147" s="82"/>
      <c r="N147" s="82"/>
      <c r="O147" s="82"/>
      <c r="P147" s="82"/>
      <c r="Q147" s="82"/>
      <c r="R147" s="82"/>
      <c r="S147" s="82"/>
      <c r="T147" s="82"/>
      <c r="U147" s="82"/>
      <c r="V147" s="82"/>
      <c r="W147" s="82"/>
      <c r="X147" s="82"/>
      <c r="Y147" s="82"/>
      <c r="Z147" s="82"/>
      <c r="AA147" s="82"/>
      <c r="AB147" s="82"/>
      <c r="AC147" s="82"/>
      <c r="AD147" s="82"/>
      <c r="AE147" s="82"/>
      <c r="AF147" s="82"/>
      <c r="AG147" s="82"/>
      <c r="AH147" s="82"/>
      <c r="AI147" s="82"/>
      <c r="AJ147" s="82"/>
      <c r="AK147" s="82"/>
      <c r="AL147" s="82"/>
      <c r="AM147" s="82"/>
      <c r="AN147" s="82"/>
      <c r="AO147" s="82"/>
      <c r="AP147" s="82"/>
      <c r="AQ147" s="82"/>
      <c r="AR147" s="82"/>
      <c r="AS147" s="82"/>
      <c r="AT147" s="82"/>
      <c r="AU147" s="82"/>
      <c r="AV147" s="82"/>
      <c r="AW147" s="82"/>
      <c r="AX147" s="82"/>
      <c r="AY147" s="82"/>
      <c r="AZ147" s="82"/>
    </row>
    <row r="148" spans="1:52" hidden="1" x14ac:dyDescent="0.25">
      <c r="A148" s="82"/>
      <c r="B148" s="82"/>
      <c r="C148" s="82"/>
      <c r="D148" s="82"/>
      <c r="E148" s="82"/>
      <c r="F148" s="82"/>
      <c r="G148" s="82"/>
      <c r="H148" s="82"/>
      <c r="I148" s="82"/>
      <c r="J148" s="82"/>
      <c r="K148" s="82"/>
      <c r="L148" s="82"/>
      <c r="M148" s="82"/>
      <c r="N148" s="82"/>
      <c r="O148" s="82"/>
      <c r="P148" s="82"/>
      <c r="Q148" s="82"/>
      <c r="R148" s="82"/>
      <c r="S148" s="82"/>
      <c r="T148" s="82"/>
      <c r="U148" s="82"/>
      <c r="V148" s="82"/>
      <c r="W148" s="82"/>
      <c r="X148" s="82"/>
      <c r="Y148" s="82"/>
      <c r="Z148" s="82"/>
      <c r="AA148" s="82"/>
      <c r="AB148" s="82"/>
      <c r="AC148" s="82"/>
      <c r="AD148" s="82"/>
      <c r="AE148" s="82"/>
      <c r="AF148" s="82"/>
      <c r="AG148" s="82"/>
      <c r="AH148" s="82"/>
      <c r="AI148" s="82"/>
      <c r="AJ148" s="82"/>
      <c r="AK148" s="82"/>
      <c r="AL148" s="82"/>
      <c r="AM148" s="82"/>
      <c r="AN148" s="82"/>
      <c r="AO148" s="82"/>
      <c r="AP148" s="82"/>
      <c r="AQ148" s="82"/>
      <c r="AR148" s="82"/>
      <c r="AS148" s="82"/>
      <c r="AT148" s="82"/>
      <c r="AU148" s="82"/>
      <c r="AV148" s="82"/>
      <c r="AW148" s="82"/>
      <c r="AX148" s="82"/>
      <c r="AY148" s="82"/>
      <c r="AZ148" s="82"/>
    </row>
    <row r="149" spans="1:52" hidden="1" x14ac:dyDescent="0.25">
      <c r="A149" s="82"/>
      <c r="B149" s="82"/>
      <c r="C149" s="82"/>
      <c r="D149" s="82"/>
      <c r="E149" s="82"/>
      <c r="F149" s="82"/>
      <c r="G149" s="82"/>
      <c r="H149" s="82"/>
      <c r="I149" s="82"/>
      <c r="J149" s="82"/>
      <c r="K149" s="82"/>
      <c r="L149" s="82"/>
      <c r="M149" s="82"/>
      <c r="N149" s="82"/>
      <c r="O149" s="82"/>
      <c r="P149" s="82"/>
      <c r="Q149" s="82"/>
      <c r="R149" s="82"/>
      <c r="S149" s="82"/>
      <c r="T149" s="82"/>
      <c r="U149" s="82"/>
      <c r="V149" s="82"/>
      <c r="W149" s="82"/>
      <c r="X149" s="82"/>
      <c r="Y149" s="82"/>
      <c r="Z149" s="82"/>
      <c r="AA149" s="82"/>
      <c r="AB149" s="82"/>
      <c r="AC149" s="82"/>
      <c r="AD149" s="82"/>
      <c r="AE149" s="82"/>
      <c r="AF149" s="82"/>
      <c r="AG149" s="82"/>
      <c r="AH149" s="82"/>
      <c r="AI149" s="82"/>
      <c r="AJ149" s="82"/>
      <c r="AK149" s="82"/>
      <c r="AL149" s="82"/>
      <c r="AM149" s="82"/>
      <c r="AN149" s="82"/>
      <c r="AO149" s="82"/>
      <c r="AP149" s="82"/>
      <c r="AQ149" s="82"/>
      <c r="AR149" s="82"/>
      <c r="AS149" s="82"/>
      <c r="AT149" s="82"/>
      <c r="AU149" s="82"/>
      <c r="AV149" s="82"/>
      <c r="AW149" s="82"/>
      <c r="AX149" s="82"/>
      <c r="AY149" s="82"/>
      <c r="AZ149" s="82"/>
    </row>
    <row r="150" spans="1:52" hidden="1" x14ac:dyDescent="0.25">
      <c r="A150" s="82"/>
      <c r="B150" s="82"/>
      <c r="C150" s="82"/>
      <c r="D150" s="82"/>
      <c r="E150" s="82"/>
      <c r="F150" s="82"/>
      <c r="G150" s="82"/>
      <c r="H150" s="82"/>
      <c r="I150" s="82"/>
      <c r="J150" s="82"/>
      <c r="K150" s="82"/>
      <c r="L150" s="82"/>
      <c r="M150" s="82"/>
      <c r="N150" s="82"/>
      <c r="O150" s="82"/>
      <c r="P150" s="82"/>
      <c r="Q150" s="82"/>
      <c r="R150" s="82"/>
      <c r="S150" s="82"/>
      <c r="T150" s="82"/>
      <c r="U150" s="82"/>
      <c r="V150" s="82"/>
      <c r="W150" s="82"/>
      <c r="X150" s="82"/>
      <c r="Y150" s="82"/>
      <c r="Z150" s="82"/>
      <c r="AA150" s="82"/>
      <c r="AB150" s="82"/>
      <c r="AC150" s="82"/>
      <c r="AD150" s="82"/>
      <c r="AE150" s="82"/>
      <c r="AF150" s="82"/>
      <c r="AG150" s="82"/>
      <c r="AH150" s="82"/>
      <c r="AI150" s="82"/>
      <c r="AJ150" s="82"/>
      <c r="AK150" s="82"/>
      <c r="AL150" s="82"/>
      <c r="AM150" s="82"/>
      <c r="AN150" s="82"/>
      <c r="AO150" s="82"/>
      <c r="AP150" s="82"/>
      <c r="AQ150" s="82"/>
      <c r="AR150" s="82"/>
      <c r="AS150" s="82"/>
      <c r="AT150" s="82"/>
      <c r="AU150" s="82"/>
      <c r="AV150" s="82"/>
      <c r="AW150" s="82"/>
      <c r="AX150" s="82"/>
      <c r="AY150" s="82"/>
      <c r="AZ150" s="82"/>
    </row>
    <row r="151" spans="1:52" hidden="1" x14ac:dyDescent="0.25">
      <c r="A151" s="82"/>
      <c r="B151" s="82"/>
      <c r="C151" s="82"/>
      <c r="D151" s="82"/>
      <c r="E151" s="82"/>
      <c r="F151" s="82"/>
      <c r="G151" s="82"/>
      <c r="H151" s="82"/>
      <c r="I151" s="82"/>
      <c r="J151" s="82"/>
      <c r="K151" s="82"/>
      <c r="L151" s="82"/>
      <c r="M151" s="82"/>
      <c r="N151" s="82"/>
      <c r="O151" s="82"/>
      <c r="P151" s="82"/>
      <c r="Q151" s="82"/>
      <c r="R151" s="82"/>
      <c r="S151" s="82"/>
      <c r="T151" s="82"/>
      <c r="U151" s="82"/>
      <c r="V151" s="82"/>
      <c r="W151" s="82"/>
      <c r="X151" s="82"/>
      <c r="Y151" s="82"/>
      <c r="Z151" s="82"/>
      <c r="AA151" s="82"/>
      <c r="AB151" s="82"/>
      <c r="AC151" s="82"/>
      <c r="AD151" s="82"/>
      <c r="AE151" s="82"/>
      <c r="AF151" s="82"/>
      <c r="AG151" s="82"/>
      <c r="AH151" s="82"/>
      <c r="AI151" s="82"/>
      <c r="AJ151" s="82"/>
      <c r="AK151" s="82"/>
      <c r="AL151" s="82"/>
      <c r="AM151" s="82"/>
      <c r="AN151" s="82"/>
      <c r="AO151" s="82"/>
      <c r="AP151" s="82"/>
      <c r="AQ151" s="82"/>
      <c r="AR151" s="82"/>
      <c r="AS151" s="82"/>
      <c r="AT151" s="82"/>
      <c r="AU151" s="82"/>
      <c r="AV151" s="82"/>
      <c r="AW151" s="82"/>
      <c r="AX151" s="82"/>
      <c r="AY151" s="82"/>
      <c r="AZ151" s="82"/>
    </row>
    <row r="152" spans="1:52" hidden="1" x14ac:dyDescent="0.25">
      <c r="A152" s="82"/>
      <c r="B152" s="82"/>
      <c r="C152" s="82"/>
      <c r="D152" s="82"/>
      <c r="E152" s="82"/>
      <c r="F152" s="82"/>
      <c r="G152" s="82"/>
      <c r="H152" s="82"/>
      <c r="I152" s="82"/>
      <c r="J152" s="82"/>
      <c r="K152" s="82"/>
      <c r="L152" s="82"/>
      <c r="M152" s="82"/>
      <c r="N152" s="82"/>
      <c r="O152" s="82"/>
      <c r="P152" s="82"/>
      <c r="Q152" s="82"/>
      <c r="R152" s="82"/>
      <c r="S152" s="82"/>
      <c r="T152" s="82"/>
      <c r="U152" s="82"/>
      <c r="V152" s="82"/>
      <c r="W152" s="82"/>
      <c r="X152" s="82"/>
      <c r="Y152" s="82"/>
      <c r="Z152" s="82"/>
      <c r="AA152" s="82"/>
      <c r="AB152" s="82"/>
      <c r="AC152" s="82"/>
      <c r="AD152" s="82"/>
      <c r="AE152" s="82"/>
      <c r="AF152" s="82"/>
      <c r="AG152" s="82"/>
      <c r="AH152" s="82"/>
      <c r="AI152" s="82"/>
      <c r="AJ152" s="82"/>
      <c r="AK152" s="82"/>
      <c r="AL152" s="82"/>
      <c r="AM152" s="82"/>
      <c r="AN152" s="82"/>
      <c r="AO152" s="82"/>
      <c r="AP152" s="82"/>
      <c r="AQ152" s="82"/>
      <c r="AR152" s="82"/>
      <c r="AS152" s="82"/>
      <c r="AT152" s="82"/>
      <c r="AU152" s="82"/>
      <c r="AV152" s="82"/>
      <c r="AW152" s="82"/>
      <c r="AX152" s="82"/>
      <c r="AY152" s="82"/>
      <c r="AZ152" s="82"/>
    </row>
    <row r="153" spans="1:52" hidden="1" x14ac:dyDescent="0.25">
      <c r="A153" s="82"/>
      <c r="B153" s="82"/>
      <c r="C153" s="82"/>
      <c r="D153" s="82"/>
      <c r="E153" s="82"/>
      <c r="F153" s="82"/>
      <c r="G153" s="82"/>
      <c r="H153" s="82"/>
      <c r="I153" s="82"/>
      <c r="J153" s="82"/>
      <c r="K153" s="82"/>
      <c r="L153" s="82"/>
      <c r="M153" s="82"/>
      <c r="N153" s="82"/>
      <c r="O153" s="82"/>
      <c r="P153" s="82"/>
      <c r="Q153" s="82"/>
      <c r="R153" s="82"/>
      <c r="S153" s="82"/>
      <c r="T153" s="82"/>
      <c r="U153" s="82"/>
      <c r="V153" s="82"/>
      <c r="W153" s="82"/>
      <c r="X153" s="82"/>
      <c r="Y153" s="82"/>
      <c r="Z153" s="82"/>
      <c r="AA153" s="82"/>
      <c r="AB153" s="82"/>
      <c r="AC153" s="82"/>
      <c r="AD153" s="82"/>
      <c r="AE153" s="82"/>
      <c r="AF153" s="82"/>
      <c r="AG153" s="82"/>
      <c r="AH153" s="82"/>
      <c r="AI153" s="82"/>
      <c r="AJ153" s="82"/>
      <c r="AK153" s="82"/>
      <c r="AL153" s="82"/>
      <c r="AM153" s="82"/>
      <c r="AN153" s="82"/>
      <c r="AO153" s="82"/>
      <c r="AP153" s="82"/>
      <c r="AQ153" s="82"/>
      <c r="AR153" s="82"/>
      <c r="AS153" s="82"/>
      <c r="AT153" s="82"/>
      <c r="AU153" s="82"/>
      <c r="AV153" s="82"/>
      <c r="AW153" s="82"/>
      <c r="AX153" s="82"/>
      <c r="AY153" s="82"/>
      <c r="AZ153" s="82"/>
    </row>
    <row r="154" spans="1:52" hidden="1" x14ac:dyDescent="0.25">
      <c r="A154" s="82"/>
      <c r="B154" s="82"/>
      <c r="C154" s="82"/>
      <c r="D154" s="82"/>
      <c r="E154" s="82"/>
      <c r="F154" s="82"/>
      <c r="G154" s="82"/>
      <c r="H154" s="82"/>
      <c r="I154" s="82"/>
      <c r="J154" s="82"/>
      <c r="K154" s="82"/>
      <c r="L154" s="82"/>
      <c r="M154" s="82"/>
      <c r="N154" s="82"/>
      <c r="O154" s="82"/>
      <c r="P154" s="82"/>
      <c r="Q154" s="82"/>
      <c r="R154" s="82"/>
      <c r="S154" s="82"/>
      <c r="T154" s="82"/>
      <c r="U154" s="82"/>
      <c r="V154" s="82"/>
      <c r="W154" s="82"/>
      <c r="X154" s="82"/>
      <c r="Y154" s="82"/>
      <c r="Z154" s="82"/>
      <c r="AA154" s="82"/>
      <c r="AB154" s="82"/>
      <c r="AC154" s="82"/>
      <c r="AD154" s="82"/>
      <c r="AE154" s="82"/>
      <c r="AF154" s="82"/>
      <c r="AG154" s="82"/>
      <c r="AH154" s="82"/>
      <c r="AI154" s="82"/>
      <c r="AJ154" s="82"/>
      <c r="AK154" s="82"/>
      <c r="AL154" s="82"/>
      <c r="AM154" s="82"/>
      <c r="AN154" s="82"/>
      <c r="AO154" s="82"/>
      <c r="AP154" s="82"/>
      <c r="AQ154" s="82"/>
      <c r="AR154" s="82"/>
      <c r="AS154" s="82"/>
      <c r="AT154" s="82"/>
      <c r="AU154" s="82"/>
      <c r="AV154" s="82"/>
      <c r="AW154" s="82"/>
      <c r="AX154" s="82"/>
      <c r="AY154" s="82"/>
      <c r="AZ154" s="82"/>
    </row>
    <row r="155" spans="1:52" hidden="1" x14ac:dyDescent="0.25">
      <c r="A155" s="82"/>
      <c r="B155" s="82"/>
      <c r="C155" s="82"/>
      <c r="D155" s="82"/>
      <c r="E155" s="82"/>
      <c r="F155" s="82"/>
      <c r="G155" s="82"/>
      <c r="H155" s="82"/>
      <c r="I155" s="82"/>
      <c r="J155" s="82"/>
      <c r="K155" s="82"/>
      <c r="L155" s="82"/>
      <c r="M155" s="82"/>
      <c r="N155" s="82"/>
      <c r="O155" s="82"/>
      <c r="P155" s="82"/>
      <c r="Q155" s="82"/>
      <c r="R155" s="82"/>
      <c r="S155" s="82"/>
      <c r="T155" s="82"/>
      <c r="U155" s="82"/>
      <c r="V155" s="82"/>
      <c r="W155" s="82"/>
      <c r="X155" s="82"/>
      <c r="Y155" s="82"/>
      <c r="Z155" s="82"/>
      <c r="AA155" s="82"/>
      <c r="AB155" s="82"/>
      <c r="AC155" s="82"/>
      <c r="AD155" s="82"/>
      <c r="AE155" s="82"/>
      <c r="AF155" s="82"/>
      <c r="AG155" s="82"/>
      <c r="AH155" s="82"/>
      <c r="AI155" s="82"/>
      <c r="AJ155" s="82"/>
      <c r="AK155" s="82"/>
      <c r="AL155" s="82"/>
      <c r="AM155" s="82"/>
      <c r="AN155" s="82"/>
      <c r="AO155" s="82"/>
      <c r="AP155" s="82"/>
      <c r="AQ155" s="82"/>
      <c r="AR155" s="82"/>
      <c r="AS155" s="82"/>
      <c r="AT155" s="82"/>
      <c r="AU155" s="82"/>
      <c r="AV155" s="82"/>
      <c r="AW155" s="82"/>
      <c r="AX155" s="82"/>
      <c r="AY155" s="82"/>
      <c r="AZ155" s="82"/>
    </row>
    <row r="156" spans="1:52" hidden="1" x14ac:dyDescent="0.25">
      <c r="A156" s="82"/>
      <c r="B156" s="82"/>
      <c r="C156" s="82"/>
      <c r="D156" s="82"/>
      <c r="E156" s="82"/>
      <c r="F156" s="82"/>
      <c r="G156" s="82"/>
      <c r="H156" s="82"/>
      <c r="I156" s="82"/>
      <c r="J156" s="82"/>
      <c r="K156" s="82"/>
      <c r="L156" s="82"/>
      <c r="M156" s="82"/>
      <c r="N156" s="82"/>
      <c r="O156" s="82"/>
      <c r="P156" s="82"/>
      <c r="Q156" s="82"/>
      <c r="R156" s="82"/>
      <c r="S156" s="82"/>
      <c r="T156" s="82"/>
      <c r="U156" s="82"/>
      <c r="V156" s="82"/>
      <c r="W156" s="82"/>
      <c r="X156" s="82"/>
      <c r="Y156" s="82"/>
      <c r="Z156" s="82"/>
      <c r="AA156" s="82"/>
      <c r="AB156" s="82"/>
      <c r="AC156" s="82"/>
      <c r="AD156" s="82"/>
      <c r="AE156" s="82"/>
      <c r="AF156" s="82"/>
      <c r="AG156" s="82"/>
      <c r="AH156" s="82"/>
      <c r="AI156" s="82"/>
      <c r="AJ156" s="82"/>
      <c r="AK156" s="82"/>
      <c r="AL156" s="82"/>
      <c r="AM156" s="82"/>
      <c r="AN156" s="82"/>
      <c r="AO156" s="82"/>
      <c r="AP156" s="82"/>
      <c r="AQ156" s="82"/>
      <c r="AR156" s="82"/>
      <c r="AS156" s="82"/>
      <c r="AT156" s="82"/>
      <c r="AU156" s="82"/>
      <c r="AV156" s="82"/>
      <c r="AW156" s="82"/>
      <c r="AX156" s="82"/>
      <c r="AY156" s="82"/>
      <c r="AZ156" s="82"/>
    </row>
    <row r="157" spans="1:52" hidden="1" x14ac:dyDescent="0.25">
      <c r="A157" s="82"/>
      <c r="B157" s="82"/>
      <c r="C157" s="82"/>
      <c r="D157" s="82"/>
      <c r="E157" s="82"/>
      <c r="F157" s="82"/>
      <c r="G157" s="82"/>
      <c r="H157" s="82"/>
      <c r="I157" s="82"/>
      <c r="J157" s="82"/>
      <c r="K157" s="82"/>
      <c r="L157" s="82"/>
      <c r="M157" s="82"/>
      <c r="N157" s="82"/>
      <c r="O157" s="82"/>
      <c r="P157" s="82"/>
      <c r="Q157" s="82"/>
      <c r="R157" s="82"/>
      <c r="S157" s="82"/>
      <c r="T157" s="82"/>
      <c r="U157" s="82"/>
      <c r="V157" s="82"/>
      <c r="W157" s="82"/>
      <c r="X157" s="82"/>
      <c r="Y157" s="82"/>
      <c r="Z157" s="82"/>
      <c r="AA157" s="82"/>
      <c r="AB157" s="82"/>
      <c r="AC157" s="82"/>
      <c r="AD157" s="82"/>
      <c r="AE157" s="82"/>
      <c r="AF157" s="82"/>
      <c r="AG157" s="82"/>
      <c r="AH157" s="82"/>
      <c r="AI157" s="82"/>
      <c r="AJ157" s="82"/>
      <c r="AK157" s="82"/>
      <c r="AL157" s="82"/>
      <c r="AM157" s="82"/>
      <c r="AN157" s="82"/>
      <c r="AO157" s="82"/>
      <c r="AP157" s="82"/>
      <c r="AQ157" s="82"/>
      <c r="AR157" s="82"/>
      <c r="AS157" s="82"/>
      <c r="AT157" s="82"/>
      <c r="AU157" s="82"/>
      <c r="AV157" s="82"/>
      <c r="AW157" s="82"/>
      <c r="AX157" s="82"/>
      <c r="AY157" s="82"/>
      <c r="AZ157" s="82"/>
    </row>
    <row r="158" spans="1:52" hidden="1" x14ac:dyDescent="0.25">
      <c r="A158" s="82"/>
      <c r="B158" s="82"/>
      <c r="C158" s="82"/>
      <c r="D158" s="82"/>
      <c r="E158" s="82"/>
      <c r="F158" s="82"/>
      <c r="G158" s="82"/>
      <c r="H158" s="82"/>
      <c r="I158" s="82"/>
      <c r="J158" s="82"/>
      <c r="K158" s="82"/>
      <c r="L158" s="82"/>
      <c r="M158" s="82"/>
      <c r="N158" s="82"/>
      <c r="O158" s="82"/>
      <c r="P158" s="82"/>
      <c r="Q158" s="82"/>
      <c r="R158" s="82"/>
      <c r="S158" s="82"/>
      <c r="T158" s="82"/>
      <c r="U158" s="82"/>
      <c r="V158" s="82"/>
      <c r="W158" s="82"/>
      <c r="X158" s="82"/>
      <c r="Y158" s="82"/>
      <c r="Z158" s="82"/>
      <c r="AA158" s="82"/>
      <c r="AB158" s="82"/>
      <c r="AC158" s="82"/>
      <c r="AD158" s="82"/>
      <c r="AE158" s="82"/>
      <c r="AF158" s="82"/>
      <c r="AG158" s="82"/>
      <c r="AH158" s="82"/>
      <c r="AI158" s="82"/>
      <c r="AJ158" s="82"/>
      <c r="AK158" s="82"/>
      <c r="AL158" s="82"/>
      <c r="AM158" s="82"/>
      <c r="AN158" s="82"/>
      <c r="AO158" s="82"/>
      <c r="AP158" s="82"/>
      <c r="AQ158" s="82"/>
      <c r="AR158" s="82"/>
      <c r="AS158" s="82"/>
      <c r="AT158" s="82"/>
      <c r="AU158" s="82"/>
      <c r="AV158" s="82"/>
      <c r="AW158" s="82"/>
      <c r="AX158" s="82"/>
      <c r="AY158" s="82"/>
      <c r="AZ158" s="82"/>
    </row>
    <row r="159" spans="1:52" hidden="1" x14ac:dyDescent="0.25">
      <c r="A159" s="82"/>
      <c r="B159" s="82"/>
      <c r="C159" s="82"/>
      <c r="D159" s="82"/>
      <c r="E159" s="82"/>
      <c r="F159" s="82"/>
      <c r="G159" s="82"/>
      <c r="H159" s="82"/>
      <c r="I159" s="82"/>
      <c r="J159" s="82"/>
      <c r="K159" s="82"/>
      <c r="L159" s="82"/>
      <c r="M159" s="82"/>
      <c r="N159" s="82"/>
      <c r="O159" s="82"/>
      <c r="P159" s="82"/>
      <c r="Q159" s="82"/>
      <c r="R159" s="82"/>
      <c r="S159" s="82"/>
      <c r="T159" s="82"/>
      <c r="U159" s="82"/>
      <c r="V159" s="82"/>
      <c r="W159" s="82"/>
      <c r="X159" s="82"/>
      <c r="Y159" s="82"/>
      <c r="Z159" s="82"/>
      <c r="AA159" s="82"/>
      <c r="AB159" s="82"/>
      <c r="AC159" s="82"/>
      <c r="AD159" s="82"/>
      <c r="AE159" s="82"/>
      <c r="AF159" s="82"/>
      <c r="AG159" s="82"/>
      <c r="AH159" s="82"/>
      <c r="AI159" s="82"/>
      <c r="AJ159" s="82"/>
      <c r="AK159" s="82"/>
      <c r="AL159" s="82"/>
      <c r="AM159" s="82"/>
      <c r="AN159" s="82"/>
      <c r="AO159" s="82"/>
      <c r="AP159" s="82"/>
      <c r="AQ159" s="82"/>
      <c r="AR159" s="82"/>
      <c r="AS159" s="82"/>
      <c r="AT159" s="82"/>
      <c r="AU159" s="82"/>
      <c r="AV159" s="82"/>
      <c r="AW159" s="82"/>
      <c r="AX159" s="82"/>
      <c r="AY159" s="82"/>
      <c r="AZ159" s="82"/>
    </row>
    <row r="160" spans="1:52" hidden="1" x14ac:dyDescent="0.25">
      <c r="A160" s="82"/>
      <c r="B160" s="82"/>
      <c r="C160" s="82"/>
      <c r="D160" s="82"/>
      <c r="E160" s="82"/>
      <c r="F160" s="82"/>
      <c r="G160" s="82"/>
      <c r="H160" s="82"/>
      <c r="I160" s="82"/>
      <c r="J160" s="82"/>
      <c r="K160" s="82"/>
      <c r="L160" s="82"/>
      <c r="M160" s="82"/>
      <c r="N160" s="82"/>
      <c r="O160" s="82"/>
      <c r="P160" s="82"/>
      <c r="Q160" s="82"/>
      <c r="R160" s="82"/>
      <c r="S160" s="82"/>
      <c r="T160" s="82"/>
      <c r="U160" s="82"/>
      <c r="V160" s="82"/>
      <c r="W160" s="82"/>
      <c r="X160" s="82"/>
      <c r="Y160" s="82"/>
      <c r="Z160" s="82"/>
      <c r="AA160" s="82"/>
      <c r="AB160" s="82"/>
      <c r="AC160" s="82"/>
      <c r="AD160" s="82"/>
      <c r="AE160" s="82"/>
      <c r="AF160" s="82"/>
      <c r="AG160" s="82"/>
      <c r="AH160" s="82"/>
      <c r="AI160" s="82"/>
      <c r="AJ160" s="82"/>
      <c r="AK160" s="82"/>
      <c r="AL160" s="82"/>
      <c r="AM160" s="82"/>
      <c r="AN160" s="82"/>
      <c r="AO160" s="82"/>
      <c r="AP160" s="82"/>
      <c r="AQ160" s="82"/>
      <c r="AR160" s="82"/>
      <c r="AS160" s="82"/>
      <c r="AT160" s="82"/>
      <c r="AU160" s="82"/>
      <c r="AV160" s="82"/>
      <c r="AW160" s="82"/>
      <c r="AX160" s="82"/>
      <c r="AY160" s="82"/>
      <c r="AZ160" s="82"/>
    </row>
    <row r="161" spans="1:52" hidden="1" x14ac:dyDescent="0.25">
      <c r="A161" s="82"/>
      <c r="B161" s="82"/>
      <c r="C161" s="82"/>
      <c r="D161" s="82"/>
      <c r="E161" s="82"/>
      <c r="F161" s="82"/>
      <c r="G161" s="82"/>
      <c r="H161" s="82"/>
      <c r="I161" s="82"/>
      <c r="J161" s="82"/>
      <c r="K161" s="82"/>
      <c r="L161" s="82"/>
      <c r="M161" s="82"/>
      <c r="N161" s="82"/>
      <c r="O161" s="82"/>
      <c r="P161" s="82"/>
      <c r="Q161" s="82"/>
      <c r="R161" s="82"/>
      <c r="S161" s="82"/>
      <c r="T161" s="82"/>
      <c r="U161" s="82"/>
      <c r="V161" s="82"/>
      <c r="W161" s="82"/>
      <c r="X161" s="82"/>
      <c r="Y161" s="82"/>
      <c r="Z161" s="82"/>
      <c r="AA161" s="82"/>
      <c r="AB161" s="82"/>
      <c r="AC161" s="82"/>
      <c r="AD161" s="82"/>
      <c r="AE161" s="82"/>
      <c r="AF161" s="82"/>
      <c r="AG161" s="82"/>
      <c r="AH161" s="82"/>
      <c r="AI161" s="82"/>
      <c r="AJ161" s="82"/>
      <c r="AK161" s="82"/>
      <c r="AL161" s="82"/>
      <c r="AM161" s="82"/>
      <c r="AN161" s="82"/>
      <c r="AO161" s="82"/>
      <c r="AP161" s="82"/>
      <c r="AQ161" s="82"/>
      <c r="AR161" s="82"/>
      <c r="AS161" s="82"/>
      <c r="AT161" s="82"/>
      <c r="AU161" s="82"/>
      <c r="AV161" s="82"/>
      <c r="AW161" s="82"/>
      <c r="AX161" s="82"/>
      <c r="AY161" s="82"/>
      <c r="AZ161" s="82"/>
    </row>
    <row r="162" spans="1:52" hidden="1" x14ac:dyDescent="0.25">
      <c r="A162" s="82"/>
      <c r="B162" s="82"/>
      <c r="C162" s="82"/>
      <c r="D162" s="82"/>
      <c r="E162" s="82"/>
      <c r="F162" s="82"/>
      <c r="G162" s="82"/>
      <c r="H162" s="82"/>
      <c r="I162" s="82"/>
      <c r="J162" s="82"/>
      <c r="K162" s="82"/>
      <c r="L162" s="82"/>
      <c r="M162" s="82"/>
      <c r="N162" s="82"/>
      <c r="O162" s="82"/>
      <c r="P162" s="82"/>
      <c r="Q162" s="82"/>
      <c r="R162" s="82"/>
      <c r="S162" s="82"/>
      <c r="T162" s="82"/>
      <c r="U162" s="82"/>
      <c r="V162" s="82"/>
      <c r="W162" s="82"/>
      <c r="X162" s="82"/>
      <c r="Y162" s="82"/>
      <c r="Z162" s="82"/>
      <c r="AA162" s="82"/>
      <c r="AB162" s="82"/>
      <c r="AC162" s="82"/>
      <c r="AD162" s="82"/>
      <c r="AE162" s="82"/>
      <c r="AF162" s="82"/>
      <c r="AG162" s="82"/>
      <c r="AH162" s="82"/>
      <c r="AI162" s="82"/>
      <c r="AJ162" s="82"/>
      <c r="AK162" s="82"/>
      <c r="AL162" s="82"/>
      <c r="AM162" s="82"/>
      <c r="AN162" s="82"/>
      <c r="AO162" s="82"/>
      <c r="AP162" s="82"/>
      <c r="AQ162" s="82"/>
      <c r="AR162" s="82"/>
      <c r="AS162" s="82"/>
      <c r="AT162" s="82"/>
      <c r="AU162" s="82"/>
      <c r="AV162" s="82"/>
      <c r="AW162" s="82"/>
      <c r="AX162" s="82"/>
      <c r="AY162" s="82"/>
      <c r="AZ162" s="82"/>
    </row>
    <row r="163" spans="1:52" hidden="1" x14ac:dyDescent="0.25">
      <c r="A163" s="82"/>
      <c r="B163" s="82"/>
      <c r="C163" s="82"/>
      <c r="D163" s="82"/>
      <c r="E163" s="82"/>
      <c r="F163" s="82"/>
      <c r="G163" s="82"/>
      <c r="H163" s="82"/>
      <c r="I163" s="82"/>
      <c r="J163" s="82"/>
      <c r="K163" s="82"/>
      <c r="L163" s="82"/>
      <c r="M163" s="82"/>
      <c r="N163" s="82"/>
      <c r="O163" s="82"/>
      <c r="P163" s="82"/>
      <c r="Q163" s="82"/>
      <c r="R163" s="82"/>
      <c r="S163" s="82"/>
      <c r="T163" s="82"/>
      <c r="U163" s="82"/>
      <c r="V163" s="82"/>
      <c r="W163" s="82"/>
      <c r="X163" s="82"/>
      <c r="Y163" s="82"/>
      <c r="Z163" s="82"/>
      <c r="AA163" s="82"/>
      <c r="AB163" s="82"/>
      <c r="AC163" s="82"/>
      <c r="AD163" s="82"/>
      <c r="AE163" s="82"/>
      <c r="AF163" s="82"/>
      <c r="AG163" s="82"/>
      <c r="AH163" s="82"/>
      <c r="AI163" s="82"/>
      <c r="AJ163" s="82"/>
      <c r="AK163" s="82"/>
      <c r="AL163" s="82"/>
      <c r="AM163" s="82"/>
      <c r="AN163" s="82"/>
      <c r="AO163" s="82"/>
      <c r="AP163" s="82"/>
      <c r="AQ163" s="82"/>
      <c r="AR163" s="82"/>
      <c r="AS163" s="82"/>
      <c r="AT163" s="82"/>
      <c r="AU163" s="82"/>
      <c r="AV163" s="82"/>
      <c r="AW163" s="82"/>
      <c r="AX163" s="82"/>
      <c r="AY163" s="82"/>
      <c r="AZ163" s="82"/>
    </row>
    <row r="164" spans="1:52" hidden="1" x14ac:dyDescent="0.25">
      <c r="A164" s="82"/>
      <c r="B164" s="82"/>
      <c r="C164" s="82"/>
      <c r="D164" s="82"/>
      <c r="E164" s="82"/>
      <c r="F164" s="82"/>
      <c r="G164" s="82"/>
      <c r="H164" s="82"/>
      <c r="I164" s="82"/>
      <c r="J164" s="82"/>
      <c r="K164" s="82"/>
      <c r="L164" s="82"/>
      <c r="M164" s="82"/>
      <c r="N164" s="82"/>
      <c r="O164" s="82"/>
      <c r="P164" s="82"/>
      <c r="Q164" s="82"/>
      <c r="R164" s="82"/>
      <c r="S164" s="82"/>
      <c r="T164" s="82"/>
      <c r="U164" s="82"/>
      <c r="V164" s="82"/>
      <c r="W164" s="82"/>
      <c r="X164" s="82"/>
      <c r="Y164" s="82"/>
      <c r="Z164" s="82"/>
      <c r="AA164" s="82"/>
      <c r="AB164" s="82"/>
      <c r="AC164" s="82"/>
      <c r="AD164" s="82"/>
      <c r="AE164" s="82"/>
      <c r="AF164" s="82"/>
      <c r="AG164" s="82"/>
      <c r="AH164" s="82"/>
      <c r="AI164" s="82"/>
      <c r="AJ164" s="82"/>
      <c r="AK164" s="82"/>
      <c r="AL164" s="82"/>
      <c r="AM164" s="82"/>
      <c r="AN164" s="82"/>
      <c r="AO164" s="82"/>
      <c r="AP164" s="82"/>
      <c r="AQ164" s="82"/>
      <c r="AR164" s="82"/>
      <c r="AS164" s="82"/>
      <c r="AT164" s="82"/>
      <c r="AU164" s="82"/>
      <c r="AV164" s="82"/>
      <c r="AW164" s="82"/>
      <c r="AX164" s="82"/>
      <c r="AY164" s="82"/>
      <c r="AZ164" s="82"/>
    </row>
    <row r="165" spans="1:52" hidden="1" x14ac:dyDescent="0.25">
      <c r="A165" s="82"/>
      <c r="B165" s="82"/>
      <c r="C165" s="82"/>
      <c r="D165" s="82"/>
      <c r="E165" s="82"/>
      <c r="F165" s="82"/>
      <c r="G165" s="82"/>
      <c r="H165" s="82"/>
      <c r="I165" s="82"/>
      <c r="J165" s="82"/>
      <c r="K165" s="82"/>
      <c r="L165" s="82"/>
      <c r="M165" s="82"/>
      <c r="N165" s="82"/>
      <c r="O165" s="82"/>
      <c r="P165" s="82"/>
      <c r="Q165" s="82"/>
      <c r="R165" s="82"/>
      <c r="S165" s="82"/>
      <c r="T165" s="82"/>
      <c r="U165" s="82"/>
      <c r="V165" s="82"/>
      <c r="W165" s="82"/>
      <c r="X165" s="82"/>
      <c r="Y165" s="82"/>
      <c r="Z165" s="82"/>
      <c r="AA165" s="82"/>
      <c r="AB165" s="82"/>
      <c r="AC165" s="82"/>
      <c r="AD165" s="82"/>
      <c r="AE165" s="82"/>
      <c r="AF165" s="82"/>
      <c r="AG165" s="82"/>
      <c r="AH165" s="82"/>
      <c r="AI165" s="82"/>
      <c r="AJ165" s="82"/>
      <c r="AK165" s="82"/>
      <c r="AL165" s="82"/>
      <c r="AM165" s="82"/>
      <c r="AN165" s="82"/>
      <c r="AO165" s="82"/>
      <c r="AP165" s="82"/>
      <c r="AQ165" s="82"/>
      <c r="AR165" s="82"/>
      <c r="AS165" s="82"/>
      <c r="AT165" s="82"/>
      <c r="AU165" s="82"/>
      <c r="AV165" s="82"/>
      <c r="AW165" s="82"/>
      <c r="AX165" s="82"/>
      <c r="AY165" s="82"/>
      <c r="AZ165" s="82"/>
    </row>
    <row r="166" spans="1:52" hidden="1" x14ac:dyDescent="0.25">
      <c r="A166" s="82"/>
      <c r="B166" s="82"/>
      <c r="C166" s="82"/>
      <c r="D166" s="82"/>
      <c r="E166" s="82"/>
      <c r="F166" s="82"/>
      <c r="G166" s="82"/>
      <c r="H166" s="82"/>
      <c r="I166" s="82"/>
      <c r="J166" s="82"/>
      <c r="K166" s="82"/>
      <c r="L166" s="82"/>
      <c r="M166" s="82"/>
      <c r="N166" s="82"/>
      <c r="O166" s="82"/>
      <c r="P166" s="82"/>
      <c r="Q166" s="82"/>
      <c r="R166" s="82"/>
      <c r="S166" s="82"/>
      <c r="T166" s="82"/>
      <c r="U166" s="82"/>
      <c r="V166" s="82"/>
      <c r="W166" s="82"/>
      <c r="X166" s="82"/>
      <c r="Y166" s="82"/>
      <c r="Z166" s="82"/>
      <c r="AA166" s="82"/>
      <c r="AB166" s="82"/>
      <c r="AC166" s="82"/>
      <c r="AD166" s="82"/>
      <c r="AE166" s="82"/>
      <c r="AF166" s="82"/>
      <c r="AG166" s="82"/>
      <c r="AH166" s="82"/>
      <c r="AI166" s="82"/>
      <c r="AJ166" s="82"/>
      <c r="AK166" s="82"/>
      <c r="AL166" s="82"/>
      <c r="AM166" s="82"/>
      <c r="AN166" s="82"/>
      <c r="AO166" s="82"/>
      <c r="AP166" s="82"/>
      <c r="AQ166" s="82"/>
      <c r="AR166" s="82"/>
      <c r="AS166" s="82"/>
      <c r="AT166" s="82"/>
      <c r="AU166" s="82"/>
      <c r="AV166" s="82"/>
      <c r="AW166" s="82"/>
      <c r="AX166" s="82"/>
      <c r="AY166" s="82"/>
      <c r="AZ166" s="82"/>
    </row>
    <row r="167" spans="1:52" hidden="1" x14ac:dyDescent="0.25">
      <c r="A167" s="82"/>
      <c r="B167" s="82"/>
      <c r="C167" s="82"/>
      <c r="D167" s="82"/>
      <c r="E167" s="82"/>
      <c r="F167" s="82"/>
      <c r="G167" s="82"/>
      <c r="H167" s="82"/>
      <c r="I167" s="82"/>
      <c r="J167" s="82"/>
      <c r="K167" s="82"/>
      <c r="L167" s="82"/>
      <c r="M167" s="82"/>
      <c r="N167" s="82"/>
      <c r="O167" s="82"/>
      <c r="P167" s="82"/>
      <c r="Q167" s="82"/>
      <c r="R167" s="82"/>
      <c r="S167" s="82"/>
      <c r="T167" s="82"/>
      <c r="U167" s="82"/>
      <c r="V167" s="82"/>
      <c r="W167" s="82"/>
      <c r="X167" s="82"/>
      <c r="Y167" s="82"/>
      <c r="Z167" s="82"/>
      <c r="AA167" s="82"/>
      <c r="AB167" s="82"/>
      <c r="AC167" s="82"/>
      <c r="AD167" s="82"/>
      <c r="AE167" s="82"/>
      <c r="AF167" s="82"/>
      <c r="AG167" s="82"/>
      <c r="AH167" s="82"/>
      <c r="AI167" s="82"/>
      <c r="AJ167" s="82"/>
      <c r="AK167" s="82"/>
      <c r="AL167" s="82"/>
      <c r="AM167" s="82"/>
      <c r="AN167" s="82"/>
      <c r="AO167" s="82"/>
      <c r="AP167" s="82"/>
      <c r="AQ167" s="82"/>
      <c r="AR167" s="82"/>
      <c r="AS167" s="82"/>
      <c r="AT167" s="82"/>
      <c r="AU167" s="82"/>
      <c r="AV167" s="82"/>
      <c r="AW167" s="82"/>
      <c r="AX167" s="82"/>
      <c r="AY167" s="82"/>
      <c r="AZ167" s="82"/>
    </row>
    <row r="168" spans="1:52" hidden="1" x14ac:dyDescent="0.25">
      <c r="A168" s="82"/>
      <c r="B168" s="82"/>
      <c r="C168" s="82"/>
      <c r="D168" s="82"/>
      <c r="E168" s="82"/>
      <c r="F168" s="82"/>
      <c r="G168" s="82"/>
      <c r="H168" s="82"/>
      <c r="I168" s="82"/>
      <c r="J168" s="82"/>
      <c r="K168" s="82"/>
      <c r="L168" s="82"/>
      <c r="M168" s="82"/>
      <c r="N168" s="82"/>
      <c r="O168" s="82"/>
      <c r="P168" s="82"/>
      <c r="Q168" s="82"/>
      <c r="R168" s="82"/>
      <c r="S168" s="82"/>
      <c r="T168" s="82"/>
      <c r="U168" s="82"/>
      <c r="V168" s="82"/>
      <c r="W168" s="82"/>
      <c r="X168" s="82"/>
      <c r="Y168" s="82"/>
      <c r="Z168" s="82"/>
      <c r="AA168" s="82"/>
      <c r="AB168" s="82"/>
      <c r="AC168" s="82"/>
      <c r="AD168" s="82"/>
      <c r="AE168" s="82"/>
      <c r="AF168" s="82"/>
      <c r="AG168" s="82"/>
      <c r="AH168" s="82"/>
      <c r="AI168" s="82"/>
      <c r="AJ168" s="82"/>
      <c r="AK168" s="82"/>
      <c r="AL168" s="82"/>
      <c r="AM168" s="82"/>
      <c r="AN168" s="82"/>
      <c r="AO168" s="82"/>
      <c r="AP168" s="82"/>
      <c r="AQ168" s="82"/>
      <c r="AR168" s="82"/>
      <c r="AS168" s="82"/>
      <c r="AT168" s="82"/>
      <c r="AU168" s="82"/>
      <c r="AV168" s="82"/>
      <c r="AW168" s="82"/>
      <c r="AX168" s="82"/>
      <c r="AY168" s="82"/>
      <c r="AZ168" s="82"/>
    </row>
    <row r="169" spans="1:52" hidden="1" x14ac:dyDescent="0.25">
      <c r="A169" s="82"/>
      <c r="B169" s="82"/>
      <c r="C169" s="82"/>
      <c r="D169" s="82"/>
      <c r="E169" s="82"/>
      <c r="F169" s="82"/>
      <c r="G169" s="82"/>
      <c r="H169" s="82"/>
      <c r="I169" s="82"/>
      <c r="J169" s="82"/>
      <c r="K169" s="82"/>
      <c r="L169" s="82"/>
      <c r="M169" s="82"/>
      <c r="N169" s="82"/>
      <c r="O169" s="82"/>
      <c r="P169" s="82"/>
      <c r="Q169" s="82"/>
      <c r="R169" s="82"/>
      <c r="S169" s="82"/>
      <c r="T169" s="82"/>
      <c r="U169" s="82"/>
      <c r="V169" s="82"/>
      <c r="W169" s="82"/>
      <c r="X169" s="82"/>
      <c r="Y169" s="82"/>
      <c r="Z169" s="82"/>
      <c r="AA169" s="82"/>
      <c r="AB169" s="82"/>
      <c r="AC169" s="82"/>
      <c r="AD169" s="82"/>
      <c r="AE169" s="82"/>
      <c r="AF169" s="82"/>
      <c r="AG169" s="82"/>
      <c r="AH169" s="82"/>
      <c r="AI169" s="82"/>
      <c r="AJ169" s="82"/>
      <c r="AK169" s="82"/>
      <c r="AL169" s="82"/>
      <c r="AM169" s="82"/>
      <c r="AN169" s="82"/>
      <c r="AO169" s="82"/>
      <c r="AP169" s="82"/>
      <c r="AQ169" s="82"/>
      <c r="AR169" s="82"/>
      <c r="AS169" s="82"/>
      <c r="AT169" s="82"/>
      <c r="AU169" s="82"/>
      <c r="AV169" s="82"/>
      <c r="AW169" s="82"/>
      <c r="AX169" s="82"/>
      <c r="AY169" s="82"/>
      <c r="AZ169" s="82"/>
    </row>
    <row r="170" spans="1:52" hidden="1" x14ac:dyDescent="0.25">
      <c r="A170" s="82"/>
      <c r="B170" s="82"/>
      <c r="C170" s="82"/>
      <c r="D170" s="82"/>
      <c r="E170" s="82"/>
      <c r="F170" s="82"/>
      <c r="G170" s="82"/>
      <c r="H170" s="82"/>
      <c r="I170" s="82"/>
      <c r="J170" s="82"/>
      <c r="K170" s="82"/>
      <c r="L170" s="82"/>
      <c r="M170" s="82"/>
      <c r="N170" s="82"/>
      <c r="O170" s="82"/>
      <c r="P170" s="82"/>
      <c r="Q170" s="82"/>
      <c r="R170" s="82"/>
      <c r="S170" s="82"/>
      <c r="T170" s="82"/>
      <c r="U170" s="82"/>
      <c r="V170" s="82"/>
      <c r="W170" s="82"/>
      <c r="X170" s="82"/>
      <c r="Y170" s="82"/>
      <c r="Z170" s="82"/>
      <c r="AA170" s="82"/>
      <c r="AB170" s="82"/>
      <c r="AC170" s="82"/>
      <c r="AD170" s="82"/>
      <c r="AE170" s="82"/>
      <c r="AF170" s="82"/>
      <c r="AG170" s="82"/>
      <c r="AH170" s="82"/>
      <c r="AI170" s="82"/>
      <c r="AJ170" s="82"/>
      <c r="AK170" s="82"/>
      <c r="AL170" s="82"/>
      <c r="AM170" s="82"/>
      <c r="AN170" s="82"/>
      <c r="AO170" s="82"/>
      <c r="AP170" s="82"/>
      <c r="AQ170" s="82"/>
      <c r="AR170" s="82"/>
      <c r="AS170" s="82"/>
      <c r="AT170" s="82"/>
      <c r="AU170" s="82"/>
      <c r="AV170" s="82"/>
      <c r="AW170" s="82"/>
      <c r="AX170" s="82"/>
      <c r="AY170" s="82"/>
      <c r="AZ170" s="82"/>
    </row>
    <row r="171" spans="1:52" hidden="1" x14ac:dyDescent="0.25">
      <c r="A171" s="82"/>
      <c r="B171" s="82"/>
      <c r="C171" s="82"/>
      <c r="D171" s="82"/>
      <c r="E171" s="82"/>
      <c r="F171" s="82"/>
      <c r="G171" s="82"/>
      <c r="H171" s="82"/>
      <c r="I171" s="82"/>
      <c r="J171" s="82"/>
      <c r="K171" s="82"/>
      <c r="L171" s="82"/>
      <c r="M171" s="82"/>
      <c r="N171" s="82"/>
      <c r="O171" s="82"/>
      <c r="P171" s="82"/>
      <c r="Q171" s="82"/>
      <c r="R171" s="82"/>
      <c r="S171" s="82"/>
      <c r="T171" s="82"/>
      <c r="U171" s="82"/>
      <c r="V171" s="82"/>
      <c r="W171" s="82"/>
      <c r="X171" s="82"/>
      <c r="Y171" s="82"/>
      <c r="Z171" s="82"/>
      <c r="AA171" s="82"/>
      <c r="AB171" s="82"/>
      <c r="AC171" s="82"/>
      <c r="AD171" s="82"/>
      <c r="AE171" s="82"/>
      <c r="AF171" s="82"/>
      <c r="AG171" s="82"/>
      <c r="AH171" s="82"/>
      <c r="AI171" s="82"/>
      <c r="AJ171" s="82"/>
      <c r="AK171" s="82"/>
      <c r="AL171" s="82"/>
      <c r="AM171" s="82"/>
      <c r="AN171" s="82"/>
      <c r="AO171" s="82"/>
      <c r="AP171" s="82"/>
      <c r="AQ171" s="82"/>
      <c r="AR171" s="82"/>
      <c r="AS171" s="82"/>
      <c r="AT171" s="82"/>
      <c r="AU171" s="82"/>
      <c r="AV171" s="82"/>
      <c r="AW171" s="82"/>
      <c r="AX171" s="82"/>
      <c r="AY171" s="82"/>
      <c r="AZ171" s="82"/>
    </row>
    <row r="172" spans="1:52" hidden="1" x14ac:dyDescent="0.25">
      <c r="A172" s="82"/>
      <c r="B172" s="82"/>
      <c r="C172" s="82"/>
      <c r="D172" s="82"/>
      <c r="E172" s="82"/>
      <c r="F172" s="82"/>
      <c r="G172" s="82"/>
      <c r="H172" s="82"/>
      <c r="I172" s="82"/>
      <c r="J172" s="82"/>
      <c r="K172" s="82"/>
      <c r="L172" s="82"/>
      <c r="M172" s="82"/>
      <c r="N172" s="82"/>
      <c r="O172" s="82"/>
      <c r="P172" s="82"/>
      <c r="Q172" s="82"/>
      <c r="R172" s="82"/>
      <c r="S172" s="82"/>
      <c r="T172" s="82"/>
      <c r="U172" s="82"/>
      <c r="V172" s="82"/>
      <c r="W172" s="82"/>
      <c r="X172" s="82"/>
      <c r="Y172" s="82"/>
      <c r="Z172" s="82"/>
      <c r="AA172" s="82"/>
      <c r="AB172" s="82"/>
      <c r="AC172" s="82"/>
      <c r="AD172" s="82"/>
      <c r="AE172" s="82"/>
      <c r="AF172" s="82"/>
      <c r="AG172" s="82"/>
      <c r="AH172" s="82"/>
      <c r="AI172" s="82"/>
      <c r="AJ172" s="82"/>
      <c r="AK172" s="82"/>
      <c r="AL172" s="82"/>
      <c r="AM172" s="82"/>
      <c r="AN172" s="82"/>
      <c r="AO172" s="82"/>
      <c r="AP172" s="82"/>
      <c r="AQ172" s="82"/>
      <c r="AR172" s="82"/>
      <c r="AS172" s="82"/>
      <c r="AT172" s="82"/>
      <c r="AU172" s="82"/>
      <c r="AV172" s="82"/>
      <c r="AW172" s="82"/>
      <c r="AX172" s="82"/>
      <c r="AY172" s="82"/>
      <c r="AZ172" s="82"/>
    </row>
    <row r="173" spans="1:52" hidden="1" x14ac:dyDescent="0.25">
      <c r="A173" s="82"/>
      <c r="B173" s="82"/>
      <c r="C173" s="82"/>
      <c r="D173" s="82"/>
      <c r="E173" s="82"/>
      <c r="F173" s="82"/>
      <c r="G173" s="82"/>
      <c r="H173" s="82"/>
      <c r="I173" s="82"/>
      <c r="J173" s="82"/>
      <c r="K173" s="82"/>
      <c r="L173" s="82"/>
      <c r="M173" s="82"/>
      <c r="N173" s="82"/>
      <c r="O173" s="82"/>
      <c r="P173" s="82"/>
      <c r="Q173" s="82"/>
      <c r="R173" s="82"/>
      <c r="S173" s="82"/>
      <c r="T173" s="82"/>
      <c r="U173" s="82"/>
      <c r="V173" s="82"/>
      <c r="W173" s="82"/>
      <c r="X173" s="82"/>
      <c r="Y173" s="82"/>
      <c r="Z173" s="82"/>
      <c r="AA173" s="82"/>
      <c r="AB173" s="82"/>
      <c r="AC173" s="82"/>
      <c r="AD173" s="82"/>
      <c r="AE173" s="82"/>
      <c r="AF173" s="82"/>
      <c r="AG173" s="82"/>
      <c r="AH173" s="82"/>
      <c r="AI173" s="82"/>
      <c r="AJ173" s="82"/>
      <c r="AK173" s="82"/>
      <c r="AL173" s="82"/>
      <c r="AM173" s="82"/>
      <c r="AN173" s="82"/>
      <c r="AO173" s="82"/>
      <c r="AP173" s="82"/>
      <c r="AQ173" s="82"/>
      <c r="AR173" s="82"/>
      <c r="AS173" s="82"/>
      <c r="AT173" s="82"/>
      <c r="AU173" s="82"/>
      <c r="AV173" s="82"/>
      <c r="AW173" s="82"/>
      <c r="AX173" s="82"/>
      <c r="AY173" s="82"/>
      <c r="AZ173" s="82"/>
    </row>
    <row r="174" spans="1:52" hidden="1" x14ac:dyDescent="0.25">
      <c r="A174" s="82"/>
      <c r="B174" s="82"/>
      <c r="C174" s="82"/>
      <c r="D174" s="82"/>
      <c r="E174" s="82"/>
      <c r="F174" s="82"/>
      <c r="G174" s="82"/>
      <c r="H174" s="82"/>
      <c r="I174" s="82"/>
      <c r="J174" s="82"/>
      <c r="K174" s="82"/>
      <c r="L174" s="82"/>
      <c r="M174" s="82"/>
      <c r="N174" s="82"/>
      <c r="O174" s="82"/>
      <c r="P174" s="82"/>
      <c r="Q174" s="82"/>
      <c r="R174" s="82"/>
      <c r="S174" s="82"/>
      <c r="T174" s="82"/>
      <c r="U174" s="82"/>
      <c r="V174" s="82"/>
      <c r="W174" s="82"/>
      <c r="X174" s="82"/>
      <c r="Y174" s="82"/>
      <c r="Z174" s="82"/>
      <c r="AA174" s="82"/>
      <c r="AB174" s="82"/>
      <c r="AC174" s="82"/>
      <c r="AD174" s="82"/>
      <c r="AE174" s="82"/>
      <c r="AF174" s="82"/>
      <c r="AG174" s="82"/>
      <c r="AH174" s="82"/>
      <c r="AI174" s="82"/>
      <c r="AJ174" s="82"/>
      <c r="AK174" s="82"/>
      <c r="AL174" s="82"/>
      <c r="AM174" s="82"/>
      <c r="AN174" s="82"/>
      <c r="AO174" s="82"/>
      <c r="AP174" s="82"/>
      <c r="AQ174" s="82"/>
      <c r="AR174" s="82"/>
      <c r="AS174" s="82"/>
      <c r="AT174" s="82"/>
      <c r="AU174" s="82"/>
      <c r="AV174" s="82"/>
      <c r="AW174" s="82"/>
      <c r="AX174" s="82"/>
      <c r="AY174" s="82"/>
      <c r="AZ174" s="82"/>
    </row>
    <row r="175" spans="1:52" hidden="1" x14ac:dyDescent="0.25">
      <c r="A175" s="82"/>
      <c r="B175" s="82"/>
      <c r="C175" s="82"/>
      <c r="D175" s="82"/>
      <c r="E175" s="82"/>
      <c r="F175" s="82"/>
      <c r="G175" s="82"/>
      <c r="H175" s="82"/>
      <c r="I175" s="82"/>
      <c r="J175" s="82"/>
      <c r="K175" s="82"/>
      <c r="L175" s="82"/>
      <c r="M175" s="82"/>
      <c r="N175" s="82"/>
      <c r="O175" s="82"/>
      <c r="P175" s="82"/>
      <c r="Q175" s="82"/>
      <c r="R175" s="82"/>
      <c r="S175" s="82"/>
      <c r="T175" s="82"/>
      <c r="U175" s="82"/>
      <c r="V175" s="82"/>
      <c r="W175" s="82"/>
      <c r="X175" s="82"/>
      <c r="Y175" s="82"/>
      <c r="Z175" s="82"/>
      <c r="AA175" s="82"/>
      <c r="AB175" s="82"/>
      <c r="AC175" s="82"/>
      <c r="AD175" s="82"/>
      <c r="AE175" s="82"/>
      <c r="AF175" s="82"/>
      <c r="AG175" s="82"/>
      <c r="AH175" s="82"/>
      <c r="AI175" s="82"/>
      <c r="AJ175" s="82"/>
      <c r="AK175" s="82"/>
      <c r="AL175" s="82"/>
      <c r="AM175" s="82"/>
      <c r="AN175" s="82"/>
      <c r="AO175" s="82"/>
      <c r="AP175" s="82"/>
      <c r="AQ175" s="82"/>
      <c r="AR175" s="82"/>
      <c r="AS175" s="82"/>
      <c r="AT175" s="82"/>
      <c r="AU175" s="82"/>
      <c r="AV175" s="82"/>
      <c r="AW175" s="82"/>
      <c r="AX175" s="82"/>
      <c r="AY175" s="82"/>
      <c r="AZ175" s="82"/>
    </row>
    <row r="176" spans="1:52" hidden="1" x14ac:dyDescent="0.25">
      <c r="A176" s="82"/>
      <c r="B176" s="82"/>
      <c r="C176" s="82"/>
      <c r="D176" s="82"/>
      <c r="E176" s="82"/>
      <c r="F176" s="82"/>
      <c r="G176" s="82"/>
      <c r="H176" s="82"/>
      <c r="I176" s="82"/>
      <c r="J176" s="82"/>
      <c r="K176" s="82"/>
      <c r="L176" s="82"/>
      <c r="M176" s="82"/>
      <c r="N176" s="82"/>
      <c r="O176" s="82"/>
      <c r="P176" s="82"/>
      <c r="Q176" s="82"/>
      <c r="R176" s="82"/>
      <c r="S176" s="82"/>
      <c r="T176" s="82"/>
      <c r="U176" s="82"/>
      <c r="V176" s="82"/>
      <c r="W176" s="82"/>
      <c r="X176" s="82"/>
      <c r="Y176" s="82"/>
      <c r="Z176" s="82"/>
      <c r="AA176" s="82"/>
      <c r="AB176" s="82"/>
      <c r="AC176" s="82"/>
      <c r="AD176" s="82"/>
      <c r="AE176" s="82"/>
      <c r="AF176" s="82"/>
      <c r="AG176" s="82"/>
      <c r="AH176" s="82"/>
      <c r="AI176" s="82"/>
      <c r="AJ176" s="82"/>
      <c r="AK176" s="82"/>
      <c r="AL176" s="82"/>
      <c r="AM176" s="82"/>
      <c r="AN176" s="82"/>
      <c r="AO176" s="82"/>
      <c r="AP176" s="82"/>
      <c r="AQ176" s="82"/>
      <c r="AR176" s="82"/>
      <c r="AS176" s="82"/>
      <c r="AT176" s="82"/>
      <c r="AU176" s="82"/>
      <c r="AV176" s="82"/>
      <c r="AW176" s="82"/>
      <c r="AX176" s="82"/>
      <c r="AY176" s="82"/>
      <c r="AZ176" s="82"/>
    </row>
    <row r="177" spans="1:52" hidden="1" x14ac:dyDescent="0.25">
      <c r="A177" s="82"/>
      <c r="B177" s="82"/>
      <c r="C177" s="82"/>
      <c r="D177" s="82"/>
      <c r="E177" s="82"/>
      <c r="F177" s="82"/>
      <c r="G177" s="82"/>
      <c r="H177" s="82"/>
      <c r="I177" s="82"/>
      <c r="J177" s="82"/>
      <c r="K177" s="82"/>
      <c r="L177" s="82"/>
      <c r="M177" s="82"/>
      <c r="N177" s="82"/>
      <c r="O177" s="82"/>
      <c r="P177" s="82"/>
      <c r="Q177" s="82"/>
      <c r="R177" s="82"/>
      <c r="S177" s="82"/>
      <c r="T177" s="82"/>
      <c r="U177" s="82"/>
      <c r="V177" s="82"/>
      <c r="W177" s="82"/>
      <c r="X177" s="82"/>
      <c r="Y177" s="82"/>
      <c r="Z177" s="82"/>
      <c r="AA177" s="82"/>
      <c r="AB177" s="82"/>
      <c r="AC177" s="82"/>
      <c r="AD177" s="82"/>
      <c r="AE177" s="82"/>
      <c r="AF177" s="82"/>
      <c r="AG177" s="82"/>
      <c r="AH177" s="82"/>
      <c r="AI177" s="82"/>
      <c r="AJ177" s="82"/>
      <c r="AK177" s="82"/>
      <c r="AL177" s="82"/>
      <c r="AM177" s="82"/>
      <c r="AN177" s="82"/>
      <c r="AO177" s="82"/>
      <c r="AP177" s="82"/>
      <c r="AQ177" s="82"/>
      <c r="AR177" s="82"/>
      <c r="AS177" s="82"/>
      <c r="AT177" s="82"/>
      <c r="AU177" s="82"/>
      <c r="AV177" s="82"/>
      <c r="AW177" s="82"/>
      <c r="AX177" s="82"/>
      <c r="AY177" s="82"/>
      <c r="AZ177" s="82"/>
    </row>
    <row r="178" spans="1:52" hidden="1" x14ac:dyDescent="0.25">
      <c r="A178" s="82"/>
      <c r="B178" s="82"/>
      <c r="C178" s="82"/>
      <c r="D178" s="82"/>
      <c r="E178" s="82"/>
      <c r="F178" s="82"/>
      <c r="G178" s="82"/>
      <c r="H178" s="82"/>
      <c r="I178" s="82"/>
      <c r="J178" s="82"/>
      <c r="K178" s="82"/>
      <c r="L178" s="82"/>
      <c r="M178" s="82"/>
      <c r="N178" s="82"/>
      <c r="O178" s="82"/>
      <c r="P178" s="82"/>
      <c r="Q178" s="82"/>
      <c r="R178" s="82"/>
      <c r="S178" s="82"/>
      <c r="T178" s="82"/>
      <c r="U178" s="82"/>
      <c r="V178" s="82"/>
      <c r="W178" s="82"/>
      <c r="X178" s="82"/>
      <c r="Y178" s="82"/>
      <c r="Z178" s="82"/>
      <c r="AA178" s="82"/>
      <c r="AB178" s="82"/>
      <c r="AC178" s="82"/>
      <c r="AD178" s="82"/>
      <c r="AE178" s="82"/>
      <c r="AF178" s="82"/>
      <c r="AG178" s="82"/>
      <c r="AH178" s="82"/>
      <c r="AI178" s="82"/>
      <c r="AJ178" s="82"/>
      <c r="AK178" s="82"/>
      <c r="AL178" s="82"/>
      <c r="AM178" s="82"/>
      <c r="AN178" s="82"/>
      <c r="AO178" s="82"/>
      <c r="AP178" s="82"/>
      <c r="AQ178" s="82"/>
      <c r="AR178" s="82"/>
      <c r="AS178" s="82"/>
      <c r="AT178" s="82"/>
      <c r="AU178" s="82"/>
      <c r="AV178" s="82"/>
      <c r="AW178" s="82"/>
      <c r="AX178" s="82"/>
      <c r="AY178" s="82"/>
      <c r="AZ178" s="82"/>
    </row>
    <row r="179" spans="1:52" hidden="1" x14ac:dyDescent="0.25">
      <c r="A179" s="82"/>
      <c r="B179" s="82"/>
      <c r="C179" s="82"/>
      <c r="D179" s="82"/>
      <c r="E179" s="82"/>
      <c r="F179" s="82"/>
      <c r="G179" s="82"/>
      <c r="H179" s="82"/>
      <c r="I179" s="82"/>
      <c r="J179" s="82"/>
      <c r="K179" s="82"/>
      <c r="L179" s="82"/>
      <c r="M179" s="82"/>
      <c r="N179" s="82"/>
      <c r="O179" s="82"/>
      <c r="P179" s="82"/>
      <c r="Q179" s="82"/>
      <c r="R179" s="82"/>
      <c r="S179" s="82"/>
      <c r="T179" s="82"/>
      <c r="U179" s="82"/>
      <c r="V179" s="82"/>
      <c r="W179" s="82"/>
      <c r="X179" s="82"/>
      <c r="Y179" s="82"/>
      <c r="Z179" s="82"/>
      <c r="AA179" s="82"/>
      <c r="AB179" s="82"/>
      <c r="AC179" s="82"/>
      <c r="AD179" s="82"/>
      <c r="AE179" s="82"/>
      <c r="AF179" s="82"/>
      <c r="AG179" s="82"/>
      <c r="AH179" s="82"/>
      <c r="AI179" s="82"/>
      <c r="AJ179" s="82"/>
      <c r="AK179" s="82"/>
      <c r="AL179" s="82"/>
      <c r="AM179" s="82"/>
      <c r="AN179" s="82"/>
      <c r="AO179" s="82"/>
      <c r="AP179" s="82"/>
      <c r="AQ179" s="82"/>
      <c r="AR179" s="82"/>
      <c r="AS179" s="82"/>
      <c r="AT179" s="82"/>
      <c r="AU179" s="82"/>
      <c r="AV179" s="82"/>
      <c r="AW179" s="82"/>
      <c r="AX179" s="82"/>
      <c r="AY179" s="82"/>
      <c r="AZ179" s="82"/>
    </row>
    <row r="180" spans="1:52" hidden="1" x14ac:dyDescent="0.25">
      <c r="A180" s="82"/>
      <c r="B180" s="82"/>
      <c r="C180" s="82"/>
      <c r="D180" s="82"/>
      <c r="E180" s="82"/>
      <c r="F180" s="82"/>
      <c r="G180" s="82"/>
      <c r="H180" s="82"/>
      <c r="I180" s="82"/>
      <c r="J180" s="82"/>
      <c r="K180" s="82"/>
      <c r="L180" s="82"/>
      <c r="M180" s="82"/>
      <c r="N180" s="82"/>
      <c r="O180" s="82"/>
      <c r="P180" s="82"/>
      <c r="Q180" s="82"/>
      <c r="R180" s="82"/>
      <c r="S180" s="82"/>
      <c r="T180" s="82"/>
      <c r="U180" s="82"/>
      <c r="V180" s="82"/>
      <c r="W180" s="82"/>
      <c r="X180" s="82"/>
      <c r="Y180" s="82"/>
      <c r="Z180" s="82"/>
      <c r="AA180" s="82"/>
      <c r="AB180" s="82"/>
      <c r="AC180" s="82"/>
      <c r="AD180" s="82"/>
      <c r="AE180" s="82"/>
      <c r="AF180" s="82"/>
      <c r="AG180" s="82"/>
      <c r="AH180" s="82"/>
      <c r="AI180" s="82"/>
      <c r="AJ180" s="82"/>
      <c r="AK180" s="82"/>
      <c r="AL180" s="82"/>
      <c r="AM180" s="82"/>
      <c r="AN180" s="82"/>
      <c r="AO180" s="82"/>
      <c r="AP180" s="82"/>
      <c r="AQ180" s="82"/>
      <c r="AR180" s="82"/>
      <c r="AS180" s="82"/>
      <c r="AT180" s="82"/>
      <c r="AU180" s="82"/>
      <c r="AV180" s="82"/>
      <c r="AW180" s="82"/>
      <c r="AX180" s="82"/>
      <c r="AY180" s="82"/>
      <c r="AZ180" s="82"/>
    </row>
    <row r="181" spans="1:52" hidden="1" x14ac:dyDescent="0.25">
      <c r="A181" s="82"/>
      <c r="B181" s="82"/>
      <c r="C181" s="82"/>
      <c r="D181" s="82"/>
      <c r="E181" s="82"/>
      <c r="F181" s="82"/>
      <c r="G181" s="82"/>
      <c r="H181" s="82"/>
      <c r="I181" s="82"/>
      <c r="J181" s="82"/>
      <c r="K181" s="82"/>
      <c r="L181" s="82"/>
      <c r="M181" s="82"/>
      <c r="N181" s="82"/>
      <c r="O181" s="82"/>
      <c r="P181" s="82"/>
      <c r="Q181" s="82"/>
      <c r="R181" s="82"/>
      <c r="S181" s="82"/>
      <c r="T181" s="82"/>
      <c r="U181" s="82"/>
      <c r="V181" s="82"/>
      <c r="W181" s="82"/>
      <c r="X181" s="82"/>
      <c r="Y181" s="82"/>
      <c r="Z181" s="82"/>
      <c r="AA181" s="82"/>
      <c r="AB181" s="82"/>
      <c r="AC181" s="82"/>
      <c r="AD181" s="82"/>
      <c r="AE181" s="82"/>
      <c r="AF181" s="82"/>
      <c r="AG181" s="82"/>
      <c r="AH181" s="82"/>
      <c r="AI181" s="82"/>
      <c r="AJ181" s="82"/>
      <c r="AK181" s="82"/>
      <c r="AL181" s="82"/>
      <c r="AM181" s="82"/>
      <c r="AN181" s="82"/>
      <c r="AO181" s="82"/>
      <c r="AP181" s="82"/>
      <c r="AQ181" s="82"/>
      <c r="AR181" s="82"/>
      <c r="AS181" s="82"/>
      <c r="AT181" s="82"/>
      <c r="AU181" s="82"/>
      <c r="AV181" s="82"/>
      <c r="AW181" s="82"/>
      <c r="AX181" s="82"/>
      <c r="AY181" s="82"/>
      <c r="AZ181" s="82"/>
    </row>
    <row r="182" spans="1:52" hidden="1" x14ac:dyDescent="0.25">
      <c r="A182" s="82"/>
      <c r="B182" s="82"/>
      <c r="C182" s="82"/>
      <c r="D182" s="82"/>
      <c r="E182" s="82"/>
      <c r="F182" s="82"/>
      <c r="G182" s="82"/>
      <c r="H182" s="82"/>
      <c r="I182" s="82"/>
      <c r="J182" s="82"/>
      <c r="K182" s="82"/>
      <c r="L182" s="82"/>
      <c r="M182" s="82"/>
      <c r="N182" s="82"/>
      <c r="O182" s="82"/>
      <c r="P182" s="82"/>
      <c r="Q182" s="82"/>
      <c r="R182" s="82"/>
      <c r="S182" s="82"/>
      <c r="T182" s="82"/>
      <c r="U182" s="82"/>
      <c r="V182" s="82"/>
      <c r="W182" s="82"/>
      <c r="X182" s="82"/>
      <c r="Y182" s="82"/>
      <c r="Z182" s="82"/>
      <c r="AA182" s="82"/>
      <c r="AB182" s="82"/>
      <c r="AC182" s="82"/>
      <c r="AD182" s="82"/>
      <c r="AE182" s="82"/>
      <c r="AF182" s="82"/>
      <c r="AG182" s="82"/>
      <c r="AH182" s="82"/>
      <c r="AI182" s="82"/>
      <c r="AJ182" s="82"/>
      <c r="AK182" s="82"/>
      <c r="AL182" s="82"/>
      <c r="AM182" s="82"/>
      <c r="AN182" s="82"/>
      <c r="AO182" s="82"/>
      <c r="AP182" s="82"/>
      <c r="AQ182" s="82"/>
      <c r="AR182" s="82"/>
      <c r="AS182" s="82"/>
      <c r="AT182" s="82"/>
      <c r="AU182" s="82"/>
      <c r="AV182" s="82"/>
      <c r="AW182" s="82"/>
      <c r="AX182" s="82"/>
      <c r="AY182" s="82"/>
      <c r="AZ182" s="82"/>
    </row>
    <row r="183" spans="1:52" hidden="1" x14ac:dyDescent="0.25">
      <c r="A183" s="82"/>
      <c r="B183" s="82"/>
      <c r="C183" s="82"/>
      <c r="D183" s="82"/>
      <c r="E183" s="82"/>
      <c r="F183" s="82"/>
      <c r="G183" s="82"/>
      <c r="H183" s="82"/>
      <c r="I183" s="82"/>
      <c r="J183" s="82"/>
      <c r="K183" s="82"/>
      <c r="L183" s="82"/>
      <c r="M183" s="82"/>
      <c r="N183" s="82"/>
      <c r="O183" s="82"/>
      <c r="P183" s="82"/>
      <c r="Q183" s="82"/>
      <c r="R183" s="82"/>
      <c r="S183" s="82"/>
      <c r="T183" s="82"/>
      <c r="U183" s="82"/>
      <c r="V183" s="82"/>
      <c r="W183" s="82"/>
      <c r="X183" s="82"/>
      <c r="Y183" s="82"/>
      <c r="Z183" s="82"/>
      <c r="AA183" s="82"/>
      <c r="AB183" s="82"/>
      <c r="AC183" s="82"/>
      <c r="AD183" s="82"/>
      <c r="AE183" s="82"/>
      <c r="AF183" s="82"/>
      <c r="AG183" s="82"/>
      <c r="AH183" s="82"/>
      <c r="AI183" s="82"/>
      <c r="AJ183" s="82"/>
      <c r="AK183" s="82"/>
      <c r="AL183" s="82"/>
      <c r="AM183" s="82"/>
      <c r="AN183" s="82"/>
      <c r="AO183" s="82"/>
      <c r="AP183" s="82"/>
      <c r="AQ183" s="82"/>
      <c r="AR183" s="82"/>
      <c r="AS183" s="82"/>
      <c r="AT183" s="82"/>
      <c r="AU183" s="82"/>
      <c r="AV183" s="82"/>
      <c r="AW183" s="82"/>
      <c r="AX183" s="82"/>
      <c r="AY183" s="82"/>
      <c r="AZ183" s="82"/>
    </row>
    <row r="184" spans="1:52" hidden="1" x14ac:dyDescent="0.25">
      <c r="A184" s="82"/>
      <c r="B184" s="82"/>
      <c r="C184" s="82"/>
      <c r="D184" s="82"/>
      <c r="E184" s="82"/>
      <c r="F184" s="82"/>
      <c r="G184" s="82"/>
      <c r="H184" s="82"/>
      <c r="I184" s="82"/>
      <c r="J184" s="82"/>
      <c r="K184" s="82"/>
      <c r="L184" s="82"/>
      <c r="M184" s="82"/>
      <c r="N184" s="82"/>
      <c r="O184" s="82"/>
      <c r="P184" s="82"/>
      <c r="Q184" s="82"/>
      <c r="R184" s="82"/>
      <c r="S184" s="82"/>
      <c r="T184" s="82"/>
      <c r="U184" s="82"/>
      <c r="V184" s="82"/>
      <c r="W184" s="82"/>
      <c r="X184" s="82"/>
      <c r="Y184" s="82"/>
      <c r="Z184" s="82"/>
      <c r="AA184" s="82"/>
      <c r="AB184" s="82"/>
      <c r="AC184" s="82"/>
      <c r="AD184" s="82"/>
      <c r="AE184" s="82"/>
      <c r="AF184" s="82"/>
      <c r="AG184" s="82"/>
      <c r="AH184" s="82"/>
      <c r="AI184" s="82"/>
      <c r="AJ184" s="82"/>
      <c r="AK184" s="82"/>
      <c r="AL184" s="82"/>
      <c r="AM184" s="82"/>
      <c r="AN184" s="82"/>
      <c r="AO184" s="82"/>
      <c r="AP184" s="82"/>
      <c r="AQ184" s="82"/>
      <c r="AR184" s="82"/>
      <c r="AS184" s="82"/>
      <c r="AT184" s="82"/>
      <c r="AU184" s="82"/>
      <c r="AV184" s="82"/>
      <c r="AW184" s="82"/>
      <c r="AX184" s="82"/>
      <c r="AY184" s="82"/>
      <c r="AZ184" s="82"/>
    </row>
    <row r="185" spans="1:52" hidden="1" x14ac:dyDescent="0.25">
      <c r="A185" s="82"/>
      <c r="B185" s="82"/>
      <c r="C185" s="82"/>
      <c r="D185" s="82"/>
      <c r="E185" s="82"/>
      <c r="F185" s="82"/>
      <c r="G185" s="82"/>
      <c r="H185" s="82"/>
      <c r="I185" s="82"/>
      <c r="J185" s="82"/>
      <c r="K185" s="82"/>
      <c r="L185" s="82"/>
      <c r="M185" s="82"/>
      <c r="N185" s="82"/>
      <c r="O185" s="82"/>
      <c r="P185" s="82"/>
      <c r="Q185" s="82"/>
      <c r="R185" s="82"/>
      <c r="S185" s="82"/>
      <c r="T185" s="82"/>
      <c r="U185" s="82"/>
      <c r="V185" s="82"/>
      <c r="W185" s="82"/>
      <c r="X185" s="82"/>
      <c r="Y185" s="82"/>
      <c r="Z185" s="82"/>
      <c r="AA185" s="82"/>
      <c r="AB185" s="82"/>
      <c r="AC185" s="82"/>
      <c r="AD185" s="82"/>
      <c r="AE185" s="82"/>
      <c r="AF185" s="82"/>
      <c r="AG185" s="82"/>
      <c r="AH185" s="82"/>
      <c r="AI185" s="82"/>
      <c r="AJ185" s="82"/>
      <c r="AK185" s="82"/>
      <c r="AL185" s="82"/>
      <c r="AM185" s="82"/>
      <c r="AN185" s="82"/>
      <c r="AO185" s="82"/>
      <c r="AP185" s="82"/>
      <c r="AQ185" s="82"/>
      <c r="AR185" s="82"/>
      <c r="AS185" s="82"/>
      <c r="AT185" s="82"/>
      <c r="AU185" s="82"/>
      <c r="AV185" s="82"/>
      <c r="AW185" s="82"/>
      <c r="AX185" s="82"/>
      <c r="AY185" s="82"/>
      <c r="AZ185" s="82"/>
    </row>
    <row r="186" spans="1:52" hidden="1" x14ac:dyDescent="0.25">
      <c r="A186" s="82"/>
      <c r="B186" s="82"/>
      <c r="C186" s="82"/>
      <c r="D186" s="82"/>
      <c r="E186" s="82"/>
      <c r="F186" s="82"/>
      <c r="G186" s="82"/>
      <c r="H186" s="82"/>
      <c r="I186" s="82"/>
      <c r="J186" s="82"/>
      <c r="K186" s="82"/>
      <c r="L186" s="82"/>
      <c r="M186" s="82"/>
      <c r="N186" s="82"/>
      <c r="O186" s="82"/>
      <c r="P186" s="82"/>
      <c r="Q186" s="82"/>
      <c r="R186" s="82"/>
      <c r="S186" s="82"/>
      <c r="T186" s="82"/>
      <c r="U186" s="82"/>
      <c r="V186" s="82"/>
      <c r="W186" s="82"/>
      <c r="X186" s="82"/>
      <c r="Y186" s="82"/>
      <c r="Z186" s="82"/>
      <c r="AA186" s="82"/>
      <c r="AB186" s="82"/>
      <c r="AC186" s="82"/>
      <c r="AD186" s="82"/>
      <c r="AE186" s="82"/>
      <c r="AF186" s="82"/>
      <c r="AG186" s="82"/>
      <c r="AH186" s="82"/>
      <c r="AI186" s="82"/>
      <c r="AJ186" s="82"/>
      <c r="AK186" s="82"/>
      <c r="AL186" s="82"/>
      <c r="AM186" s="82"/>
      <c r="AN186" s="82"/>
      <c r="AO186" s="82"/>
      <c r="AP186" s="82"/>
      <c r="AQ186" s="82"/>
      <c r="AR186" s="82"/>
      <c r="AS186" s="82"/>
      <c r="AT186" s="82"/>
      <c r="AU186" s="82"/>
      <c r="AV186" s="82"/>
      <c r="AW186" s="82"/>
      <c r="AX186" s="82"/>
      <c r="AY186" s="82"/>
      <c r="AZ186" s="82"/>
    </row>
    <row r="187" spans="1:52" hidden="1" x14ac:dyDescent="0.25">
      <c r="A187" s="82"/>
      <c r="B187" s="82"/>
      <c r="C187" s="82"/>
      <c r="D187" s="82"/>
      <c r="E187" s="82"/>
      <c r="F187" s="82"/>
      <c r="G187" s="82"/>
      <c r="H187" s="82"/>
      <c r="I187" s="82"/>
      <c r="J187" s="82"/>
      <c r="K187" s="82"/>
      <c r="L187" s="82"/>
      <c r="M187" s="82"/>
      <c r="N187" s="82"/>
      <c r="O187" s="82"/>
      <c r="P187" s="82"/>
      <c r="Q187" s="82"/>
      <c r="R187" s="82"/>
      <c r="S187" s="82"/>
      <c r="T187" s="82"/>
      <c r="U187" s="82"/>
      <c r="V187" s="82"/>
      <c r="W187" s="82"/>
      <c r="X187" s="82"/>
      <c r="Y187" s="82"/>
      <c r="Z187" s="82"/>
      <c r="AA187" s="82"/>
      <c r="AB187" s="82"/>
      <c r="AC187" s="82"/>
      <c r="AD187" s="82"/>
      <c r="AE187" s="82"/>
      <c r="AF187" s="82"/>
      <c r="AG187" s="82"/>
      <c r="AH187" s="82"/>
      <c r="AI187" s="82"/>
      <c r="AJ187" s="82"/>
      <c r="AK187" s="82"/>
      <c r="AL187" s="82"/>
      <c r="AM187" s="82"/>
      <c r="AN187" s="82"/>
      <c r="AO187" s="82"/>
      <c r="AP187" s="82"/>
      <c r="AQ187" s="82"/>
      <c r="AR187" s="82"/>
      <c r="AS187" s="82"/>
      <c r="AT187" s="82"/>
      <c r="AU187" s="82"/>
      <c r="AV187" s="82"/>
      <c r="AW187" s="82"/>
      <c r="AX187" s="82"/>
      <c r="AY187" s="82"/>
      <c r="AZ187" s="82"/>
    </row>
    <row r="188" spans="1:52" hidden="1" x14ac:dyDescent="0.25">
      <c r="A188" s="82"/>
      <c r="B188" s="82"/>
      <c r="C188" s="82"/>
      <c r="D188" s="82"/>
      <c r="E188" s="82"/>
      <c r="F188" s="82"/>
      <c r="G188" s="82"/>
      <c r="H188" s="82"/>
      <c r="I188" s="82"/>
      <c r="J188" s="82"/>
      <c r="K188" s="82"/>
      <c r="L188" s="82"/>
      <c r="M188" s="82"/>
      <c r="N188" s="82"/>
      <c r="O188" s="82"/>
      <c r="P188" s="82"/>
      <c r="Q188" s="82"/>
      <c r="R188" s="82"/>
      <c r="S188" s="82"/>
      <c r="T188" s="82"/>
      <c r="U188" s="82"/>
      <c r="V188" s="82"/>
      <c r="W188" s="82"/>
      <c r="X188" s="82"/>
      <c r="Y188" s="82"/>
      <c r="Z188" s="82"/>
      <c r="AA188" s="82"/>
      <c r="AB188" s="82"/>
      <c r="AC188" s="82"/>
      <c r="AD188" s="82"/>
      <c r="AE188" s="82"/>
      <c r="AF188" s="82"/>
      <c r="AG188" s="82"/>
      <c r="AH188" s="82"/>
      <c r="AI188" s="82"/>
      <c r="AJ188" s="82"/>
      <c r="AK188" s="82"/>
      <c r="AL188" s="82"/>
      <c r="AM188" s="82"/>
      <c r="AN188" s="82"/>
      <c r="AO188" s="82"/>
      <c r="AP188" s="82"/>
      <c r="AQ188" s="82"/>
      <c r="AR188" s="82"/>
      <c r="AS188" s="82"/>
      <c r="AT188" s="82"/>
      <c r="AU188" s="82"/>
      <c r="AV188" s="82"/>
      <c r="AW188" s="82"/>
      <c r="AX188" s="82"/>
      <c r="AY188" s="82"/>
      <c r="AZ188" s="82"/>
    </row>
    <row r="189" spans="1:52" hidden="1" x14ac:dyDescent="0.25">
      <c r="A189" s="82"/>
      <c r="B189" s="82"/>
      <c r="C189" s="82"/>
      <c r="D189" s="82"/>
      <c r="E189" s="82"/>
      <c r="F189" s="82"/>
      <c r="G189" s="82"/>
      <c r="H189" s="82"/>
      <c r="I189" s="82"/>
      <c r="J189" s="82"/>
      <c r="K189" s="82"/>
      <c r="L189" s="82"/>
      <c r="M189" s="82"/>
      <c r="N189" s="82"/>
      <c r="O189" s="82"/>
      <c r="P189" s="82"/>
      <c r="Q189" s="82"/>
      <c r="R189" s="82"/>
      <c r="S189" s="82"/>
      <c r="T189" s="82"/>
      <c r="U189" s="82"/>
      <c r="V189" s="82"/>
      <c r="W189" s="82"/>
      <c r="X189" s="82"/>
      <c r="Y189" s="82"/>
      <c r="Z189" s="82"/>
      <c r="AA189" s="82"/>
      <c r="AB189" s="82"/>
      <c r="AC189" s="82"/>
      <c r="AD189" s="82"/>
      <c r="AE189" s="82"/>
      <c r="AF189" s="82"/>
      <c r="AG189" s="82"/>
      <c r="AH189" s="82"/>
      <c r="AI189" s="82"/>
      <c r="AJ189" s="82"/>
      <c r="AK189" s="82"/>
      <c r="AL189" s="82"/>
      <c r="AM189" s="82"/>
      <c r="AN189" s="82"/>
      <c r="AO189" s="82"/>
      <c r="AP189" s="82"/>
      <c r="AQ189" s="82"/>
      <c r="AR189" s="82"/>
      <c r="AS189" s="82"/>
      <c r="AT189" s="82"/>
      <c r="AU189" s="82"/>
      <c r="AV189" s="82"/>
      <c r="AW189" s="82"/>
      <c r="AX189" s="82"/>
      <c r="AY189" s="82"/>
      <c r="AZ189" s="82"/>
    </row>
    <row r="190" spans="1:52" hidden="1" x14ac:dyDescent="0.25">
      <c r="A190" s="82"/>
      <c r="B190" s="82"/>
      <c r="C190" s="82"/>
      <c r="D190" s="82"/>
      <c r="E190" s="82"/>
      <c r="F190" s="82"/>
      <c r="G190" s="82"/>
      <c r="H190" s="82"/>
      <c r="I190" s="82"/>
      <c r="J190" s="82"/>
      <c r="K190" s="82"/>
      <c r="L190" s="82"/>
      <c r="M190" s="82"/>
      <c r="N190" s="82"/>
      <c r="O190" s="82"/>
      <c r="P190" s="82"/>
      <c r="Q190" s="82"/>
      <c r="R190" s="82"/>
      <c r="S190" s="82"/>
      <c r="T190" s="82"/>
      <c r="U190" s="82"/>
      <c r="V190" s="82"/>
      <c r="W190" s="82"/>
      <c r="X190" s="82"/>
      <c r="Y190" s="82"/>
      <c r="Z190" s="82"/>
      <c r="AA190" s="82"/>
      <c r="AB190" s="82"/>
      <c r="AC190" s="82"/>
      <c r="AD190" s="82"/>
      <c r="AE190" s="82"/>
      <c r="AF190" s="82"/>
      <c r="AG190" s="82"/>
      <c r="AH190" s="82"/>
      <c r="AI190" s="82"/>
      <c r="AJ190" s="82"/>
      <c r="AK190" s="82"/>
      <c r="AL190" s="82"/>
      <c r="AM190" s="82"/>
      <c r="AN190" s="82"/>
      <c r="AO190" s="82"/>
      <c r="AP190" s="82"/>
      <c r="AQ190" s="82"/>
      <c r="AR190" s="82"/>
      <c r="AS190" s="82"/>
      <c r="AT190" s="82"/>
      <c r="AU190" s="82"/>
      <c r="AV190" s="82"/>
      <c r="AW190" s="82"/>
      <c r="AX190" s="82"/>
      <c r="AY190" s="82"/>
      <c r="AZ190" s="82"/>
    </row>
    <row r="191" spans="1:52" hidden="1" x14ac:dyDescent="0.25">
      <c r="A191" s="82"/>
      <c r="B191" s="82"/>
      <c r="C191" s="82"/>
      <c r="D191" s="82"/>
      <c r="E191" s="82"/>
      <c r="F191" s="82"/>
      <c r="G191" s="82"/>
      <c r="H191" s="82"/>
      <c r="I191" s="82"/>
      <c r="J191" s="82"/>
      <c r="K191" s="82"/>
      <c r="L191" s="82"/>
      <c r="M191" s="82"/>
      <c r="N191" s="82"/>
      <c r="O191" s="82"/>
      <c r="P191" s="82"/>
      <c r="Q191" s="82"/>
      <c r="R191" s="82"/>
      <c r="S191" s="82"/>
      <c r="T191" s="82"/>
      <c r="U191" s="82"/>
      <c r="V191" s="82"/>
      <c r="W191" s="82"/>
      <c r="X191" s="82"/>
      <c r="Y191" s="82"/>
      <c r="Z191" s="82"/>
      <c r="AA191" s="82"/>
      <c r="AB191" s="82"/>
      <c r="AC191" s="82"/>
      <c r="AD191" s="82"/>
      <c r="AE191" s="82"/>
      <c r="AF191" s="82"/>
      <c r="AG191" s="82"/>
      <c r="AH191" s="82"/>
      <c r="AI191" s="82"/>
      <c r="AJ191" s="82"/>
      <c r="AK191" s="82"/>
      <c r="AL191" s="82"/>
      <c r="AM191" s="82"/>
      <c r="AN191" s="82"/>
      <c r="AO191" s="82"/>
      <c r="AP191" s="82"/>
      <c r="AQ191" s="82"/>
      <c r="AR191" s="82"/>
      <c r="AS191" s="82"/>
      <c r="AT191" s="82"/>
      <c r="AU191" s="82"/>
      <c r="AV191" s="82"/>
      <c r="AW191" s="82"/>
      <c r="AX191" s="82"/>
      <c r="AY191" s="82"/>
      <c r="AZ191" s="82"/>
    </row>
    <row r="192" spans="1:52" hidden="1" x14ac:dyDescent="0.25">
      <c r="A192" s="82"/>
      <c r="B192" s="82"/>
      <c r="C192" s="82"/>
      <c r="D192" s="82"/>
      <c r="E192" s="82"/>
      <c r="F192" s="82"/>
      <c r="G192" s="82"/>
      <c r="H192" s="82"/>
      <c r="I192" s="82"/>
      <c r="J192" s="82"/>
      <c r="K192" s="82"/>
      <c r="L192" s="82"/>
      <c r="M192" s="82"/>
      <c r="N192" s="82"/>
      <c r="O192" s="82"/>
      <c r="P192" s="82"/>
      <c r="Q192" s="82"/>
      <c r="R192" s="82"/>
      <c r="S192" s="82"/>
      <c r="T192" s="82"/>
      <c r="U192" s="82"/>
      <c r="V192" s="82"/>
      <c r="W192" s="82"/>
      <c r="X192" s="82"/>
      <c r="Y192" s="82"/>
      <c r="Z192" s="82"/>
      <c r="AA192" s="82"/>
      <c r="AB192" s="82"/>
      <c r="AC192" s="82"/>
      <c r="AD192" s="82"/>
      <c r="AE192" s="82"/>
      <c r="AF192" s="82"/>
      <c r="AG192" s="82"/>
      <c r="AH192" s="82"/>
      <c r="AI192" s="82"/>
      <c r="AJ192" s="82"/>
      <c r="AK192" s="82"/>
      <c r="AL192" s="82"/>
      <c r="AM192" s="82"/>
      <c r="AN192" s="82"/>
      <c r="AO192" s="82"/>
      <c r="AP192" s="82"/>
      <c r="AQ192" s="82"/>
      <c r="AR192" s="82"/>
      <c r="AS192" s="82"/>
      <c r="AT192" s="82"/>
      <c r="AU192" s="82"/>
      <c r="AV192" s="82"/>
      <c r="AW192" s="82"/>
      <c r="AX192" s="82"/>
      <c r="AY192" s="82"/>
      <c r="AZ192" s="82"/>
    </row>
    <row r="193" spans="1:52" hidden="1" x14ac:dyDescent="0.25">
      <c r="A193" s="82"/>
      <c r="B193" s="82"/>
      <c r="C193" s="82"/>
      <c r="D193" s="82"/>
      <c r="E193" s="82"/>
      <c r="F193" s="82"/>
      <c r="G193" s="82"/>
      <c r="H193" s="82"/>
      <c r="I193" s="82"/>
      <c r="J193" s="82"/>
      <c r="K193" s="82"/>
      <c r="L193" s="82"/>
      <c r="M193" s="82"/>
      <c r="N193" s="82"/>
      <c r="O193" s="82"/>
      <c r="P193" s="82"/>
      <c r="Q193" s="82"/>
      <c r="R193" s="82"/>
      <c r="S193" s="82"/>
      <c r="T193" s="82"/>
      <c r="U193" s="82"/>
      <c r="V193" s="82"/>
      <c r="W193" s="82"/>
      <c r="X193" s="82"/>
      <c r="Y193" s="82"/>
      <c r="Z193" s="82"/>
      <c r="AA193" s="82"/>
      <c r="AB193" s="82"/>
      <c r="AC193" s="82"/>
      <c r="AD193" s="82"/>
      <c r="AE193" s="82"/>
      <c r="AF193" s="82"/>
      <c r="AG193" s="82"/>
      <c r="AH193" s="82"/>
      <c r="AI193" s="82"/>
      <c r="AJ193" s="82"/>
      <c r="AK193" s="82"/>
      <c r="AL193" s="82"/>
      <c r="AM193" s="82"/>
      <c r="AN193" s="82"/>
      <c r="AO193" s="82"/>
      <c r="AP193" s="82"/>
      <c r="AQ193" s="82"/>
      <c r="AR193" s="82"/>
      <c r="AS193" s="82"/>
      <c r="AT193" s="82"/>
      <c r="AU193" s="82"/>
      <c r="AV193" s="82"/>
      <c r="AW193" s="82"/>
      <c r="AX193" s="82"/>
      <c r="AY193" s="82"/>
      <c r="AZ193" s="82"/>
    </row>
    <row r="194" spans="1:52" hidden="1" x14ac:dyDescent="0.25">
      <c r="A194" s="82"/>
      <c r="B194" s="82"/>
      <c r="C194" s="82"/>
      <c r="D194" s="82"/>
      <c r="E194" s="82"/>
      <c r="F194" s="82"/>
      <c r="G194" s="82"/>
      <c r="H194" s="82"/>
      <c r="I194" s="82"/>
      <c r="J194" s="82"/>
      <c r="K194" s="82"/>
      <c r="L194" s="82"/>
      <c r="M194" s="82"/>
      <c r="N194" s="82"/>
      <c r="O194" s="82"/>
      <c r="P194" s="82"/>
      <c r="Q194" s="82"/>
      <c r="R194" s="82"/>
      <c r="S194" s="82"/>
      <c r="T194" s="82"/>
      <c r="U194" s="82"/>
      <c r="V194" s="82"/>
      <c r="W194" s="82"/>
      <c r="X194" s="82"/>
      <c r="Y194" s="82"/>
      <c r="Z194" s="82"/>
      <c r="AA194" s="82"/>
      <c r="AB194" s="82"/>
      <c r="AC194" s="82"/>
      <c r="AD194" s="82"/>
      <c r="AE194" s="82"/>
      <c r="AF194" s="82"/>
      <c r="AG194" s="82"/>
      <c r="AH194" s="82"/>
      <c r="AI194" s="82"/>
      <c r="AJ194" s="82"/>
      <c r="AK194" s="82"/>
      <c r="AL194" s="82"/>
      <c r="AM194" s="82"/>
      <c r="AN194" s="82"/>
      <c r="AO194" s="82"/>
      <c r="AP194" s="82"/>
      <c r="AQ194" s="82"/>
      <c r="AR194" s="82"/>
      <c r="AS194" s="82"/>
      <c r="AT194" s="82"/>
      <c r="AU194" s="82"/>
      <c r="AV194" s="82"/>
      <c r="AW194" s="82"/>
      <c r="AX194" s="82"/>
      <c r="AY194" s="82"/>
      <c r="AZ194" s="82"/>
    </row>
    <row r="195" spans="1:52" hidden="1" x14ac:dyDescent="0.25">
      <c r="A195" s="82"/>
      <c r="B195" s="82"/>
      <c r="C195" s="82"/>
      <c r="D195" s="82"/>
      <c r="E195" s="82"/>
      <c r="F195" s="82"/>
      <c r="G195" s="82"/>
      <c r="H195" s="82"/>
      <c r="I195" s="82"/>
      <c r="J195" s="82"/>
      <c r="K195" s="82"/>
      <c r="L195" s="82"/>
      <c r="M195" s="82"/>
      <c r="N195" s="82"/>
      <c r="O195" s="82"/>
      <c r="P195" s="82"/>
      <c r="Q195" s="82"/>
      <c r="R195" s="82"/>
      <c r="S195" s="82"/>
      <c r="T195" s="82"/>
      <c r="U195" s="82"/>
      <c r="V195" s="82"/>
      <c r="W195" s="82"/>
      <c r="X195" s="82"/>
      <c r="Y195" s="82"/>
      <c r="Z195" s="82"/>
      <c r="AA195" s="82"/>
      <c r="AB195" s="82"/>
      <c r="AC195" s="82"/>
      <c r="AD195" s="82"/>
      <c r="AE195" s="82"/>
      <c r="AF195" s="82"/>
      <c r="AG195" s="82"/>
      <c r="AH195" s="82"/>
      <c r="AI195" s="82"/>
      <c r="AJ195" s="82"/>
      <c r="AK195" s="82"/>
      <c r="AL195" s="82"/>
      <c r="AM195" s="82"/>
      <c r="AN195" s="82"/>
      <c r="AO195" s="82"/>
      <c r="AP195" s="82"/>
      <c r="AQ195" s="82"/>
      <c r="AR195" s="82"/>
      <c r="AS195" s="82"/>
      <c r="AT195" s="82"/>
      <c r="AU195" s="82"/>
      <c r="AV195" s="82"/>
      <c r="AW195" s="82"/>
      <c r="AX195" s="82"/>
      <c r="AY195" s="82"/>
      <c r="AZ195" s="82"/>
    </row>
    <row r="196" spans="1:52" hidden="1" x14ac:dyDescent="0.25">
      <c r="A196" s="82"/>
      <c r="B196" s="82"/>
      <c r="C196" s="82"/>
      <c r="D196" s="82"/>
      <c r="E196" s="82"/>
      <c r="F196" s="82"/>
      <c r="G196" s="82"/>
      <c r="H196" s="82"/>
      <c r="I196" s="82"/>
      <c r="J196" s="82"/>
      <c r="K196" s="82"/>
      <c r="L196" s="82"/>
      <c r="M196" s="82"/>
      <c r="N196" s="82"/>
      <c r="O196" s="82"/>
      <c r="P196" s="82"/>
      <c r="Q196" s="82"/>
      <c r="R196" s="82"/>
      <c r="S196" s="82"/>
      <c r="T196" s="82"/>
      <c r="U196" s="82"/>
      <c r="V196" s="82"/>
      <c r="W196" s="82"/>
      <c r="X196" s="82"/>
      <c r="Y196" s="82"/>
      <c r="Z196" s="82"/>
      <c r="AA196" s="82"/>
      <c r="AB196" s="82"/>
      <c r="AC196" s="82"/>
      <c r="AD196" s="82"/>
      <c r="AE196" s="82"/>
      <c r="AF196" s="82"/>
      <c r="AG196" s="82"/>
      <c r="AH196" s="82"/>
      <c r="AI196" s="82"/>
      <c r="AJ196" s="82"/>
      <c r="AK196" s="82"/>
      <c r="AL196" s="82"/>
      <c r="AM196" s="82"/>
      <c r="AN196" s="82"/>
      <c r="AO196" s="82"/>
      <c r="AP196" s="82"/>
      <c r="AQ196" s="82"/>
      <c r="AR196" s="82"/>
      <c r="AS196" s="82"/>
      <c r="AT196" s="82"/>
      <c r="AU196" s="82"/>
      <c r="AV196" s="82"/>
      <c r="AW196" s="82"/>
      <c r="AX196" s="82"/>
      <c r="AY196" s="82"/>
      <c r="AZ196" s="82"/>
    </row>
    <row r="197" spans="1:52" hidden="1" x14ac:dyDescent="0.25">
      <c r="A197" s="82"/>
      <c r="B197" s="82"/>
      <c r="C197" s="82"/>
      <c r="D197" s="82"/>
      <c r="E197" s="82"/>
      <c r="F197" s="82"/>
      <c r="G197" s="82"/>
      <c r="H197" s="82"/>
      <c r="I197" s="82"/>
      <c r="J197" s="82"/>
      <c r="K197" s="82"/>
      <c r="L197" s="82"/>
      <c r="M197" s="82"/>
      <c r="N197" s="82"/>
      <c r="O197" s="82"/>
      <c r="P197" s="82"/>
      <c r="Q197" s="82"/>
      <c r="R197" s="82"/>
      <c r="S197" s="82"/>
      <c r="T197" s="82"/>
      <c r="U197" s="82"/>
      <c r="V197" s="82"/>
      <c r="W197" s="82"/>
      <c r="X197" s="82"/>
      <c r="Y197" s="82"/>
      <c r="Z197" s="82"/>
      <c r="AA197" s="82"/>
      <c r="AB197" s="82"/>
      <c r="AC197" s="82"/>
      <c r="AD197" s="82"/>
      <c r="AE197" s="82"/>
      <c r="AF197" s="82"/>
      <c r="AG197" s="82"/>
      <c r="AH197" s="82"/>
      <c r="AI197" s="82"/>
      <c r="AJ197" s="82"/>
      <c r="AK197" s="82"/>
      <c r="AL197" s="82"/>
      <c r="AM197" s="82"/>
      <c r="AN197" s="82"/>
      <c r="AO197" s="82"/>
      <c r="AP197" s="82"/>
      <c r="AQ197" s="82"/>
      <c r="AR197" s="82"/>
      <c r="AS197" s="82"/>
      <c r="AT197" s="82"/>
      <c r="AU197" s="82"/>
      <c r="AV197" s="82"/>
      <c r="AW197" s="82"/>
      <c r="AX197" s="82"/>
      <c r="AY197" s="82"/>
      <c r="AZ197" s="82"/>
    </row>
    <row r="198" spans="1:52" hidden="1" x14ac:dyDescent="0.25">
      <c r="A198" s="82"/>
      <c r="B198" s="82"/>
      <c r="C198" s="82"/>
      <c r="D198" s="82"/>
      <c r="E198" s="82"/>
      <c r="F198" s="82"/>
      <c r="G198" s="82"/>
      <c r="H198" s="82"/>
      <c r="I198" s="82"/>
      <c r="J198" s="82"/>
      <c r="K198" s="82"/>
      <c r="L198" s="82"/>
      <c r="M198" s="82"/>
      <c r="N198" s="82"/>
      <c r="O198" s="82"/>
      <c r="P198" s="82"/>
      <c r="Q198" s="82"/>
      <c r="R198" s="82"/>
      <c r="S198" s="82"/>
      <c r="T198" s="82"/>
      <c r="U198" s="82"/>
      <c r="V198" s="82"/>
      <c r="W198" s="82"/>
      <c r="X198" s="82"/>
      <c r="Y198" s="82"/>
      <c r="Z198" s="82"/>
      <c r="AA198" s="82"/>
      <c r="AB198" s="82"/>
      <c r="AC198" s="82"/>
      <c r="AD198" s="82"/>
      <c r="AE198" s="82"/>
      <c r="AF198" s="82"/>
      <c r="AG198" s="82"/>
      <c r="AH198" s="82"/>
      <c r="AI198" s="82"/>
      <c r="AJ198" s="82"/>
      <c r="AK198" s="82"/>
      <c r="AL198" s="82"/>
      <c r="AM198" s="82"/>
      <c r="AN198" s="82"/>
      <c r="AO198" s="82"/>
      <c r="AP198" s="82"/>
      <c r="AQ198" s="82"/>
      <c r="AR198" s="82"/>
      <c r="AS198" s="82"/>
      <c r="AT198" s="82"/>
      <c r="AU198" s="82"/>
      <c r="AV198" s="82"/>
      <c r="AW198" s="82"/>
      <c r="AX198" s="82"/>
      <c r="AY198" s="82"/>
      <c r="AZ198" s="82"/>
    </row>
    <row r="199" spans="1:52" hidden="1" x14ac:dyDescent="0.25">
      <c r="A199" s="82"/>
      <c r="B199" s="82"/>
      <c r="C199" s="82"/>
      <c r="D199" s="82"/>
      <c r="E199" s="82"/>
      <c r="F199" s="82"/>
      <c r="G199" s="82"/>
      <c r="H199" s="82"/>
      <c r="I199" s="82"/>
      <c r="J199" s="82"/>
      <c r="K199" s="82"/>
      <c r="L199" s="82"/>
      <c r="M199" s="82"/>
      <c r="N199" s="82"/>
      <c r="O199" s="82"/>
      <c r="P199" s="82"/>
      <c r="Q199" s="82"/>
      <c r="R199" s="82"/>
      <c r="S199" s="82"/>
      <c r="T199" s="82"/>
      <c r="U199" s="82"/>
      <c r="V199" s="82"/>
      <c r="W199" s="82"/>
      <c r="X199" s="82"/>
      <c r="Y199" s="82"/>
      <c r="Z199" s="82"/>
      <c r="AA199" s="82"/>
      <c r="AB199" s="82"/>
      <c r="AC199" s="82"/>
      <c r="AD199" s="82"/>
      <c r="AE199" s="82"/>
      <c r="AF199" s="82"/>
      <c r="AG199" s="82"/>
      <c r="AH199" s="82"/>
      <c r="AI199" s="82"/>
      <c r="AJ199" s="82"/>
      <c r="AK199" s="82"/>
      <c r="AL199" s="82"/>
      <c r="AM199" s="82"/>
      <c r="AN199" s="82"/>
      <c r="AO199" s="82"/>
      <c r="AP199" s="82"/>
      <c r="AQ199" s="82"/>
      <c r="AR199" s="82"/>
      <c r="AS199" s="82"/>
      <c r="AT199" s="82"/>
      <c r="AU199" s="82"/>
      <c r="AV199" s="82"/>
      <c r="AW199" s="82"/>
      <c r="AX199" s="82"/>
      <c r="AY199" s="82"/>
      <c r="AZ199" s="82"/>
    </row>
    <row r="200" spans="1:52" hidden="1" x14ac:dyDescent="0.25">
      <c r="A200" s="82"/>
      <c r="B200" s="82"/>
      <c r="C200" s="82"/>
      <c r="D200" s="82"/>
      <c r="E200" s="82"/>
      <c r="F200" s="82"/>
      <c r="G200" s="82"/>
      <c r="H200" s="82"/>
      <c r="I200" s="82"/>
      <c r="J200" s="82"/>
      <c r="K200" s="82"/>
      <c r="L200" s="82"/>
      <c r="M200" s="82"/>
      <c r="N200" s="82"/>
      <c r="O200" s="82"/>
      <c r="P200" s="82"/>
      <c r="Q200" s="82"/>
      <c r="R200" s="82"/>
      <c r="S200" s="82"/>
      <c r="T200" s="82"/>
      <c r="U200" s="82"/>
      <c r="V200" s="82"/>
      <c r="W200" s="82"/>
      <c r="X200" s="82"/>
      <c r="Y200" s="82"/>
      <c r="Z200" s="82"/>
      <c r="AA200" s="82"/>
      <c r="AB200" s="82"/>
      <c r="AC200" s="82"/>
      <c r="AD200" s="82"/>
      <c r="AE200" s="82"/>
      <c r="AF200" s="82"/>
      <c r="AG200" s="82"/>
      <c r="AH200" s="82"/>
      <c r="AI200" s="82"/>
      <c r="AJ200" s="82"/>
      <c r="AK200" s="82"/>
      <c r="AL200" s="82"/>
      <c r="AM200" s="82"/>
      <c r="AN200" s="82"/>
      <c r="AO200" s="82"/>
      <c r="AP200" s="82"/>
      <c r="AQ200" s="82"/>
      <c r="AR200" s="82"/>
      <c r="AS200" s="82"/>
      <c r="AT200" s="82"/>
      <c r="AU200" s="82"/>
      <c r="AV200" s="82"/>
      <c r="AW200" s="82"/>
      <c r="AX200" s="82"/>
      <c r="AY200" s="82"/>
      <c r="AZ200" s="82"/>
    </row>
    <row r="201" spans="1:52" hidden="1" x14ac:dyDescent="0.25">
      <c r="A201" s="82"/>
      <c r="B201" s="82"/>
      <c r="C201" s="82"/>
      <c r="D201" s="82"/>
      <c r="E201" s="82"/>
      <c r="F201" s="82"/>
      <c r="G201" s="82"/>
      <c r="H201" s="82"/>
      <c r="I201" s="82"/>
      <c r="J201" s="82"/>
      <c r="K201" s="82"/>
      <c r="L201" s="82"/>
      <c r="M201" s="82"/>
      <c r="N201" s="82"/>
      <c r="O201" s="82"/>
      <c r="P201" s="82"/>
      <c r="Q201" s="82"/>
      <c r="R201" s="82"/>
      <c r="S201" s="82"/>
      <c r="T201" s="82"/>
      <c r="U201" s="82"/>
      <c r="V201" s="82"/>
      <c r="W201" s="82"/>
      <c r="X201" s="82"/>
      <c r="Y201" s="82"/>
      <c r="Z201" s="82"/>
      <c r="AA201" s="82"/>
      <c r="AB201" s="82"/>
      <c r="AC201" s="82"/>
      <c r="AD201" s="82"/>
      <c r="AE201" s="82"/>
      <c r="AF201" s="82"/>
      <c r="AG201" s="82"/>
      <c r="AH201" s="82"/>
      <c r="AI201" s="82"/>
      <c r="AJ201" s="82"/>
      <c r="AK201" s="82"/>
      <c r="AL201" s="82"/>
      <c r="AM201" s="82"/>
      <c r="AN201" s="82"/>
      <c r="AO201" s="82"/>
      <c r="AP201" s="82"/>
      <c r="AQ201" s="82"/>
      <c r="AR201" s="82"/>
      <c r="AS201" s="82"/>
      <c r="AT201" s="82"/>
      <c r="AU201" s="82"/>
      <c r="AV201" s="82"/>
      <c r="AW201" s="82"/>
      <c r="AX201" s="82"/>
      <c r="AY201" s="82"/>
      <c r="AZ201" s="82"/>
    </row>
    <row r="202" spans="1:52" hidden="1" x14ac:dyDescent="0.25">
      <c r="A202" s="82"/>
      <c r="B202" s="82"/>
      <c r="C202" s="82"/>
      <c r="D202" s="82"/>
      <c r="E202" s="82"/>
      <c r="F202" s="82"/>
      <c r="G202" s="82"/>
      <c r="H202" s="82"/>
      <c r="I202" s="82"/>
      <c r="J202" s="82"/>
      <c r="K202" s="82"/>
      <c r="L202" s="82"/>
      <c r="M202" s="82"/>
      <c r="N202" s="82"/>
      <c r="O202" s="82"/>
      <c r="P202" s="82"/>
      <c r="Q202" s="82"/>
      <c r="R202" s="82"/>
      <c r="S202" s="82"/>
      <c r="T202" s="82"/>
      <c r="U202" s="82"/>
      <c r="V202" s="82"/>
      <c r="W202" s="82"/>
      <c r="X202" s="82"/>
      <c r="Y202" s="82"/>
      <c r="Z202" s="82"/>
      <c r="AA202" s="82"/>
      <c r="AB202" s="82"/>
      <c r="AC202" s="82"/>
      <c r="AD202" s="82"/>
      <c r="AE202" s="82"/>
      <c r="AF202" s="82"/>
      <c r="AG202" s="82"/>
      <c r="AH202" s="82"/>
      <c r="AI202" s="82"/>
      <c r="AJ202" s="82"/>
      <c r="AK202" s="82"/>
      <c r="AL202" s="82"/>
      <c r="AM202" s="82"/>
      <c r="AN202" s="82"/>
      <c r="AO202" s="82"/>
      <c r="AP202" s="82"/>
      <c r="AQ202" s="82"/>
      <c r="AR202" s="82"/>
      <c r="AS202" s="82"/>
      <c r="AT202" s="82"/>
      <c r="AU202" s="82"/>
      <c r="AV202" s="82"/>
      <c r="AW202" s="82"/>
      <c r="AX202" s="82"/>
      <c r="AY202" s="82"/>
      <c r="AZ202" s="82"/>
    </row>
    <row r="203" spans="1:52" hidden="1" x14ac:dyDescent="0.25">
      <c r="A203" s="82"/>
      <c r="B203" s="82"/>
      <c r="C203" s="82"/>
      <c r="D203" s="82"/>
      <c r="E203" s="82"/>
      <c r="F203" s="82"/>
      <c r="G203" s="82"/>
      <c r="H203" s="82"/>
      <c r="I203" s="82"/>
      <c r="J203" s="82"/>
      <c r="K203" s="82"/>
      <c r="L203" s="82"/>
      <c r="M203" s="82"/>
      <c r="N203" s="82"/>
      <c r="O203" s="82"/>
      <c r="P203" s="82"/>
      <c r="Q203" s="82"/>
      <c r="R203" s="82"/>
      <c r="S203" s="82"/>
      <c r="T203" s="82"/>
      <c r="U203" s="82"/>
      <c r="V203" s="82"/>
      <c r="W203" s="82"/>
      <c r="X203" s="82"/>
      <c r="Y203" s="82"/>
      <c r="Z203" s="82"/>
      <c r="AA203" s="82"/>
      <c r="AB203" s="82"/>
      <c r="AC203" s="82"/>
      <c r="AD203" s="82"/>
      <c r="AE203" s="82"/>
      <c r="AF203" s="82"/>
      <c r="AG203" s="82"/>
      <c r="AH203" s="82"/>
      <c r="AI203" s="82"/>
      <c r="AJ203" s="82"/>
      <c r="AK203" s="82"/>
      <c r="AL203" s="82"/>
      <c r="AM203" s="82"/>
      <c r="AN203" s="82"/>
      <c r="AO203" s="82"/>
      <c r="AP203" s="82"/>
      <c r="AQ203" s="82"/>
      <c r="AR203" s="82"/>
      <c r="AS203" s="82"/>
      <c r="AT203" s="82"/>
      <c r="AU203" s="82"/>
      <c r="AV203" s="82"/>
      <c r="AW203" s="82"/>
      <c r="AX203" s="82"/>
      <c r="AY203" s="82"/>
      <c r="AZ203" s="82"/>
    </row>
    <row r="204" spans="1:52" hidden="1" x14ac:dyDescent="0.25">
      <c r="A204" s="82"/>
      <c r="B204" s="82"/>
      <c r="C204" s="82"/>
      <c r="D204" s="82"/>
      <c r="E204" s="82"/>
      <c r="F204" s="82"/>
      <c r="G204" s="82"/>
      <c r="H204" s="82"/>
      <c r="I204" s="82"/>
      <c r="J204" s="82"/>
      <c r="K204" s="82"/>
      <c r="L204" s="82"/>
      <c r="M204" s="82"/>
      <c r="N204" s="82"/>
      <c r="O204" s="82"/>
      <c r="P204" s="82"/>
      <c r="Q204" s="82"/>
      <c r="R204" s="82"/>
      <c r="S204" s="82"/>
      <c r="T204" s="82"/>
      <c r="U204" s="82"/>
      <c r="V204" s="82"/>
      <c r="W204" s="82"/>
      <c r="X204" s="82"/>
      <c r="Y204" s="82"/>
      <c r="Z204" s="82"/>
      <c r="AA204" s="82"/>
      <c r="AB204" s="82"/>
      <c r="AC204" s="82"/>
      <c r="AD204" s="82"/>
      <c r="AE204" s="82"/>
      <c r="AF204" s="82"/>
      <c r="AG204" s="82"/>
      <c r="AH204" s="82"/>
      <c r="AI204" s="82"/>
      <c r="AJ204" s="82"/>
      <c r="AK204" s="82"/>
      <c r="AL204" s="82"/>
      <c r="AM204" s="82"/>
      <c r="AN204" s="82"/>
      <c r="AO204" s="82"/>
      <c r="AP204" s="82"/>
      <c r="AQ204" s="82"/>
      <c r="AR204" s="82"/>
      <c r="AS204" s="82"/>
      <c r="AT204" s="82"/>
      <c r="AU204" s="82"/>
      <c r="AV204" s="82"/>
      <c r="AW204" s="82"/>
      <c r="AX204" s="82"/>
      <c r="AY204" s="82"/>
      <c r="AZ204" s="82"/>
    </row>
    <row r="205" spans="1:52" hidden="1" x14ac:dyDescent="0.25">
      <c r="A205" s="82"/>
      <c r="B205" s="82"/>
      <c r="C205" s="82"/>
      <c r="D205" s="82"/>
      <c r="E205" s="82"/>
      <c r="F205" s="82"/>
      <c r="G205" s="82"/>
      <c r="H205" s="82"/>
      <c r="I205" s="82"/>
      <c r="J205" s="82"/>
      <c r="K205" s="82"/>
      <c r="L205" s="82"/>
      <c r="M205" s="82"/>
      <c r="N205" s="82"/>
      <c r="O205" s="82"/>
      <c r="P205" s="82"/>
      <c r="Q205" s="82"/>
      <c r="R205" s="82"/>
      <c r="S205" s="82"/>
      <c r="T205" s="82"/>
      <c r="U205" s="82"/>
      <c r="V205" s="82"/>
      <c r="W205" s="82"/>
      <c r="X205" s="82"/>
      <c r="Y205" s="82"/>
      <c r="Z205" s="82"/>
      <c r="AA205" s="82"/>
      <c r="AB205" s="82"/>
      <c r="AC205" s="82"/>
      <c r="AD205" s="82"/>
      <c r="AE205" s="82"/>
      <c r="AF205" s="82"/>
      <c r="AG205" s="82"/>
      <c r="AH205" s="82"/>
      <c r="AI205" s="82"/>
      <c r="AJ205" s="82"/>
      <c r="AK205" s="82"/>
      <c r="AL205" s="82"/>
      <c r="AM205" s="82"/>
      <c r="AN205" s="82"/>
      <c r="AO205" s="82"/>
      <c r="AP205" s="82"/>
      <c r="AQ205" s="82"/>
      <c r="AR205" s="82"/>
      <c r="AS205" s="82"/>
      <c r="AT205" s="82"/>
      <c r="AU205" s="82"/>
      <c r="AV205" s="82"/>
      <c r="AW205" s="82"/>
      <c r="AX205" s="82"/>
      <c r="AY205" s="82"/>
      <c r="AZ205" s="82"/>
    </row>
    <row r="206" spans="1:52" hidden="1" x14ac:dyDescent="0.25">
      <c r="A206" s="82"/>
      <c r="B206" s="82"/>
      <c r="C206" s="82"/>
      <c r="D206" s="82"/>
      <c r="E206" s="82"/>
      <c r="F206" s="82"/>
      <c r="G206" s="82"/>
      <c r="H206" s="82"/>
      <c r="I206" s="82"/>
      <c r="J206" s="82"/>
      <c r="K206" s="82"/>
      <c r="L206" s="82"/>
      <c r="M206" s="82"/>
      <c r="N206" s="82"/>
      <c r="O206" s="82"/>
      <c r="P206" s="82"/>
      <c r="Q206" s="82"/>
      <c r="R206" s="82"/>
      <c r="S206" s="82"/>
      <c r="T206" s="82"/>
      <c r="U206" s="82"/>
      <c r="V206" s="82"/>
      <c r="W206" s="82"/>
      <c r="X206" s="82"/>
      <c r="Y206" s="82"/>
      <c r="Z206" s="82"/>
      <c r="AA206" s="82"/>
      <c r="AB206" s="82"/>
      <c r="AC206" s="82"/>
      <c r="AD206" s="82"/>
      <c r="AE206" s="82"/>
      <c r="AF206" s="82"/>
      <c r="AG206" s="82"/>
      <c r="AH206" s="82"/>
      <c r="AI206" s="82"/>
      <c r="AJ206" s="82"/>
      <c r="AK206" s="82"/>
      <c r="AL206" s="82"/>
      <c r="AM206" s="82"/>
      <c r="AN206" s="82"/>
      <c r="AO206" s="82"/>
      <c r="AP206" s="82"/>
      <c r="AQ206" s="82"/>
      <c r="AR206" s="82"/>
      <c r="AS206" s="82"/>
      <c r="AT206" s="82"/>
      <c r="AU206" s="82"/>
      <c r="AV206" s="82"/>
      <c r="AW206" s="82"/>
      <c r="AX206" s="82"/>
      <c r="AY206" s="82"/>
      <c r="AZ206" s="82"/>
    </row>
    <row r="207" spans="1:52" hidden="1" x14ac:dyDescent="0.25">
      <c r="A207" s="82"/>
      <c r="B207" s="82"/>
      <c r="C207" s="82"/>
      <c r="D207" s="82"/>
      <c r="E207" s="82"/>
      <c r="F207" s="82"/>
      <c r="G207" s="82"/>
      <c r="H207" s="82"/>
      <c r="I207" s="82"/>
      <c r="J207" s="82"/>
      <c r="K207" s="82"/>
      <c r="L207" s="82"/>
      <c r="M207" s="82"/>
      <c r="N207" s="82"/>
      <c r="O207" s="82"/>
      <c r="P207" s="82"/>
      <c r="Q207" s="82"/>
      <c r="R207" s="82"/>
      <c r="S207" s="82"/>
      <c r="T207" s="82"/>
      <c r="U207" s="82"/>
      <c r="V207" s="82"/>
      <c r="W207" s="82"/>
      <c r="X207" s="82"/>
      <c r="Y207" s="82"/>
      <c r="Z207" s="82"/>
      <c r="AA207" s="82"/>
      <c r="AB207" s="82"/>
      <c r="AC207" s="82"/>
      <c r="AD207" s="82"/>
      <c r="AE207" s="82"/>
      <c r="AF207" s="82"/>
      <c r="AG207" s="82"/>
      <c r="AH207" s="82"/>
      <c r="AI207" s="82"/>
      <c r="AJ207" s="82"/>
      <c r="AK207" s="82"/>
      <c r="AL207" s="82"/>
      <c r="AM207" s="82"/>
      <c r="AN207" s="82"/>
      <c r="AO207" s="82"/>
      <c r="AP207" s="82"/>
      <c r="AQ207" s="82"/>
      <c r="AR207" s="82"/>
      <c r="AS207" s="82"/>
      <c r="AT207" s="82"/>
      <c r="AU207" s="82"/>
      <c r="AV207" s="82"/>
      <c r="AW207" s="82"/>
      <c r="AX207" s="82"/>
      <c r="AY207" s="82"/>
      <c r="AZ207" s="82"/>
    </row>
    <row r="208" spans="1:52" hidden="1" x14ac:dyDescent="0.25">
      <c r="A208" s="82"/>
      <c r="B208" s="82"/>
      <c r="C208" s="82"/>
      <c r="D208" s="82"/>
      <c r="E208" s="82"/>
      <c r="F208" s="82"/>
      <c r="G208" s="82"/>
      <c r="H208" s="82"/>
      <c r="I208" s="82"/>
      <c r="J208" s="82"/>
      <c r="K208" s="82"/>
      <c r="L208" s="82"/>
      <c r="M208" s="82"/>
      <c r="N208" s="82"/>
      <c r="O208" s="82"/>
      <c r="P208" s="82"/>
      <c r="Q208" s="82"/>
      <c r="R208" s="82"/>
      <c r="S208" s="82"/>
      <c r="T208" s="82"/>
      <c r="U208" s="82"/>
      <c r="V208" s="82"/>
      <c r="W208" s="82"/>
      <c r="X208" s="82"/>
      <c r="Y208" s="82"/>
      <c r="Z208" s="82"/>
      <c r="AA208" s="82"/>
      <c r="AB208" s="82"/>
      <c r="AC208" s="82"/>
      <c r="AD208" s="82"/>
      <c r="AE208" s="82"/>
      <c r="AF208" s="82"/>
      <c r="AG208" s="82"/>
      <c r="AH208" s="82"/>
      <c r="AI208" s="82"/>
      <c r="AJ208" s="82"/>
      <c r="AK208" s="82"/>
      <c r="AL208" s="82"/>
      <c r="AM208" s="82"/>
      <c r="AN208" s="82"/>
      <c r="AO208" s="82"/>
      <c r="AP208" s="82"/>
      <c r="AQ208" s="82"/>
      <c r="AR208" s="82"/>
      <c r="AS208" s="82"/>
      <c r="AT208" s="82"/>
      <c r="AU208" s="82"/>
      <c r="AV208" s="82"/>
      <c r="AW208" s="82"/>
      <c r="AX208" s="82"/>
      <c r="AY208" s="82"/>
      <c r="AZ208" s="82"/>
    </row>
    <row r="209" spans="1:52" hidden="1" x14ac:dyDescent="0.25">
      <c r="A209" s="82"/>
      <c r="B209" s="82"/>
      <c r="C209" s="82"/>
      <c r="D209" s="82"/>
      <c r="E209" s="82"/>
      <c r="F209" s="82"/>
      <c r="G209" s="82"/>
      <c r="H209" s="82"/>
      <c r="I209" s="82"/>
      <c r="J209" s="82"/>
      <c r="K209" s="82"/>
      <c r="L209" s="82"/>
      <c r="M209" s="82"/>
      <c r="N209" s="82"/>
      <c r="O209" s="82"/>
      <c r="P209" s="82"/>
      <c r="Q209" s="82"/>
      <c r="R209" s="82"/>
      <c r="S209" s="82"/>
      <c r="T209" s="82"/>
      <c r="U209" s="82"/>
      <c r="V209" s="82"/>
      <c r="W209" s="82"/>
      <c r="X209" s="82"/>
      <c r="Y209" s="82"/>
      <c r="Z209" s="82"/>
      <c r="AA209" s="82"/>
      <c r="AB209" s="82"/>
      <c r="AC209" s="82"/>
      <c r="AD209" s="82"/>
      <c r="AE209" s="82"/>
      <c r="AF209" s="82"/>
      <c r="AG209" s="82"/>
      <c r="AH209" s="82"/>
      <c r="AI209" s="82"/>
      <c r="AJ209" s="82"/>
      <c r="AK209" s="82"/>
      <c r="AL209" s="82"/>
      <c r="AM209" s="82"/>
      <c r="AN209" s="82"/>
      <c r="AO209" s="82"/>
      <c r="AP209" s="82"/>
      <c r="AQ209" s="82"/>
      <c r="AR209" s="82"/>
      <c r="AS209" s="82"/>
      <c r="AT209" s="82"/>
      <c r="AU209" s="82"/>
      <c r="AV209" s="82"/>
      <c r="AW209" s="82"/>
      <c r="AX209" s="82"/>
      <c r="AY209" s="82"/>
      <c r="AZ209" s="82"/>
    </row>
    <row r="210" spans="1:52" hidden="1" x14ac:dyDescent="0.25">
      <c r="A210" s="82"/>
      <c r="B210" s="82"/>
      <c r="C210" s="82"/>
      <c r="D210" s="82"/>
      <c r="E210" s="82"/>
      <c r="F210" s="82"/>
      <c r="G210" s="82"/>
      <c r="H210" s="82"/>
      <c r="I210" s="82"/>
      <c r="J210" s="82"/>
      <c r="K210" s="82"/>
      <c r="L210" s="82"/>
      <c r="M210" s="82"/>
      <c r="N210" s="82"/>
      <c r="O210" s="82"/>
      <c r="P210" s="82"/>
      <c r="Q210" s="82"/>
      <c r="R210" s="82"/>
      <c r="S210" s="82"/>
      <c r="T210" s="82"/>
      <c r="U210" s="82"/>
      <c r="V210" s="82"/>
      <c r="W210" s="82"/>
      <c r="X210" s="82"/>
      <c r="Y210" s="82"/>
      <c r="Z210" s="82"/>
      <c r="AA210" s="82"/>
      <c r="AB210" s="82"/>
      <c r="AC210" s="82"/>
      <c r="AD210" s="82"/>
      <c r="AE210" s="82"/>
      <c r="AF210" s="82"/>
      <c r="AG210" s="82"/>
      <c r="AH210" s="82"/>
      <c r="AI210" s="82"/>
      <c r="AJ210" s="82"/>
      <c r="AK210" s="82"/>
      <c r="AL210" s="82"/>
      <c r="AM210" s="82"/>
      <c r="AN210" s="82"/>
      <c r="AO210" s="82"/>
      <c r="AP210" s="82"/>
      <c r="AQ210" s="82"/>
      <c r="AR210" s="82"/>
      <c r="AS210" s="82"/>
      <c r="AT210" s="82"/>
      <c r="AU210" s="82"/>
      <c r="AV210" s="82"/>
      <c r="AW210" s="82"/>
      <c r="AX210" s="82"/>
      <c r="AY210" s="82"/>
      <c r="AZ210" s="82"/>
    </row>
    <row r="211" spans="1:52" hidden="1" x14ac:dyDescent="0.25">
      <c r="A211" s="82"/>
      <c r="B211" s="82"/>
      <c r="C211" s="82"/>
      <c r="D211" s="82"/>
      <c r="E211" s="82"/>
      <c r="F211" s="82"/>
      <c r="G211" s="82"/>
      <c r="H211" s="82"/>
      <c r="I211" s="82"/>
      <c r="J211" s="82"/>
      <c r="K211" s="82"/>
      <c r="L211" s="82"/>
      <c r="M211" s="82"/>
      <c r="N211" s="82"/>
      <c r="O211" s="82"/>
      <c r="P211" s="82"/>
      <c r="Q211" s="82"/>
      <c r="R211" s="82"/>
      <c r="S211" s="82"/>
      <c r="T211" s="82"/>
      <c r="U211" s="82"/>
      <c r="V211" s="82"/>
      <c r="W211" s="82"/>
      <c r="X211" s="82"/>
      <c r="Y211" s="82"/>
      <c r="Z211" s="82"/>
      <c r="AA211" s="82"/>
      <c r="AB211" s="82"/>
      <c r="AC211" s="82"/>
      <c r="AD211" s="82"/>
      <c r="AE211" s="82"/>
      <c r="AF211" s="82"/>
      <c r="AG211" s="82"/>
      <c r="AH211" s="82"/>
      <c r="AI211" s="82"/>
      <c r="AJ211" s="82"/>
      <c r="AK211" s="82"/>
      <c r="AL211" s="82"/>
      <c r="AM211" s="82"/>
      <c r="AN211" s="82"/>
      <c r="AO211" s="82"/>
      <c r="AP211" s="82"/>
      <c r="AQ211" s="82"/>
      <c r="AR211" s="82"/>
      <c r="AS211" s="82"/>
      <c r="AT211" s="82"/>
      <c r="AU211" s="82"/>
      <c r="AV211" s="82"/>
      <c r="AW211" s="82"/>
      <c r="AX211" s="82"/>
      <c r="AY211" s="82"/>
      <c r="AZ211" s="82"/>
    </row>
    <row r="212" spans="1:52" hidden="1" x14ac:dyDescent="0.25">
      <c r="A212" s="82"/>
      <c r="B212" s="82"/>
      <c r="C212" s="82"/>
      <c r="D212" s="82"/>
      <c r="E212" s="82"/>
      <c r="F212" s="82"/>
      <c r="G212" s="82"/>
      <c r="H212" s="82"/>
      <c r="I212" s="82"/>
      <c r="J212" s="82"/>
      <c r="K212" s="82"/>
      <c r="L212" s="82"/>
      <c r="M212" s="82"/>
      <c r="N212" s="82"/>
      <c r="O212" s="82"/>
      <c r="P212" s="82"/>
      <c r="Q212" s="82"/>
      <c r="R212" s="82"/>
      <c r="S212" s="82"/>
      <c r="T212" s="82"/>
      <c r="U212" s="82"/>
      <c r="V212" s="82"/>
      <c r="W212" s="82"/>
      <c r="X212" s="82"/>
      <c r="Y212" s="82"/>
      <c r="Z212" s="82"/>
      <c r="AA212" s="82"/>
      <c r="AB212" s="82"/>
      <c r="AC212" s="82"/>
      <c r="AD212" s="82"/>
      <c r="AE212" s="82"/>
      <c r="AF212" s="82"/>
      <c r="AG212" s="82"/>
      <c r="AH212" s="82"/>
      <c r="AI212" s="82"/>
      <c r="AJ212" s="82"/>
      <c r="AK212" s="82"/>
      <c r="AL212" s="82"/>
      <c r="AM212" s="82"/>
      <c r="AN212" s="82"/>
      <c r="AO212" s="82"/>
      <c r="AP212" s="82"/>
      <c r="AQ212" s="82"/>
      <c r="AR212" s="82"/>
      <c r="AS212" s="82"/>
      <c r="AT212" s="82"/>
      <c r="AU212" s="82"/>
      <c r="AV212" s="82"/>
      <c r="AW212" s="82"/>
      <c r="AX212" s="82"/>
      <c r="AY212" s="82"/>
      <c r="AZ212" s="82"/>
    </row>
    <row r="213" spans="1:52" hidden="1" x14ac:dyDescent="0.25">
      <c r="A213" s="82"/>
      <c r="B213" s="82"/>
      <c r="C213" s="82"/>
      <c r="D213" s="82"/>
      <c r="E213" s="82"/>
      <c r="F213" s="82"/>
      <c r="G213" s="82"/>
      <c r="H213" s="82"/>
      <c r="I213" s="82"/>
      <c r="J213" s="82"/>
      <c r="K213" s="82"/>
      <c r="L213" s="82"/>
      <c r="M213" s="82"/>
      <c r="N213" s="82"/>
      <c r="O213" s="82"/>
      <c r="P213" s="82"/>
      <c r="Q213" s="82"/>
      <c r="R213" s="82"/>
      <c r="S213" s="82"/>
      <c r="T213" s="82"/>
      <c r="U213" s="82"/>
      <c r="V213" s="82"/>
      <c r="W213" s="82"/>
      <c r="X213" s="82"/>
      <c r="Y213" s="82"/>
      <c r="Z213" s="82"/>
      <c r="AA213" s="82"/>
      <c r="AB213" s="82"/>
      <c r="AC213" s="82"/>
      <c r="AD213" s="82"/>
      <c r="AE213" s="82"/>
      <c r="AF213" s="82"/>
      <c r="AG213" s="82"/>
      <c r="AH213" s="82"/>
      <c r="AI213" s="82"/>
      <c r="AJ213" s="82"/>
      <c r="AK213" s="82"/>
      <c r="AL213" s="82"/>
      <c r="AM213" s="82"/>
      <c r="AN213" s="82"/>
      <c r="AO213" s="82"/>
      <c r="AP213" s="82"/>
      <c r="AQ213" s="82"/>
      <c r="AR213" s="82"/>
      <c r="AS213" s="82"/>
      <c r="AT213" s="82"/>
      <c r="AU213" s="82"/>
      <c r="AV213" s="82"/>
      <c r="AW213" s="82"/>
      <c r="AX213" s="82"/>
      <c r="AY213" s="82"/>
      <c r="AZ213" s="82"/>
    </row>
    <row r="214" spans="1:52" hidden="1" x14ac:dyDescent="0.25">
      <c r="A214" s="82"/>
      <c r="B214" s="82"/>
      <c r="C214" s="82"/>
      <c r="D214" s="82"/>
      <c r="E214" s="82"/>
      <c r="F214" s="82"/>
      <c r="G214" s="82"/>
      <c r="H214" s="82"/>
      <c r="I214" s="82"/>
      <c r="J214" s="82"/>
      <c r="K214" s="82"/>
      <c r="L214" s="82"/>
      <c r="M214" s="82"/>
      <c r="N214" s="82"/>
      <c r="O214" s="82"/>
      <c r="P214" s="82"/>
      <c r="Q214" s="82"/>
      <c r="R214" s="82"/>
      <c r="S214" s="82"/>
      <c r="T214" s="82"/>
      <c r="U214" s="82"/>
      <c r="V214" s="82"/>
      <c r="W214" s="82"/>
      <c r="X214" s="82"/>
      <c r="Y214" s="82"/>
      <c r="Z214" s="82"/>
      <c r="AA214" s="82"/>
      <c r="AB214" s="82"/>
      <c r="AC214" s="82"/>
      <c r="AD214" s="82"/>
      <c r="AE214" s="82"/>
      <c r="AF214" s="82"/>
      <c r="AG214" s="82"/>
      <c r="AH214" s="82"/>
      <c r="AI214" s="82"/>
      <c r="AJ214" s="82"/>
      <c r="AK214" s="82"/>
      <c r="AL214" s="82"/>
      <c r="AM214" s="82"/>
      <c r="AN214" s="82"/>
      <c r="AO214" s="82"/>
      <c r="AP214" s="82"/>
      <c r="AQ214" s="82"/>
      <c r="AR214" s="82"/>
      <c r="AS214" s="82"/>
      <c r="AT214" s="82"/>
      <c r="AU214" s="82"/>
      <c r="AV214" s="82"/>
      <c r="AW214" s="82"/>
      <c r="AX214" s="82"/>
      <c r="AY214" s="82"/>
      <c r="AZ214" s="82"/>
    </row>
    <row r="215" spans="1:52" hidden="1" x14ac:dyDescent="0.25">
      <c r="A215" s="82"/>
      <c r="B215" s="82"/>
      <c r="C215" s="82"/>
      <c r="D215" s="82"/>
      <c r="E215" s="82"/>
      <c r="F215" s="82"/>
      <c r="G215" s="82"/>
      <c r="H215" s="82"/>
      <c r="I215" s="82"/>
      <c r="J215" s="82"/>
      <c r="K215" s="82"/>
      <c r="L215" s="82"/>
      <c r="M215" s="82"/>
      <c r="N215" s="82"/>
      <c r="O215" s="82"/>
      <c r="P215" s="82"/>
      <c r="Q215" s="82"/>
      <c r="R215" s="82"/>
      <c r="S215" s="82"/>
      <c r="T215" s="82"/>
      <c r="U215" s="82"/>
      <c r="V215" s="82"/>
      <c r="W215" s="82"/>
      <c r="X215" s="82"/>
      <c r="Y215" s="82"/>
      <c r="Z215" s="82"/>
      <c r="AA215" s="82"/>
      <c r="AB215" s="82"/>
      <c r="AC215" s="82"/>
      <c r="AD215" s="82"/>
      <c r="AE215" s="82"/>
      <c r="AF215" s="82"/>
      <c r="AG215" s="82"/>
      <c r="AH215" s="82"/>
      <c r="AI215" s="82"/>
      <c r="AJ215" s="82"/>
      <c r="AK215" s="82"/>
      <c r="AL215" s="82"/>
      <c r="AM215" s="82"/>
      <c r="AN215" s="82"/>
      <c r="AO215" s="82"/>
      <c r="AP215" s="82"/>
      <c r="AQ215" s="82"/>
      <c r="AR215" s="82"/>
      <c r="AS215" s="82"/>
      <c r="AT215" s="82"/>
      <c r="AU215" s="82"/>
      <c r="AV215" s="82"/>
      <c r="AW215" s="82"/>
      <c r="AX215" s="82"/>
      <c r="AY215" s="82"/>
      <c r="AZ215" s="82"/>
    </row>
    <row r="216" spans="1:52" hidden="1" x14ac:dyDescent="0.25">
      <c r="A216" s="82"/>
      <c r="B216" s="82"/>
      <c r="C216" s="82"/>
      <c r="D216" s="82"/>
      <c r="E216" s="82"/>
      <c r="F216" s="82"/>
      <c r="G216" s="82"/>
      <c r="H216" s="82"/>
      <c r="I216" s="82"/>
      <c r="J216" s="82"/>
      <c r="K216" s="82"/>
      <c r="L216" s="82"/>
      <c r="M216" s="82"/>
      <c r="N216" s="82"/>
      <c r="O216" s="82"/>
      <c r="P216" s="82"/>
      <c r="Q216" s="82"/>
      <c r="R216" s="82"/>
      <c r="S216" s="82"/>
      <c r="T216" s="82"/>
      <c r="U216" s="82"/>
      <c r="V216" s="82"/>
      <c r="W216" s="82"/>
      <c r="X216" s="82"/>
      <c r="Y216" s="82"/>
      <c r="Z216" s="82"/>
      <c r="AA216" s="82"/>
      <c r="AB216" s="82"/>
      <c r="AC216" s="82"/>
      <c r="AD216" s="82"/>
      <c r="AE216" s="82"/>
      <c r="AF216" s="82"/>
      <c r="AG216" s="82"/>
      <c r="AH216" s="82"/>
      <c r="AI216" s="82"/>
      <c r="AJ216" s="82"/>
      <c r="AK216" s="82"/>
      <c r="AL216" s="82"/>
      <c r="AM216" s="82"/>
      <c r="AN216" s="82"/>
      <c r="AO216" s="82"/>
      <c r="AP216" s="82"/>
      <c r="AQ216" s="82"/>
      <c r="AR216" s="82"/>
      <c r="AS216" s="82"/>
      <c r="AT216" s="82"/>
      <c r="AU216" s="82"/>
      <c r="AV216" s="82"/>
      <c r="AW216" s="82"/>
      <c r="AX216" s="82"/>
      <c r="AY216" s="82"/>
      <c r="AZ216" s="82"/>
    </row>
    <row r="217" spans="1:52" hidden="1" x14ac:dyDescent="0.25">
      <c r="A217" s="82"/>
      <c r="B217" s="82"/>
      <c r="C217" s="82"/>
      <c r="D217" s="82"/>
      <c r="E217" s="82"/>
      <c r="F217" s="82"/>
      <c r="G217" s="82"/>
      <c r="H217" s="82"/>
      <c r="I217" s="82"/>
      <c r="J217" s="82"/>
      <c r="K217" s="82"/>
      <c r="L217" s="82"/>
      <c r="M217" s="82"/>
      <c r="N217" s="82"/>
      <c r="O217" s="82"/>
      <c r="P217" s="82"/>
      <c r="Q217" s="82"/>
      <c r="R217" s="82"/>
      <c r="S217" s="82"/>
      <c r="T217" s="82"/>
      <c r="U217" s="82"/>
      <c r="V217" s="82"/>
      <c r="W217" s="82"/>
      <c r="X217" s="82"/>
      <c r="Y217" s="82"/>
      <c r="Z217" s="82"/>
      <c r="AA217" s="82"/>
      <c r="AB217" s="82"/>
      <c r="AC217" s="82"/>
      <c r="AD217" s="82"/>
      <c r="AE217" s="82"/>
      <c r="AF217" s="82"/>
      <c r="AG217" s="82"/>
      <c r="AH217" s="82"/>
      <c r="AI217" s="82"/>
      <c r="AJ217" s="82"/>
      <c r="AK217" s="82"/>
      <c r="AL217" s="82"/>
      <c r="AM217" s="82"/>
      <c r="AN217" s="82"/>
      <c r="AO217" s="82"/>
      <c r="AP217" s="82"/>
      <c r="AQ217" s="82"/>
      <c r="AR217" s="82"/>
      <c r="AS217" s="82"/>
      <c r="AT217" s="82"/>
      <c r="AU217" s="82"/>
      <c r="AV217" s="82"/>
      <c r="AW217" s="82"/>
      <c r="AX217" s="82"/>
      <c r="AY217" s="82"/>
      <c r="AZ217" s="82"/>
    </row>
    <row r="218" spans="1:52" hidden="1" x14ac:dyDescent="0.25">
      <c r="A218" s="82"/>
      <c r="B218" s="82"/>
      <c r="C218" s="82"/>
      <c r="D218" s="82"/>
      <c r="E218" s="82"/>
      <c r="F218" s="82"/>
      <c r="G218" s="82"/>
      <c r="H218" s="82"/>
      <c r="I218" s="82"/>
      <c r="J218" s="82"/>
      <c r="K218" s="82"/>
      <c r="L218" s="82"/>
      <c r="M218" s="82"/>
      <c r="N218" s="82"/>
      <c r="O218" s="82"/>
      <c r="P218" s="82"/>
      <c r="Q218" s="82"/>
      <c r="R218" s="82"/>
      <c r="S218" s="82"/>
      <c r="T218" s="82"/>
      <c r="U218" s="82"/>
      <c r="V218" s="82"/>
      <c r="W218" s="82"/>
      <c r="X218" s="82"/>
      <c r="Y218" s="82"/>
      <c r="Z218" s="82"/>
      <c r="AA218" s="82"/>
      <c r="AB218" s="82"/>
      <c r="AC218" s="82"/>
      <c r="AD218" s="82"/>
      <c r="AE218" s="82"/>
      <c r="AF218" s="82"/>
      <c r="AG218" s="82"/>
      <c r="AH218" s="82"/>
      <c r="AI218" s="82"/>
      <c r="AJ218" s="82"/>
      <c r="AK218" s="82"/>
      <c r="AL218" s="82"/>
      <c r="AM218" s="82"/>
      <c r="AN218" s="82"/>
      <c r="AO218" s="82"/>
      <c r="AP218" s="82"/>
      <c r="AQ218" s="82"/>
      <c r="AR218" s="82"/>
      <c r="AS218" s="82"/>
      <c r="AT218" s="82"/>
      <c r="AU218" s="82"/>
      <c r="AV218" s="82"/>
      <c r="AW218" s="82"/>
      <c r="AX218" s="82"/>
      <c r="AY218" s="82"/>
      <c r="AZ218" s="82"/>
    </row>
    <row r="219" spans="1:52" hidden="1" x14ac:dyDescent="0.25">
      <c r="A219" s="82"/>
      <c r="B219" s="82"/>
      <c r="C219" s="82"/>
      <c r="D219" s="82"/>
      <c r="E219" s="82"/>
      <c r="F219" s="82"/>
      <c r="G219" s="82"/>
      <c r="H219" s="82"/>
      <c r="I219" s="82"/>
      <c r="J219" s="82"/>
      <c r="K219" s="82"/>
      <c r="L219" s="82"/>
      <c r="M219" s="82"/>
      <c r="N219" s="82"/>
      <c r="O219" s="82"/>
      <c r="P219" s="82"/>
      <c r="Q219" s="82"/>
      <c r="R219" s="82"/>
      <c r="S219" s="82"/>
      <c r="T219" s="82"/>
      <c r="U219" s="82"/>
      <c r="V219" s="82"/>
      <c r="W219" s="82"/>
      <c r="X219" s="82"/>
      <c r="Y219" s="82"/>
      <c r="Z219" s="82"/>
      <c r="AA219" s="82"/>
      <c r="AB219" s="82"/>
      <c r="AC219" s="82"/>
      <c r="AD219" s="82"/>
      <c r="AE219" s="82"/>
      <c r="AF219" s="82"/>
      <c r="AG219" s="82"/>
      <c r="AH219" s="82"/>
      <c r="AI219" s="82"/>
      <c r="AJ219" s="82"/>
      <c r="AK219" s="82"/>
      <c r="AL219" s="82"/>
      <c r="AM219" s="82"/>
      <c r="AN219" s="82"/>
      <c r="AO219" s="82"/>
      <c r="AP219" s="82"/>
      <c r="AQ219" s="82"/>
      <c r="AR219" s="82"/>
      <c r="AS219" s="82"/>
      <c r="AT219" s="82"/>
      <c r="AU219" s="82"/>
      <c r="AV219" s="82"/>
      <c r="AW219" s="82"/>
      <c r="AX219" s="82"/>
      <c r="AY219" s="82"/>
      <c r="AZ219" s="82"/>
    </row>
    <row r="220" spans="1:52" hidden="1" x14ac:dyDescent="0.25">
      <c r="A220" s="82"/>
      <c r="B220" s="82"/>
      <c r="C220" s="82"/>
      <c r="D220" s="82"/>
      <c r="E220" s="82"/>
      <c r="F220" s="82"/>
      <c r="G220" s="82"/>
      <c r="H220" s="82"/>
      <c r="I220" s="82"/>
      <c r="J220" s="82"/>
      <c r="K220" s="82"/>
      <c r="L220" s="82"/>
      <c r="M220" s="82"/>
      <c r="N220" s="82"/>
      <c r="O220" s="82"/>
      <c r="P220" s="82"/>
      <c r="Q220" s="82"/>
      <c r="R220" s="82"/>
      <c r="S220" s="82"/>
      <c r="T220" s="82"/>
      <c r="U220" s="82"/>
      <c r="V220" s="82"/>
      <c r="W220" s="82"/>
      <c r="X220" s="82"/>
      <c r="Y220" s="82"/>
      <c r="Z220" s="82"/>
      <c r="AA220" s="82"/>
      <c r="AB220" s="82"/>
      <c r="AC220" s="82"/>
      <c r="AD220" s="82"/>
      <c r="AE220" s="82"/>
      <c r="AF220" s="82"/>
      <c r="AG220" s="82"/>
      <c r="AH220" s="82"/>
      <c r="AI220" s="82"/>
      <c r="AJ220" s="82"/>
      <c r="AK220" s="82"/>
      <c r="AL220" s="82"/>
      <c r="AM220" s="82"/>
      <c r="AN220" s="82"/>
      <c r="AO220" s="82"/>
      <c r="AP220" s="82"/>
      <c r="AQ220" s="82"/>
      <c r="AR220" s="82"/>
      <c r="AS220" s="82"/>
      <c r="AT220" s="82"/>
      <c r="AU220" s="82"/>
      <c r="AV220" s="82"/>
      <c r="AW220" s="82"/>
      <c r="AX220" s="82"/>
      <c r="AY220" s="82"/>
      <c r="AZ220" s="82"/>
    </row>
    <row r="221" spans="1:52" hidden="1" x14ac:dyDescent="0.25"/>
    <row r="222" spans="1:52" hidden="1" x14ac:dyDescent="0.25"/>
    <row r="223" spans="1:52" hidden="1" x14ac:dyDescent="0.25"/>
    <row r="224" spans="1:52"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sheetData>
  <mergeCells count="1">
    <mergeCell ref="B2:G2"/>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8</vt:i4>
      </vt:variant>
    </vt:vector>
  </HeadingPairs>
  <TitlesOfParts>
    <vt:vector size="8" baseType="lpstr">
      <vt:lpstr>Despesas</vt:lpstr>
      <vt:lpstr>Controle</vt:lpstr>
      <vt:lpstr>Resumo e Rateio</vt:lpstr>
      <vt:lpstr>Config</vt:lpstr>
      <vt:lpstr>Import</vt:lpstr>
      <vt:lpstr>Fila</vt:lpstr>
      <vt:lpstr>Editar</vt:lpstr>
      <vt:lpstr>Cadastros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Usuário do Windows</cp:lastModifiedBy>
  <dcterms:created xsi:type="dcterms:W3CDTF">2026-09-07T18:47:14Z</dcterms:created>
  <dcterms:modified xsi:type="dcterms:W3CDTF">2026-09-09T21:32:31Z</dcterms:modified>
</cp:coreProperties>
</file>