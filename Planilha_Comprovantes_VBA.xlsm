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210" yWindow="495" windowWidth="20100" windowHeight="9660" activeTab="7"/>
  </bookViews>
  <sheets>
    <sheet name="Despesas" sheetId="1" r:id="rId1"/>
    <sheet name="Controle" sheetId="2" r:id="rId2"/>
    <sheet name="Resumo e Rateio" sheetId="3" r:id="rId3"/>
    <sheet name="Config" sheetId="4" r:id="rId4"/>
    <sheet name="Import" sheetId="5" r:id="rId5"/>
    <sheet name="Fila" sheetId="6" r:id="rId6"/>
    <sheet name="Editar" sheetId="7" state="hidden" r:id="rId7"/>
    <sheet name="Cadastros" sheetId="8" r:id="rId8"/>
  </sheets>
  <functionGroups builtInGroupCount="17"/>
  <definedNames>
    <definedName name="_FilterDatabase" localSheetId="1" hidden="1">Controle!$A$3:$I$151</definedName>
    <definedName name="_xlnm._FilterDatabase" localSheetId="1" hidden="1">Controle!$A$3:$I$36</definedName>
  </definedNames>
  <calcPr calcId="145621"/>
</workbook>
</file>

<file path=xl/calcChain.xml><?xml version="1.0" encoding="utf-8"?>
<calcChain xmlns="http://schemas.openxmlformats.org/spreadsheetml/2006/main">
  <c r="C14" i="3" l="1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T122" i="1"/>
  <c r="S122" i="1"/>
  <c r="Q122" i="1"/>
  <c r="P122" i="1"/>
  <c r="T120" i="1"/>
  <c r="S120" i="1"/>
  <c r="Q120" i="1"/>
  <c r="P120" i="1"/>
  <c r="T119" i="1"/>
  <c r="S119" i="1"/>
  <c r="Q119" i="1"/>
  <c r="P119" i="1"/>
  <c r="T118" i="1"/>
  <c r="S118" i="1"/>
  <c r="Q118" i="1"/>
  <c r="P118" i="1"/>
  <c r="T117" i="1"/>
  <c r="S117" i="1"/>
  <c r="Q117" i="1"/>
  <c r="P117" i="1"/>
  <c r="T116" i="1"/>
  <c r="S116" i="1"/>
  <c r="Q116" i="1"/>
  <c r="P116" i="1"/>
  <c r="T115" i="1"/>
  <c r="S115" i="1"/>
  <c r="Q115" i="1"/>
  <c r="P115" i="1"/>
  <c r="T114" i="1"/>
  <c r="S114" i="1"/>
  <c r="Q114" i="1"/>
  <c r="P114" i="1"/>
  <c r="T113" i="1"/>
  <c r="S113" i="1"/>
  <c r="Q113" i="1"/>
  <c r="P113" i="1"/>
  <c r="T112" i="1"/>
  <c r="S112" i="1"/>
  <c r="Q112" i="1"/>
  <c r="P112" i="1"/>
  <c r="T111" i="1"/>
  <c r="S111" i="1"/>
  <c r="Q111" i="1"/>
  <c r="P111" i="1"/>
  <c r="T110" i="1"/>
  <c r="S110" i="1"/>
  <c r="Q110" i="1"/>
  <c r="P110" i="1"/>
  <c r="T109" i="1"/>
  <c r="S109" i="1"/>
  <c r="Q109" i="1"/>
  <c r="P109" i="1"/>
  <c r="T108" i="1"/>
  <c r="S108" i="1"/>
  <c r="Q108" i="1"/>
  <c r="P108" i="1"/>
  <c r="T107" i="1"/>
  <c r="S107" i="1"/>
  <c r="Q107" i="1"/>
  <c r="P107" i="1"/>
  <c r="T106" i="1"/>
  <c r="S106" i="1"/>
  <c r="Q106" i="1"/>
  <c r="P106" i="1"/>
  <c r="T105" i="1"/>
  <c r="S105" i="1"/>
  <c r="Q105" i="1"/>
  <c r="P105" i="1"/>
  <c r="T104" i="1"/>
  <c r="S104" i="1"/>
  <c r="Q104" i="1"/>
  <c r="P104" i="1"/>
  <c r="T103" i="1"/>
  <c r="S103" i="1"/>
  <c r="Q103" i="1"/>
  <c r="P103" i="1"/>
  <c r="T102" i="1"/>
  <c r="S102" i="1"/>
  <c r="Q102" i="1"/>
  <c r="P102" i="1"/>
  <c r="T101" i="1"/>
  <c r="S101" i="1"/>
  <c r="Q101" i="1"/>
  <c r="P101" i="1"/>
  <c r="T100" i="1"/>
  <c r="S100" i="1"/>
  <c r="Q100" i="1"/>
  <c r="P100" i="1"/>
  <c r="T99" i="1"/>
  <c r="S99" i="1"/>
  <c r="Q99" i="1"/>
  <c r="P99" i="1"/>
  <c r="T98" i="1"/>
  <c r="S98" i="1"/>
  <c r="Q98" i="1"/>
  <c r="P98" i="1"/>
  <c r="T97" i="1"/>
  <c r="S97" i="1"/>
  <c r="Q97" i="1"/>
  <c r="P97" i="1"/>
  <c r="T96" i="1"/>
  <c r="S96" i="1"/>
  <c r="Q96" i="1"/>
  <c r="P96" i="1"/>
  <c r="T95" i="1"/>
  <c r="S95" i="1"/>
  <c r="Q95" i="1"/>
  <c r="P95" i="1"/>
  <c r="T94" i="1"/>
  <c r="S94" i="1"/>
  <c r="Q94" i="1"/>
  <c r="P94" i="1"/>
  <c r="T93" i="1"/>
  <c r="S93" i="1"/>
  <c r="Q93" i="1"/>
  <c r="P93" i="1"/>
  <c r="T92" i="1"/>
  <c r="S92" i="1"/>
  <c r="Q92" i="1"/>
  <c r="P92" i="1"/>
  <c r="T91" i="1"/>
  <c r="S91" i="1"/>
  <c r="Q91" i="1"/>
  <c r="P91" i="1"/>
  <c r="T90" i="1"/>
  <c r="S90" i="1"/>
  <c r="Q90" i="1"/>
  <c r="P90" i="1"/>
  <c r="T89" i="1"/>
  <c r="S89" i="1"/>
  <c r="Q89" i="1"/>
  <c r="P89" i="1"/>
  <c r="T88" i="1"/>
  <c r="S88" i="1"/>
  <c r="Q88" i="1"/>
  <c r="P88" i="1"/>
  <c r="T87" i="1"/>
  <c r="S87" i="1"/>
  <c r="Q87" i="1"/>
  <c r="P87" i="1"/>
  <c r="T86" i="1"/>
  <c r="S86" i="1"/>
  <c r="Q86" i="1"/>
  <c r="P86" i="1"/>
  <c r="T85" i="1"/>
  <c r="S85" i="1"/>
  <c r="Q85" i="1"/>
  <c r="P85" i="1"/>
  <c r="T84" i="1"/>
  <c r="S84" i="1"/>
  <c r="Q84" i="1"/>
  <c r="P84" i="1"/>
  <c r="T83" i="1"/>
  <c r="S83" i="1"/>
  <c r="Q83" i="1"/>
  <c r="P83" i="1"/>
  <c r="T82" i="1"/>
  <c r="S82" i="1"/>
  <c r="Q82" i="1"/>
  <c r="P82" i="1"/>
  <c r="T81" i="1"/>
  <c r="S81" i="1"/>
  <c r="Q81" i="1"/>
  <c r="P81" i="1"/>
  <c r="T80" i="1"/>
  <c r="S80" i="1"/>
  <c r="Q80" i="1"/>
  <c r="P80" i="1"/>
  <c r="T79" i="1"/>
  <c r="S79" i="1"/>
  <c r="Q79" i="1"/>
  <c r="P79" i="1"/>
  <c r="T78" i="1"/>
  <c r="S78" i="1"/>
  <c r="Q78" i="1"/>
  <c r="P78" i="1"/>
  <c r="T77" i="1"/>
  <c r="S77" i="1"/>
  <c r="Q77" i="1"/>
  <c r="P77" i="1"/>
  <c r="T76" i="1"/>
  <c r="S76" i="1"/>
  <c r="Q76" i="1"/>
  <c r="P76" i="1"/>
  <c r="T75" i="1"/>
  <c r="S75" i="1"/>
  <c r="Q75" i="1"/>
  <c r="P75" i="1"/>
  <c r="T74" i="1"/>
  <c r="S74" i="1"/>
  <c r="Q74" i="1"/>
  <c r="P74" i="1"/>
  <c r="T73" i="1"/>
  <c r="S73" i="1"/>
  <c r="Q73" i="1"/>
  <c r="P73" i="1"/>
  <c r="T72" i="1"/>
  <c r="S72" i="1"/>
  <c r="Q72" i="1"/>
  <c r="P72" i="1"/>
  <c r="T71" i="1"/>
  <c r="S71" i="1"/>
  <c r="Q71" i="1"/>
  <c r="P71" i="1"/>
  <c r="T70" i="1"/>
  <c r="S70" i="1"/>
  <c r="Q70" i="1"/>
  <c r="P70" i="1"/>
  <c r="T69" i="1"/>
  <c r="S69" i="1"/>
  <c r="Q69" i="1"/>
  <c r="P69" i="1"/>
  <c r="T68" i="1"/>
  <c r="S68" i="1"/>
  <c r="Q68" i="1"/>
  <c r="P68" i="1"/>
  <c r="T67" i="1"/>
  <c r="S67" i="1"/>
  <c r="Q67" i="1"/>
  <c r="P67" i="1"/>
  <c r="T66" i="1"/>
  <c r="S66" i="1"/>
  <c r="Q66" i="1"/>
  <c r="P66" i="1"/>
  <c r="T65" i="1"/>
  <c r="S65" i="1"/>
  <c r="Q65" i="1"/>
  <c r="P65" i="1"/>
  <c r="T64" i="1"/>
  <c r="S64" i="1"/>
  <c r="Q64" i="1"/>
  <c r="P64" i="1"/>
  <c r="T63" i="1"/>
  <c r="S63" i="1"/>
  <c r="Q63" i="1"/>
  <c r="P63" i="1"/>
  <c r="T62" i="1"/>
  <c r="S62" i="1"/>
  <c r="Q62" i="1"/>
  <c r="P62" i="1"/>
  <c r="T61" i="1"/>
  <c r="S61" i="1"/>
  <c r="Q61" i="1"/>
  <c r="P61" i="1"/>
  <c r="T60" i="1"/>
  <c r="S60" i="1"/>
  <c r="Q60" i="1"/>
  <c r="P60" i="1"/>
  <c r="T59" i="1"/>
  <c r="S59" i="1"/>
  <c r="Q59" i="1"/>
  <c r="P59" i="1"/>
  <c r="T58" i="1"/>
  <c r="S58" i="1"/>
  <c r="Q58" i="1"/>
  <c r="P58" i="1"/>
  <c r="T57" i="1"/>
  <c r="S57" i="1"/>
  <c r="Q57" i="1"/>
  <c r="P57" i="1"/>
  <c r="T56" i="1"/>
  <c r="S56" i="1"/>
  <c r="Q56" i="1"/>
  <c r="P56" i="1"/>
  <c r="T55" i="1"/>
  <c r="S55" i="1"/>
  <c r="Q55" i="1"/>
  <c r="P55" i="1"/>
  <c r="T54" i="1"/>
  <c r="S54" i="1"/>
  <c r="Q54" i="1"/>
  <c r="P54" i="1"/>
  <c r="T53" i="1"/>
  <c r="S53" i="1"/>
  <c r="Q53" i="1"/>
  <c r="P53" i="1"/>
  <c r="T52" i="1"/>
  <c r="S52" i="1"/>
  <c r="Q52" i="1"/>
  <c r="P52" i="1"/>
  <c r="T51" i="1"/>
  <c r="S51" i="1"/>
  <c r="Q51" i="1"/>
  <c r="P51" i="1"/>
  <c r="T50" i="1"/>
  <c r="S50" i="1"/>
  <c r="Q50" i="1"/>
  <c r="P50" i="1"/>
  <c r="T49" i="1"/>
  <c r="S49" i="1"/>
  <c r="Q49" i="1"/>
  <c r="P49" i="1"/>
  <c r="T48" i="1"/>
  <c r="S48" i="1"/>
  <c r="Q48" i="1"/>
  <c r="P48" i="1"/>
  <c r="T47" i="1"/>
  <c r="S47" i="1"/>
  <c r="Q47" i="1"/>
  <c r="P47" i="1"/>
  <c r="T46" i="1"/>
  <c r="S46" i="1"/>
  <c r="Q46" i="1"/>
  <c r="P46" i="1"/>
  <c r="T45" i="1"/>
  <c r="S45" i="1"/>
  <c r="Q45" i="1"/>
  <c r="P45" i="1"/>
  <c r="T44" i="1"/>
  <c r="S44" i="1"/>
  <c r="Q44" i="1"/>
  <c r="P44" i="1"/>
  <c r="T43" i="1"/>
  <c r="S43" i="1"/>
  <c r="Q43" i="1"/>
  <c r="P43" i="1"/>
  <c r="T42" i="1"/>
  <c r="S42" i="1"/>
  <c r="Q42" i="1"/>
  <c r="P42" i="1"/>
  <c r="T41" i="1"/>
  <c r="S41" i="1"/>
  <c r="Q41" i="1"/>
  <c r="P41" i="1"/>
  <c r="T40" i="1"/>
  <c r="S40" i="1"/>
  <c r="Q40" i="1"/>
  <c r="P40" i="1"/>
  <c r="T39" i="1"/>
  <c r="S39" i="1"/>
  <c r="Q39" i="1"/>
  <c r="P39" i="1"/>
  <c r="T38" i="1"/>
  <c r="S38" i="1"/>
  <c r="Q38" i="1"/>
  <c r="P38" i="1"/>
  <c r="T37" i="1"/>
  <c r="S37" i="1"/>
  <c r="Q37" i="1"/>
  <c r="P37" i="1"/>
  <c r="T36" i="1"/>
  <c r="S36" i="1"/>
  <c r="Q36" i="1"/>
  <c r="P36" i="1"/>
  <c r="T35" i="1"/>
  <c r="S35" i="1"/>
  <c r="Q35" i="1"/>
  <c r="P35" i="1"/>
  <c r="T34" i="1"/>
  <c r="S34" i="1"/>
  <c r="Q34" i="1"/>
  <c r="P34" i="1"/>
  <c r="T33" i="1"/>
  <c r="S33" i="1"/>
  <c r="Q33" i="1"/>
  <c r="P33" i="1"/>
  <c r="T32" i="1"/>
  <c r="S32" i="1"/>
  <c r="Q32" i="1"/>
  <c r="P32" i="1"/>
  <c r="T31" i="1"/>
  <c r="S31" i="1"/>
  <c r="Q31" i="1"/>
  <c r="P31" i="1"/>
  <c r="T30" i="1"/>
  <c r="S30" i="1"/>
  <c r="Q30" i="1"/>
  <c r="P30" i="1"/>
  <c r="T29" i="1"/>
  <c r="S29" i="1"/>
  <c r="Q29" i="1"/>
  <c r="P29" i="1"/>
  <c r="T28" i="1"/>
  <c r="S28" i="1"/>
  <c r="Q28" i="1"/>
  <c r="P28" i="1"/>
  <c r="T27" i="1"/>
  <c r="S27" i="1"/>
  <c r="Q27" i="1"/>
  <c r="P27" i="1"/>
  <c r="T26" i="1"/>
  <c r="S26" i="1"/>
  <c r="Q26" i="1"/>
  <c r="P26" i="1"/>
  <c r="T25" i="1"/>
  <c r="S25" i="1"/>
  <c r="Q25" i="1"/>
  <c r="P25" i="1"/>
  <c r="T24" i="1"/>
  <c r="S24" i="1"/>
  <c r="Q24" i="1"/>
  <c r="P24" i="1"/>
  <c r="T23" i="1"/>
  <c r="S23" i="1"/>
  <c r="Q23" i="1"/>
  <c r="P23" i="1"/>
  <c r="T22" i="1"/>
  <c r="S22" i="1"/>
  <c r="Q22" i="1"/>
  <c r="P22" i="1"/>
  <c r="T21" i="1"/>
  <c r="S21" i="1"/>
  <c r="Q21" i="1"/>
  <c r="P21" i="1"/>
  <c r="T20" i="1"/>
  <c r="S20" i="1"/>
  <c r="Q20" i="1"/>
  <c r="P20" i="1"/>
  <c r="T19" i="1"/>
  <c r="S19" i="1"/>
  <c r="Q19" i="1"/>
  <c r="P19" i="1"/>
  <c r="T18" i="1"/>
  <c r="S18" i="1"/>
  <c r="Q18" i="1"/>
  <c r="P18" i="1"/>
  <c r="T17" i="1"/>
  <c r="S17" i="1"/>
  <c r="Q17" i="1"/>
  <c r="P17" i="1"/>
  <c r="T16" i="1"/>
  <c r="S16" i="1"/>
  <c r="Q16" i="1"/>
  <c r="P16" i="1"/>
  <c r="T15" i="1"/>
  <c r="S15" i="1"/>
  <c r="Q15" i="1"/>
  <c r="P15" i="1"/>
  <c r="T14" i="1"/>
  <c r="S14" i="1"/>
  <c r="Q14" i="1"/>
  <c r="P14" i="1"/>
  <c r="T13" i="1"/>
  <c r="S13" i="1"/>
  <c r="Q13" i="1"/>
  <c r="P13" i="1"/>
  <c r="T12" i="1"/>
  <c r="S12" i="1"/>
  <c r="Q12" i="1"/>
  <c r="P12" i="1"/>
  <c r="T11" i="1"/>
  <c r="S11" i="1"/>
  <c r="Q11" i="1"/>
  <c r="P11" i="1"/>
  <c r="T10" i="1"/>
  <c r="S10" i="1"/>
  <c r="Q10" i="1"/>
  <c r="P10" i="1"/>
  <c r="T9" i="1"/>
  <c r="S9" i="1"/>
  <c r="Q9" i="1"/>
  <c r="P9" i="1"/>
  <c r="T8" i="1"/>
  <c r="S8" i="1"/>
  <c r="Q8" i="1"/>
  <c r="P8" i="1"/>
  <c r="T7" i="1"/>
  <c r="S7" i="1"/>
  <c r="Q7" i="1"/>
  <c r="P7" i="1"/>
  <c r="T6" i="1"/>
  <c r="S6" i="1"/>
  <c r="Q6" i="1"/>
  <c r="P6" i="1"/>
  <c r="T5" i="1"/>
  <c r="S5" i="1"/>
  <c r="Q5" i="1"/>
  <c r="P5" i="1"/>
  <c r="G6" i="3" l="1"/>
  <c r="F6" i="3"/>
  <c r="G5" i="3"/>
  <c r="F5" i="3"/>
  <c r="F7" i="3" l="1"/>
  <c r="G7" i="3"/>
  <c r="G8" i="3" l="1"/>
  <c r="F8" i="3"/>
  <c r="F9" i="3" l="1"/>
  <c r="G9" i="3"/>
</calcChain>
</file>

<file path=xl/sharedStrings.xml><?xml version="1.0" encoding="utf-8"?>
<sst xmlns="http://schemas.openxmlformats.org/spreadsheetml/2006/main" count="511" uniqueCount="158">
  <si>
    <t>PLANILHA ESTRATÉGICA DE DESPESAS DO ADOLESCENTE</t>
  </si>
  <si>
    <t>Categoria</t>
  </si>
  <si>
    <t>Despesa</t>
  </si>
  <si>
    <t>Comprovante</t>
  </si>
  <si>
    <t>Moradia</t>
  </si>
  <si>
    <t>Aluguel ou financiamento – quota-parte do adolescente</t>
  </si>
  <si>
    <t>Sim</t>
  </si>
  <si>
    <t>Condomínio – quota-parte</t>
  </si>
  <si>
    <t>IPTU – quota-parte</t>
  </si>
  <si>
    <t>Energia elétrica – quota-parte</t>
  </si>
  <si>
    <t>Água e esgoto – quota-parte</t>
  </si>
  <si>
    <t>Gás – quota-parte</t>
  </si>
  <si>
    <t>Internet residencial – quota-parte</t>
  </si>
  <si>
    <t>Alimentação</t>
  </si>
  <si>
    <t>Supermercado e alimentação domiciliar</t>
  </si>
  <si>
    <t>Alimentação escolar / cantina</t>
  </si>
  <si>
    <t>Suplementos e alimentação especial</t>
  </si>
  <si>
    <t>Educação</t>
  </si>
  <si>
    <t>Mensalidade escolar</t>
  </si>
  <si>
    <t>Matrícula escolar</t>
  </si>
  <si>
    <t>Material escolar</t>
  </si>
  <si>
    <t>Uniforme escolar</t>
  </si>
  <si>
    <t>Livros didáticos e paradidáticos</t>
  </si>
  <si>
    <t>Curso de idiomas</t>
  </si>
  <si>
    <t>Reforço escolar</t>
  </si>
  <si>
    <t>Curso preparatório / profissionalizante</t>
  </si>
  <si>
    <t>Passeios, excursões e eventos escolares</t>
  </si>
  <si>
    <t>Saúde</t>
  </si>
  <si>
    <t>Plano de saúde</t>
  </si>
  <si>
    <t>Coparticipações do plano</t>
  </si>
  <si>
    <t>Consultas médicas particulares</t>
  </si>
  <si>
    <t>Medicamentos contínuos</t>
  </si>
  <si>
    <t>Exames médicos</t>
  </si>
  <si>
    <t>Tratamento odontológico</t>
  </si>
  <si>
    <t>Psicólogo / psiquiatra</t>
  </si>
  <si>
    <t>Terapias especializadas</t>
  </si>
  <si>
    <t>Óculos, lentes e itens ortopédicos</t>
  </si>
  <si>
    <t>Transporte</t>
  </si>
  <si>
    <t>Transporte escolar</t>
  </si>
  <si>
    <t>Passagens de transporte coletivo</t>
  </si>
  <si>
    <t>Combustível para deslocamentos</t>
  </si>
  <si>
    <t>Aplicativos de transporte</t>
  </si>
  <si>
    <t>Vestuário e higiene</t>
  </si>
  <si>
    <t>Roupas</t>
  </si>
  <si>
    <t>Calçados</t>
  </si>
  <si>
    <t>Uniformes esportivos</t>
  </si>
  <si>
    <t>Produtos de higiene pessoal</t>
  </si>
  <si>
    <t>Cabeleireiro / cuidados pessoais</t>
  </si>
  <si>
    <t>Comunicação e tecnologia</t>
  </si>
  <si>
    <t>Plano de telefonia celular</t>
  </si>
  <si>
    <t>Aparelho celular</t>
  </si>
  <si>
    <t>Notebook / computador</t>
  </si>
  <si>
    <t>Softwares e plataformas educacionais</t>
  </si>
  <si>
    <t>Esporte e desenvolvimento</t>
  </si>
  <si>
    <t>Academia / atividade física</t>
  </si>
  <si>
    <t>Mensalidade esportiva</t>
  </si>
  <si>
    <t>Equipamentos esportivos</t>
  </si>
  <si>
    <t>Cursos de música, arte ou cultura</t>
  </si>
  <si>
    <t>Lazer e convivência</t>
  </si>
  <si>
    <t>Cinema, parques e passeios</t>
  </si>
  <si>
    <t>Festas, aniversários e confraternizações</t>
  </si>
  <si>
    <t>Viagens e férias</t>
  </si>
  <si>
    <t>Assinaturas de streaming – quota-parte</t>
  </si>
  <si>
    <t>Outros</t>
  </si>
  <si>
    <t>Mesada</t>
  </si>
  <si>
    <t>Seguro de vida / acidentes</t>
  </si>
  <si>
    <t>Fundo para emergências</t>
  </si>
  <si>
    <t>Outras despesas comprovadas</t>
  </si>
  <si>
    <t>CONTROLE DE DOCUMENTOS E COMPROVANTES</t>
  </si>
  <si>
    <t>Nº</t>
  </si>
  <si>
    <t>Documento / comprovante</t>
  </si>
  <si>
    <t>Competência</t>
  </si>
  <si>
    <t>Valor (R$)</t>
  </si>
  <si>
    <t>Situação</t>
  </si>
  <si>
    <t>Arquivo / Link</t>
  </si>
  <si>
    <t>Observação estratégica</t>
  </si>
  <si>
    <t>Hash</t>
  </si>
  <si>
    <t>CAPACIDADE CONTRIBUTIVA E RATEIO</t>
  </si>
  <si>
    <t>Indicador</t>
  </si>
  <si>
    <t>Genitor 1</t>
  </si>
  <si>
    <t>Genitor 2</t>
  </si>
  <si>
    <t>Cota proporcional das despesas</t>
  </si>
  <si>
    <t>TOTAL GERAL</t>
  </si>
  <si>
    <t>Parâmetro</t>
  </si>
  <si>
    <t>Renda líquida mensal (R$)</t>
  </si>
  <si>
    <t>Outras obrigações essenciais (R$)</t>
  </si>
  <si>
    <t>Nº de moradores (rateio moradia)</t>
  </si>
  <si>
    <t>Caminho da pasta de comprovantes</t>
  </si>
  <si>
    <t>Editar registro</t>
  </si>
  <si>
    <t>Origem</t>
  </si>
  <si>
    <t>Linha</t>
  </si>
  <si>
    <t>Fila</t>
  </si>
  <si>
    <t>Despesa / Recebedor</t>
  </si>
  <si>
    <t>Data</t>
  </si>
  <si>
    <t>Competencia</t>
  </si>
  <si>
    <t>Valor</t>
  </si>
  <si>
    <t>Pagador</t>
  </si>
  <si>
    <t>Recebedor</t>
  </si>
  <si>
    <t>Tipo / Observacao</t>
  </si>
  <si>
    <t>Periodicidade</t>
  </si>
  <si>
    <t>Arquivo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</si>
  <si>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</si>
  <si>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</si>
  <si>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</si>
  <si>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</si>
  <si>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</si>
  <si>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</si>
  <si>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</si>
  <si>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</si>
  <si>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</si>
  <si>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</si>
  <si>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</si>
  <si>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</si>
  <si>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 eventual/anual</t>
  </si>
  <si>
    <t>Valor mes</t>
  </si>
  <si>
    <t>Valor anual</t>
  </si>
  <si>
    <t>Cota parte?</t>
  </si>
  <si>
    <t>Observacoes</t>
  </si>
  <si>
    <t>Valor cota parte anual</t>
  </si>
  <si>
    <t>Valor cota parte mes</t>
  </si>
  <si>
    <t>Pendente</t>
  </si>
  <si>
    <t>id</t>
  </si>
  <si>
    <t>status</t>
  </si>
  <si>
    <t>categoria</t>
  </si>
  <si>
    <t>despesa</t>
  </si>
  <si>
    <t>data</t>
  </si>
  <si>
    <t>mes</t>
  </si>
  <si>
    <t>valor</t>
  </si>
  <si>
    <t>pagador</t>
  </si>
  <si>
    <t>recebedor</t>
  </si>
  <si>
    <t>tipo</t>
  </si>
  <si>
    <t>arquivo</t>
  </si>
  <si>
    <t>hash</t>
  </si>
  <si>
    <t>periodicidade</t>
  </si>
  <si>
    <t>resultado</t>
  </si>
  <si>
    <t>Mensal</t>
  </si>
  <si>
    <t>Resumo e Rateio</t>
  </si>
  <si>
    <t>sim</t>
  </si>
  <si>
    <t>Cadastro de categorias e despesas</t>
  </si>
  <si>
    <t>Ativo</t>
  </si>
  <si>
    <t>Nao</t>
  </si>
  <si>
    <t>Comprovantes</t>
  </si>
  <si>
    <t>PREPARAR</t>
  </si>
  <si>
    <t>IMPORTAR</t>
  </si>
  <si>
    <t>MANUTENCAO</t>
  </si>
  <si>
    <t>EDICAO</t>
  </si>
  <si>
    <t>Cota parte mes (R$)</t>
  </si>
  <si>
    <t>Cota parte anual (R$)</t>
  </si>
  <si>
    <t>Renda liquida mensal</t>
  </si>
  <si>
    <t>Outras obrigacoes essenciais</t>
  </si>
  <si>
    <t>Renda disponivel</t>
  </si>
  <si>
    <t>Percentual da renda disponivel</t>
  </si>
  <si>
    <t>Configurações</t>
  </si>
  <si>
    <t>Status</t>
  </si>
  <si>
    <t>Planilha</t>
  </si>
  <si>
    <t>Destravada</t>
  </si>
  <si>
    <t>Base</t>
  </si>
  <si>
    <t>C:\Users\User\Documents\Projetos\system_proof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</si>
</sst>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"/>
    <numFmt numFmtId="165" formatCode="&quot;R$&quot;\ #,##0.00"/>
    <numFmt numFmtId="166" formatCode="\R&quot;R$&quot;\ #,##0.00"/>
    <numFmt numFmtId="167" formatCode="dd/mm/yyyy"/>
  </numFmts>
  <fonts count="18" x14ac:knownFonts="1">
    <font>
      <sz val="11"/>
      <color theme="1"/>
      <name val="Calibri"/>
      <family val="2"/>
      <scheme val="minor"/>
    </font>
    <font>
      <sz val="12"/>
      <color theme="10"/>
      <name val="Calibri"/>
      <family val="2"/>
      <scheme val="minor"/>
    </font>
    <font>
      <b/>
      <sz val="10"/>
      <color rgb="FFFFFFFF"/>
      <name val="Segoe UI"/>
      <family val="2"/>
    </font>
    <font>
      <b/>
      <sz val="16"/>
      <color rgb="FF1E3A5F"/>
      <name val="Segoe UI"/>
      <family val="2"/>
    </font>
    <font>
      <sz val="10"/>
      <color rgb="FF0F172A"/>
      <name val="Segoe UI"/>
      <family val="2"/>
    </font>
    <font>
      <b/>
      <sz val="10"/>
      <color rgb="FF0F172A"/>
      <name val="Segoe UI"/>
      <family val="2"/>
    </font>
    <font>
      <u/>
      <sz val="10"/>
      <color rgb="FF0F172A"/>
      <name val="Segoe UI"/>
      <family val="2"/>
    </font>
    <font>
      <b/>
      <sz val="18"/>
      <color rgb="FF1E3A5F"/>
      <name val="Segoe UI"/>
      <family val="2"/>
    </font>
    <font>
      <b/>
      <sz val="10"/>
      <color rgb="FF1E293B"/>
      <name val="Segoe UI"/>
      <family val="2"/>
    </font>
    <font>
      <sz val="10"/>
      <color rgb="FF1E293B"/>
      <name val="Segoe UI"/>
      <family val="2"/>
    </font>
    <font>
      <b/>
      <u/>
      <sz val="10"/>
      <color rgb="FFFFFFFF"/>
      <name val="Segoe UI"/>
      <family val="2"/>
    </font>
    <font>
      <b/>
      <sz val="10"/>
      <color rgb="FF2563EB"/>
      <name val="Segoe UI"/>
      <family val="2"/>
    </font>
    <font>
      <sz val="11"/>
      <color rgb="FF0F172A"/>
      <name val="Calibri"/>
      <family val="2"/>
      <scheme val="minor"/>
    </font>
    <font>
      <b/>
      <sz val="17"/>
      <color rgb="FF0F172A"/>
      <name val="Segoe UI"/>
      <family val="2"/>
    </font>
    <font>
      <b/>
      <sz val="8"/>
      <color rgb="FF334155"/>
      <name val="Segoe UI"/>
      <family val="2"/>
    </font>
    <font>
      <b/>
      <sz val="17"/>
      <color rgb="FF1E3A5F"/>
      <name val="Segoe UI"/>
      <family val="2"/>
    </font>
    <font>
      <b/>
      <sz val="11"/>
      <color theme="1"/>
      <name val="Calibri"/>
      <family val="2"/>
      <scheme val="minor"/>
    </font>
    <font>
      <b/>
      <u/>
      <sz val="10"/>
      <color rgb="FF0F172A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1E3A5F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F5F3FF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BFDBFE"/>
        <bgColor indexed="64"/>
      </patternFill>
    </fill>
    <fill>
      <patternFill patternType="solid">
        <fgColor rgb="FFBBF7D0"/>
        <bgColor indexed="64"/>
      </patternFill>
    </fill>
    <fill>
      <patternFill patternType="solid">
        <fgColor rgb="FFFDE68A"/>
        <bgColor indexed="64"/>
      </patternFill>
    </fill>
    <fill>
      <patternFill patternType="solid">
        <fgColor rgb="FFFBCFE8"/>
        <bgColor indexed="64"/>
      </patternFill>
    </fill>
    <fill>
      <patternFill patternType="solid">
        <fgColor rgb="FFC7D2FE"/>
        <bgColor indexed="64"/>
      </patternFill>
    </fill>
    <fill>
      <patternFill patternType="solid">
        <fgColor rgb="FFDDD6FE"/>
        <bgColor indexed="64"/>
      </patternFill>
    </fill>
    <fill>
      <patternFill patternType="solid">
        <fgColor rgb="FF99F6E4"/>
        <bgColor indexed="64"/>
      </patternFill>
    </fill>
    <fill>
      <patternFill patternType="solid">
        <fgColor rgb="FFBAE6FD"/>
        <bgColor indexed="64"/>
      </patternFill>
    </fill>
    <fill>
      <patternFill patternType="solid">
        <fgColor rgb="FFFED7AA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94A3B8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6E0EA"/>
        <bgColor indexed="64"/>
      </patternFill>
    </fill>
    <fill>
      <patternFill patternType="solid">
        <fgColor rgb="FFC6D3E0"/>
        <bgColor indexed="64"/>
      </patternFill>
    </fill>
    <fill>
      <patternFill patternType="solid">
        <fgColor rgb="FFDBE4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1" fillId="0" borderId="0"/>
  </cellStyleXfs>
  <cellXfs count="200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1" fontId="4" fillId="0" borderId="0" xfId="0" applyNumberFormat="1" applyFont="1" applyFill="1" applyBorder="1" applyAlignment="1" applyProtection="1">
      <alignment horizontal="center"/>
      <protection locked="0"/>
    </xf>
    <xf numFmtId="164" fontId="4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Protection="1"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/>
      <protection locked="0"/>
    </xf>
    <xf numFmtId="1" fontId="2" fillId="2" borderId="0" xfId="0" applyNumberFormat="1" applyFont="1" applyFill="1" applyBorder="1" applyAlignment="1" applyProtection="1">
      <alignment horizontal="center" vertical="center" wrapText="1"/>
      <protection locked="0"/>
    </xf>
    <xf numFmtId="164" fontId="2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4" fillId="5" borderId="0" xfId="0" applyFont="1" applyFill="1" applyBorder="1" applyAlignment="1" applyProtection="1">
      <alignment horizontal="left"/>
      <protection locked="0"/>
    </xf>
    <xf numFmtId="0" fontId="4" fillId="5" borderId="0" xfId="0" applyFont="1" applyFill="1" applyBorder="1" applyAlignment="1" applyProtection="1">
      <alignment horizontal="center"/>
      <protection locked="0"/>
    </xf>
    <xf numFmtId="1" fontId="4" fillId="5" borderId="0" xfId="0" applyNumberFormat="1" applyFont="1" applyFill="1" applyBorder="1" applyAlignment="1" applyProtection="1">
      <alignment horizontal="center"/>
      <protection locked="0"/>
    </xf>
    <xf numFmtId="164" fontId="4" fillId="5" borderId="0" xfId="0" applyNumberFormat="1" applyFont="1" applyFill="1" applyBorder="1" applyAlignment="1" applyProtection="1">
      <alignment horizontal="center"/>
      <protection locked="0"/>
    </xf>
    <xf numFmtId="164" fontId="4" fillId="5" borderId="0" xfId="0" applyNumberFormat="1" applyFont="1" applyFill="1" applyBorder="1" applyProtection="1">
      <protection locked="0"/>
    </xf>
    <xf numFmtId="0" fontId="8" fillId="17" borderId="0" xfId="0" applyFont="1" applyFill="1" applyBorder="1" applyProtection="1">
      <protection locked="0"/>
    </xf>
    <xf numFmtId="0" fontId="9" fillId="17" borderId="0" xfId="0" applyFont="1" applyFill="1" applyBorder="1" applyProtection="1">
      <protection locked="0"/>
    </xf>
    <xf numFmtId="0" fontId="4" fillId="18" borderId="0" xfId="0" applyFont="1" applyFill="1" applyBorder="1" applyProtection="1">
      <protection locked="0"/>
    </xf>
    <xf numFmtId="0" fontId="4" fillId="6" borderId="1" xfId="0" applyFont="1" applyFill="1" applyBorder="1" applyAlignment="1" applyProtection="1">
      <alignment horizontal="left"/>
      <protection locked="0"/>
    </xf>
    <xf numFmtId="165" fontId="4" fillId="6" borderId="1" xfId="0" applyNumberFormat="1" applyFont="1" applyFill="1" applyBorder="1" applyAlignment="1" applyProtection="1">
      <alignment horizontal="center"/>
      <protection locked="0"/>
    </xf>
    <xf numFmtId="0" fontId="4" fillId="6" borderId="1" xfId="0" applyNumberFormat="1" applyFont="1" applyFill="1" applyBorder="1" applyAlignment="1" applyProtection="1">
      <alignment horizontal="center"/>
      <protection locked="0"/>
    </xf>
    <xf numFmtId="0" fontId="4" fillId="6" borderId="2" xfId="0" applyFont="1" applyFill="1" applyBorder="1" applyAlignment="1" applyProtection="1">
      <alignment horizontal="left"/>
      <protection locked="0"/>
    </xf>
    <xf numFmtId="165" fontId="4" fillId="6" borderId="2" xfId="0" applyNumberFormat="1" applyFont="1" applyFill="1" applyBorder="1" applyAlignment="1" applyProtection="1">
      <alignment horizontal="center"/>
      <protection locked="0"/>
    </xf>
    <xf numFmtId="165" fontId="4" fillId="6" borderId="2" xfId="1" applyNumberFormat="1" applyFont="1" applyFill="1" applyBorder="1" applyAlignment="1" applyProtection="1">
      <alignment horizontal="center"/>
      <protection locked="0"/>
    </xf>
    <xf numFmtId="0" fontId="4" fillId="6" borderId="2" xfId="0" applyNumberFormat="1" applyFont="1" applyFill="1" applyBorder="1" applyAlignment="1" applyProtection="1">
      <alignment horizontal="center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5" fontId="4" fillId="7" borderId="2" xfId="0" applyNumberFormat="1" applyFont="1" applyFill="1" applyBorder="1" applyAlignment="1" applyProtection="1">
      <alignment horizontal="center"/>
      <protection locked="0"/>
    </xf>
    <xf numFmtId="165" fontId="4" fillId="7" borderId="2" xfId="1" applyNumberFormat="1" applyFont="1" applyFill="1" applyBorder="1" applyAlignment="1" applyProtection="1">
      <alignment horizontal="center"/>
      <protection locked="0"/>
    </xf>
    <xf numFmtId="0" fontId="4" fillId="7" borderId="2" xfId="0" applyNumberFormat="1" applyFont="1" applyFill="1" applyBorder="1" applyAlignment="1" applyProtection="1">
      <alignment horizontal="center"/>
      <protection locked="0"/>
    </xf>
    <xf numFmtId="0" fontId="4" fillId="8" borderId="2" xfId="0" applyFont="1" applyFill="1" applyBorder="1" applyAlignment="1" applyProtection="1">
      <alignment horizontal="left"/>
      <protection locked="0"/>
    </xf>
    <xf numFmtId="165" fontId="4" fillId="8" borderId="2" xfId="0" applyNumberFormat="1" applyFont="1" applyFill="1" applyBorder="1" applyAlignment="1" applyProtection="1">
      <alignment horizontal="center"/>
      <protection locked="0"/>
    </xf>
    <xf numFmtId="165" fontId="4" fillId="8" borderId="2" xfId="1" applyNumberFormat="1" applyFont="1" applyFill="1" applyBorder="1" applyAlignment="1" applyProtection="1">
      <alignment horizontal="center"/>
      <protection locked="0"/>
    </xf>
    <xf numFmtId="0" fontId="4" fillId="8" borderId="2" xfId="0" applyNumberFormat="1" applyFont="1" applyFill="1" applyBorder="1" applyAlignment="1" applyProtection="1">
      <alignment horizontal="center"/>
      <protection locked="0"/>
    </xf>
    <xf numFmtId="0" fontId="4" fillId="9" borderId="2" xfId="0" applyFont="1" applyFill="1" applyBorder="1" applyAlignment="1" applyProtection="1">
      <alignment horizontal="left"/>
      <protection locked="0"/>
    </xf>
    <xf numFmtId="165" fontId="4" fillId="9" borderId="2" xfId="0" applyNumberFormat="1" applyFont="1" applyFill="1" applyBorder="1" applyAlignment="1" applyProtection="1">
      <alignment horizontal="center"/>
      <protection locked="0"/>
    </xf>
    <xf numFmtId="0" fontId="4" fillId="9" borderId="2" xfId="0" applyNumberFormat="1" applyFont="1" applyFill="1" applyBorder="1" applyAlignment="1" applyProtection="1">
      <alignment horizontal="center"/>
      <protection locked="0"/>
    </xf>
    <xf numFmtId="165" fontId="4" fillId="9" borderId="2" xfId="1" applyNumberFormat="1" applyFont="1" applyFill="1" applyBorder="1" applyAlignment="1" applyProtection="1">
      <alignment horizontal="center"/>
      <protection locked="0"/>
    </xf>
    <xf numFmtId="0" fontId="4" fillId="10" borderId="2" xfId="0" applyFont="1" applyFill="1" applyBorder="1" applyAlignment="1" applyProtection="1">
      <alignment horizontal="left"/>
      <protection locked="0"/>
    </xf>
    <xf numFmtId="165" fontId="4" fillId="10" borderId="2" xfId="0" applyNumberFormat="1" applyFont="1" applyFill="1" applyBorder="1" applyAlignment="1" applyProtection="1">
      <alignment horizontal="center"/>
      <protection locked="0"/>
    </xf>
    <xf numFmtId="0" fontId="4" fillId="10" borderId="2" xfId="0" applyNumberFormat="1" applyFont="1" applyFill="1" applyBorder="1" applyAlignment="1" applyProtection="1">
      <alignment horizontal="center"/>
      <protection locked="0"/>
    </xf>
    <xf numFmtId="165" fontId="4" fillId="10" borderId="2" xfId="1" applyNumberFormat="1" applyFont="1" applyFill="1" applyBorder="1" applyAlignment="1" applyProtection="1">
      <alignment horizontal="center"/>
      <protection locked="0"/>
    </xf>
    <xf numFmtId="0" fontId="4" fillId="11" borderId="2" xfId="0" applyFont="1" applyFill="1" applyBorder="1" applyAlignment="1" applyProtection="1">
      <alignment horizontal="left"/>
      <protection locked="0"/>
    </xf>
    <xf numFmtId="165" fontId="4" fillId="11" borderId="2" xfId="0" applyNumberFormat="1" applyFont="1" applyFill="1" applyBorder="1" applyAlignment="1" applyProtection="1">
      <alignment horizontal="center"/>
      <protection locked="0"/>
    </xf>
    <xf numFmtId="165" fontId="4" fillId="11" borderId="2" xfId="1" applyNumberFormat="1" applyFont="1" applyFill="1" applyBorder="1" applyAlignment="1" applyProtection="1">
      <alignment horizontal="center"/>
      <protection locked="0"/>
    </xf>
    <xf numFmtId="0" fontId="4" fillId="11" borderId="2" xfId="0" applyNumberFormat="1" applyFont="1" applyFill="1" applyBorder="1" applyAlignment="1" applyProtection="1">
      <alignment horizontal="center"/>
      <protection locked="0"/>
    </xf>
    <xf numFmtId="0" fontId="4" fillId="12" borderId="2" xfId="0" applyFont="1" applyFill="1" applyBorder="1" applyAlignment="1" applyProtection="1">
      <alignment horizontal="left"/>
      <protection locked="0"/>
    </xf>
    <xf numFmtId="165" fontId="4" fillId="12" borderId="2" xfId="0" applyNumberFormat="1" applyFont="1" applyFill="1" applyBorder="1" applyAlignment="1" applyProtection="1">
      <alignment horizontal="center"/>
      <protection locked="0"/>
    </xf>
    <xf numFmtId="165" fontId="4" fillId="12" borderId="2" xfId="1" applyNumberFormat="1" applyFont="1" applyFill="1" applyBorder="1" applyAlignment="1" applyProtection="1">
      <alignment horizontal="center"/>
      <protection locked="0"/>
    </xf>
    <xf numFmtId="0" fontId="4" fillId="12" borderId="2" xfId="0" applyNumberFormat="1" applyFont="1" applyFill="1" applyBorder="1" applyAlignment="1" applyProtection="1">
      <alignment horizontal="center"/>
      <protection locked="0"/>
    </xf>
    <xf numFmtId="0" fontId="4" fillId="13" borderId="2" xfId="0" applyFont="1" applyFill="1" applyBorder="1" applyAlignment="1" applyProtection="1">
      <alignment horizontal="left"/>
      <protection locked="0"/>
    </xf>
    <xf numFmtId="165" fontId="4" fillId="13" borderId="2" xfId="0" applyNumberFormat="1" applyFont="1" applyFill="1" applyBorder="1" applyAlignment="1" applyProtection="1">
      <alignment horizontal="center"/>
      <protection locked="0"/>
    </xf>
    <xf numFmtId="0" fontId="4" fillId="13" borderId="2" xfId="0" applyNumberFormat="1" applyFont="1" applyFill="1" applyBorder="1" applyAlignment="1" applyProtection="1">
      <alignment horizontal="center"/>
      <protection locked="0"/>
    </xf>
    <xf numFmtId="165" fontId="4" fillId="13" borderId="2" xfId="1" applyNumberFormat="1" applyFont="1" applyFill="1" applyBorder="1" applyAlignment="1" applyProtection="1">
      <alignment horizontal="center"/>
      <protection locked="0"/>
    </xf>
    <xf numFmtId="0" fontId="4" fillId="14" borderId="2" xfId="0" applyFont="1" applyFill="1" applyBorder="1" applyAlignment="1" applyProtection="1">
      <alignment horizontal="left"/>
      <protection locked="0"/>
    </xf>
    <xf numFmtId="165" fontId="4" fillId="14" borderId="2" xfId="0" applyNumberFormat="1" applyFont="1" applyFill="1" applyBorder="1" applyAlignment="1" applyProtection="1">
      <alignment horizontal="center"/>
      <protection locked="0"/>
    </xf>
    <xf numFmtId="165" fontId="4" fillId="14" borderId="2" xfId="1" applyNumberFormat="1" applyFont="1" applyFill="1" applyBorder="1" applyAlignment="1" applyProtection="1">
      <alignment horizontal="center"/>
      <protection locked="0"/>
    </xf>
    <xf numFmtId="0" fontId="4" fillId="14" borderId="2" xfId="0" applyNumberFormat="1" applyFont="1" applyFill="1" applyBorder="1" applyAlignment="1" applyProtection="1">
      <alignment horizontal="center"/>
      <protection locked="0"/>
    </xf>
    <xf numFmtId="0" fontId="4" fillId="15" borderId="2" xfId="0" applyFont="1" applyFill="1" applyBorder="1" applyAlignment="1" applyProtection="1">
      <alignment horizontal="left"/>
      <protection locked="0"/>
    </xf>
    <xf numFmtId="165" fontId="4" fillId="15" borderId="2" xfId="0" applyNumberFormat="1" applyFont="1" applyFill="1" applyBorder="1" applyAlignment="1" applyProtection="1">
      <alignment horizontal="center"/>
      <protection locked="0"/>
    </xf>
    <xf numFmtId="0" fontId="4" fillId="15" borderId="2" xfId="0" applyNumberFormat="1" applyFont="1" applyFill="1" applyBorder="1" applyAlignment="1" applyProtection="1">
      <alignment horizontal="center"/>
      <protection locked="0"/>
    </xf>
    <xf numFmtId="165" fontId="4" fillId="15" borderId="2" xfId="1" applyNumberFormat="1" applyFont="1" applyFill="1" applyBorder="1" applyAlignment="1" applyProtection="1">
      <alignment horizont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165" fontId="4" fillId="5" borderId="2" xfId="0" applyNumberFormat="1" applyFont="1" applyFill="1" applyBorder="1" applyAlignment="1" applyProtection="1">
      <alignment horizontal="center"/>
      <protection locked="0"/>
    </xf>
    <xf numFmtId="0" fontId="4" fillId="5" borderId="2" xfId="0" applyFont="1" applyFill="1" applyBorder="1" applyAlignment="1" applyProtection="1">
      <alignment horizontal="center"/>
      <protection locked="0"/>
    </xf>
    <xf numFmtId="0" fontId="5" fillId="5" borderId="2" xfId="0" applyFont="1" applyFill="1" applyBorder="1" applyAlignment="1" applyProtection="1">
      <alignment horizontal="left"/>
      <protection locked="0"/>
    </xf>
    <xf numFmtId="165" fontId="5" fillId="5" borderId="2" xfId="0" applyNumberFormat="1" applyFont="1" applyFill="1" applyBorder="1" applyAlignment="1" applyProtection="1">
      <alignment horizontal="center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5" fillId="16" borderId="3" xfId="0" applyFont="1" applyFill="1" applyBorder="1" applyAlignment="1" applyProtection="1">
      <alignment horizontal="left"/>
      <protection locked="0"/>
    </xf>
    <xf numFmtId="165" fontId="5" fillId="16" borderId="3" xfId="0" applyNumberFormat="1" applyFont="1" applyFill="1" applyBorder="1" applyAlignment="1" applyProtection="1">
      <alignment horizontal="center"/>
      <protection locked="0"/>
    </xf>
    <xf numFmtId="0" fontId="5" fillId="16" borderId="3" xfId="0" applyFont="1" applyFill="1" applyBorder="1" applyAlignment="1" applyProtection="1">
      <alignment horizontal="center"/>
      <protection locked="0"/>
    </xf>
    <xf numFmtId="0" fontId="5" fillId="5" borderId="0" xfId="0" applyFont="1" applyFill="1" applyBorder="1" applyAlignment="1" applyProtection="1">
      <alignment horizontal="center"/>
      <protection locked="0"/>
    </xf>
    <xf numFmtId="0" fontId="4" fillId="6" borderId="1" xfId="0" applyFont="1" applyFill="1" applyBorder="1" applyAlignment="1" applyProtection="1">
      <alignment horizontal="center"/>
      <protection locked="0"/>
    </xf>
    <xf numFmtId="0" fontId="4" fillId="7" borderId="2" xfId="0" applyFont="1" applyFill="1" applyBorder="1" applyAlignment="1" applyProtection="1">
      <alignment horizontal="center"/>
      <protection locked="0"/>
    </xf>
    <xf numFmtId="0" fontId="4" fillId="8" borderId="2" xfId="0" applyFont="1" applyFill="1" applyBorder="1" applyAlignment="1" applyProtection="1">
      <alignment horizontal="center"/>
      <protection locked="0"/>
    </xf>
    <xf numFmtId="0" fontId="4" fillId="9" borderId="2" xfId="0" applyFont="1" applyFill="1" applyBorder="1" applyAlignment="1" applyProtection="1">
      <alignment horizontal="center"/>
      <protection locked="0"/>
    </xf>
    <xf numFmtId="0" fontId="4" fillId="10" borderId="2" xfId="0" applyFont="1" applyFill="1" applyBorder="1" applyAlignment="1" applyProtection="1">
      <alignment horizontal="center"/>
      <protection locked="0"/>
    </xf>
    <xf numFmtId="0" fontId="4" fillId="11" borderId="2" xfId="0" applyFont="1" applyFill="1" applyBorder="1" applyAlignment="1" applyProtection="1">
      <alignment horizontal="center"/>
      <protection locked="0"/>
    </xf>
    <xf numFmtId="0" fontId="4" fillId="12" borderId="2" xfId="0" applyFont="1" applyFill="1" applyBorder="1" applyAlignment="1" applyProtection="1">
      <alignment horizontal="center"/>
      <protection locked="0"/>
    </xf>
    <xf numFmtId="0" fontId="4" fillId="13" borderId="2" xfId="0" applyFont="1" applyFill="1" applyBorder="1" applyAlignment="1" applyProtection="1">
      <alignment horizontal="center"/>
      <protection locked="0"/>
    </xf>
    <xf numFmtId="0" fontId="4" fillId="14" borderId="2" xfId="0" applyFont="1" applyFill="1" applyBorder="1" applyAlignment="1" applyProtection="1">
      <alignment horizontal="center"/>
      <protection locked="0"/>
    </xf>
    <xf numFmtId="0" fontId="4" fillId="15" borderId="2" xfId="0" applyFont="1" applyFill="1" applyBorder="1" applyAlignment="1" applyProtection="1">
      <alignment horizontal="center"/>
      <protection locked="0"/>
    </xf>
    <xf numFmtId="0" fontId="10" fillId="2" borderId="4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4" fillId="5" borderId="2" xfId="0" applyNumberFormat="1" applyFont="1" applyFill="1" applyBorder="1" applyAlignment="1" applyProtection="1">
      <alignment horizontal="center"/>
      <protection locked="0"/>
    </xf>
    <xf numFmtId="0" fontId="5" fillId="5" borderId="2" xfId="0" applyNumberFormat="1" applyFont="1" applyFill="1" applyBorder="1" applyAlignment="1" applyProtection="1">
      <alignment horizontal="center"/>
      <protection locked="0"/>
    </xf>
    <xf numFmtId="11" fontId="4" fillId="5" borderId="0" xfId="0" applyNumberFormat="1" applyFont="1" applyFill="1" applyBorder="1" applyAlignment="1" applyProtection="1">
      <alignment horizontal="center"/>
      <protection locked="0"/>
    </xf>
    <xf numFmtId="1" fontId="5" fillId="5" borderId="0" xfId="0" applyNumberFormat="1" applyFont="1" applyFill="1" applyBorder="1" applyAlignment="1" applyProtection="1">
      <alignment horizontal="center"/>
      <protection locked="0"/>
    </xf>
    <xf numFmtId="164" fontId="5" fillId="5" borderId="0" xfId="0" applyNumberFormat="1" applyFont="1" applyFill="1" applyBorder="1" applyAlignment="1" applyProtection="1">
      <alignment horizontal="center"/>
      <protection locked="0"/>
    </xf>
    <xf numFmtId="0" fontId="11" fillId="6" borderId="1" xfId="0" applyFont="1" applyFill="1" applyBorder="1" applyAlignment="1" applyProtection="1">
      <alignment horizontal="center"/>
      <protection locked="0"/>
    </xf>
    <xf numFmtId="0" fontId="11" fillId="6" borderId="2" xfId="0" applyFont="1" applyFill="1" applyBorder="1" applyAlignment="1" applyProtection="1">
      <alignment horizontal="center"/>
      <protection locked="0"/>
    </xf>
    <xf numFmtId="0" fontId="5" fillId="6" borderId="2" xfId="1" applyFont="1" applyFill="1" applyBorder="1" applyProtection="1">
      <protection locked="0"/>
    </xf>
    <xf numFmtId="0" fontId="11" fillId="7" borderId="2" xfId="0" applyFont="1" applyFill="1" applyBorder="1" applyAlignment="1" applyProtection="1">
      <alignment horizontal="center"/>
      <protection locked="0"/>
    </xf>
    <xf numFmtId="0" fontId="5" fillId="7" borderId="2" xfId="1" applyFont="1" applyFill="1" applyBorder="1" applyProtection="1">
      <protection locked="0"/>
    </xf>
    <xf numFmtId="0" fontId="11" fillId="8" borderId="2" xfId="0" applyFont="1" applyFill="1" applyBorder="1" applyAlignment="1" applyProtection="1">
      <alignment horizontal="center"/>
      <protection locked="0"/>
    </xf>
    <xf numFmtId="0" fontId="5" fillId="8" borderId="2" xfId="1" applyFont="1" applyFill="1" applyBorder="1" applyProtection="1">
      <protection locked="0"/>
    </xf>
    <xf numFmtId="0" fontId="11" fillId="8" borderId="2" xfId="1" applyFont="1" applyFill="1" applyBorder="1" applyAlignment="1" applyProtection="1">
      <alignment horizontal="center"/>
      <protection locked="0"/>
    </xf>
    <xf numFmtId="0" fontId="11" fillId="9" borderId="2" xfId="0" applyFont="1" applyFill="1" applyBorder="1" applyAlignment="1" applyProtection="1">
      <alignment horizontal="center"/>
      <protection locked="0"/>
    </xf>
    <xf numFmtId="0" fontId="5" fillId="9" borderId="2" xfId="1" applyFont="1" applyFill="1" applyBorder="1" applyProtection="1">
      <protection locked="0"/>
    </xf>
    <xf numFmtId="0" fontId="11" fillId="10" borderId="2" xfId="0" applyFont="1" applyFill="1" applyBorder="1" applyAlignment="1" applyProtection="1">
      <alignment horizontal="center"/>
      <protection locked="0"/>
    </xf>
    <xf numFmtId="0" fontId="5" fillId="10" borderId="2" xfId="1" applyFont="1" applyFill="1" applyBorder="1" applyProtection="1">
      <protection locked="0"/>
    </xf>
    <xf numFmtId="0" fontId="11" fillId="11" borderId="2" xfId="0" applyFont="1" applyFill="1" applyBorder="1" applyAlignment="1" applyProtection="1">
      <alignment horizontal="center"/>
      <protection locked="0"/>
    </xf>
    <xf numFmtId="0" fontId="5" fillId="11" borderId="2" xfId="1" applyFont="1" applyFill="1" applyBorder="1" applyProtection="1">
      <protection locked="0"/>
    </xf>
    <xf numFmtId="0" fontId="11" fillId="12" borderId="2" xfId="0" applyFont="1" applyFill="1" applyBorder="1" applyAlignment="1" applyProtection="1">
      <alignment horizontal="center"/>
      <protection locked="0"/>
    </xf>
    <xf numFmtId="0" fontId="5" fillId="12" borderId="2" xfId="1" applyFont="1" applyFill="1" applyBorder="1" applyProtection="1">
      <protection locked="0"/>
    </xf>
    <xf numFmtId="0" fontId="11" fillId="13" borderId="2" xfId="0" applyFont="1" applyFill="1" applyBorder="1" applyAlignment="1" applyProtection="1">
      <alignment horizontal="center"/>
      <protection locked="0"/>
    </xf>
    <xf numFmtId="0" fontId="5" fillId="13" borderId="2" xfId="1" applyFont="1" applyFill="1" applyBorder="1" applyProtection="1">
      <protection locked="0"/>
    </xf>
    <xf numFmtId="0" fontId="11" fillId="14" borderId="2" xfId="0" applyFont="1" applyFill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" fillId="15" borderId="2" xfId="1" applyFont="1" applyFill="1" applyBorder="1" applyProtection="1">
      <protection locked="0"/>
    </xf>
    <xf numFmtId="0" fontId="11" fillId="5" borderId="2" xfId="0" applyFont="1" applyFill="1" applyBorder="1" applyAlignment="1" applyProtection="1">
      <alignment horizontal="center"/>
      <protection locked="0"/>
    </xf>
    <xf numFmtId="0" fontId="4" fillId="8" borderId="2" xfId="1" applyFont="1" applyFill="1" applyBorder="1" applyProtection="1">
      <protection locked="0"/>
    </xf>
    <xf numFmtId="0" fontId="14" fillId="20" borderId="0" xfId="0" applyFont="1" applyFill="1" applyBorder="1" applyAlignment="1" applyProtection="1">
      <alignment horizontal="left" vertical="center"/>
      <protection locked="0"/>
    </xf>
    <xf numFmtId="0" fontId="12" fillId="20" borderId="0" xfId="0" applyFont="1" applyFill="1" applyBorder="1" applyAlignment="1" applyProtection="1">
      <alignment horizontal="left" vertical="center"/>
      <protection locked="0"/>
    </xf>
    <xf numFmtId="166" fontId="4" fillId="5" borderId="0" xfId="0" applyNumberFormat="1" applyFont="1" applyFill="1" applyBorder="1" applyProtection="1">
      <protection locked="0"/>
    </xf>
    <xf numFmtId="0" fontId="5" fillId="5" borderId="0" xfId="0" applyFont="1" applyFill="1" applyBorder="1" applyProtection="1">
      <protection locked="0"/>
    </xf>
    <xf numFmtId="0" fontId="12" fillId="19" borderId="0" xfId="0" applyFont="1" applyFill="1" applyBorder="1" applyAlignment="1" applyProtection="1">
      <alignment horizontal="left" vertical="center"/>
      <protection locked="0"/>
    </xf>
    <xf numFmtId="0" fontId="4" fillId="5" borderId="0" xfId="0" applyFont="1" applyFill="1" applyBorder="1" applyProtection="1"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0" fontId="5" fillId="5" borderId="0" xfId="0" applyFont="1" applyFill="1" applyBorder="1" applyAlignment="1" applyProtection="1">
      <alignment vertical="center"/>
      <protection locked="0"/>
    </xf>
    <xf numFmtId="0" fontId="5" fillId="6" borderId="0" xfId="0" applyFont="1" applyFill="1" applyBorder="1" applyAlignment="1" applyProtection="1">
      <alignment vertical="center"/>
      <protection locked="0"/>
    </xf>
    <xf numFmtId="0" fontId="4" fillId="7" borderId="0" xfId="0" applyFont="1" applyFill="1" applyBorder="1" applyAlignment="1" applyProtection="1">
      <alignment vertical="center"/>
      <protection locked="0"/>
    </xf>
    <xf numFmtId="0" fontId="4" fillId="8" borderId="0" xfId="0" applyFont="1" applyFill="1" applyBorder="1" applyAlignment="1" applyProtection="1">
      <alignment vertical="center"/>
      <protection locked="0"/>
    </xf>
    <xf numFmtId="0" fontId="4" fillId="9" borderId="0" xfId="0" applyFont="1" applyFill="1" applyBorder="1" applyAlignment="1" applyProtection="1">
      <alignment vertical="center"/>
      <protection locked="0"/>
    </xf>
    <xf numFmtId="0" fontId="4" fillId="10" borderId="0" xfId="0" applyFont="1" applyFill="1" applyBorder="1" applyAlignment="1" applyProtection="1">
      <alignment vertical="center"/>
      <protection locked="0"/>
    </xf>
    <xf numFmtId="0" fontId="4" fillId="11" borderId="0" xfId="0" applyFont="1" applyFill="1" applyBorder="1" applyAlignment="1" applyProtection="1">
      <alignment vertical="center"/>
      <protection locked="0"/>
    </xf>
    <xf numFmtId="0" fontId="4" fillId="12" borderId="0" xfId="0" applyFont="1" applyFill="1" applyBorder="1" applyAlignment="1" applyProtection="1">
      <alignment vertical="center"/>
      <protection locked="0"/>
    </xf>
    <xf numFmtId="0" fontId="4" fillId="13" borderId="0" xfId="0" applyFont="1" applyFill="1" applyBorder="1" applyAlignment="1" applyProtection="1">
      <alignment vertical="center"/>
      <protection locked="0"/>
    </xf>
    <xf numFmtId="0" fontId="4" fillId="14" borderId="0" xfId="0" applyFont="1" applyFill="1" applyBorder="1" applyAlignment="1" applyProtection="1">
      <alignment vertical="center"/>
      <protection locked="0"/>
    </xf>
    <xf numFmtId="0" fontId="4" fillId="15" borderId="0" xfId="0" applyFont="1" applyFill="1" applyBorder="1" applyAlignment="1" applyProtection="1">
      <alignment vertical="center"/>
      <protection locked="0"/>
    </xf>
    <xf numFmtId="0" fontId="5" fillId="3" borderId="0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165" fontId="4" fillId="4" borderId="0" xfId="0" applyNumberFormat="1" applyFont="1" applyFill="1" applyBorder="1" applyAlignment="1" applyProtection="1">
      <alignment vertical="center"/>
      <protection locked="0"/>
    </xf>
    <xf numFmtId="10" fontId="4" fillId="4" borderId="0" xfId="0" applyNumberFormat="1" applyFont="1" applyFill="1" applyBorder="1" applyAlignment="1" applyProtection="1">
      <alignment vertical="center"/>
      <protection locked="0"/>
    </xf>
    <xf numFmtId="0" fontId="2" fillId="2" borderId="0" xfId="0" applyFont="1" applyFill="1" applyBorder="1" applyProtection="1">
      <protection locked="0"/>
    </xf>
    <xf numFmtId="0" fontId="4" fillId="21" borderId="0" xfId="0" applyFont="1" applyFill="1" applyBorder="1" applyProtection="1">
      <protection locked="0"/>
    </xf>
    <xf numFmtId="165" fontId="4" fillId="18" borderId="0" xfId="0" applyNumberFormat="1" applyFont="1" applyFill="1" applyBorder="1" applyProtection="1">
      <protection locked="0"/>
    </xf>
    <xf numFmtId="1" fontId="2" fillId="2" borderId="0" xfId="0" applyNumberFormat="1" applyFont="1" applyFill="1" applyBorder="1" applyProtection="1">
      <protection locked="0"/>
    </xf>
    <xf numFmtId="0" fontId="3" fillId="5" borderId="0" xfId="0" applyFont="1" applyFill="1" applyBorder="1" applyAlignment="1" applyProtection="1">
      <alignment vertical="center"/>
      <protection locked="0"/>
    </xf>
    <xf numFmtId="0" fontId="5" fillId="5" borderId="0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15" fillId="21" borderId="0" xfId="0" applyFont="1" applyFill="1" applyBorder="1" applyProtection="1">
      <protection locked="0"/>
    </xf>
    <xf numFmtId="0" fontId="4" fillId="21" borderId="0" xfId="0" applyFont="1" applyFill="1" applyBorder="1" applyProtection="1">
      <protection locked="0"/>
    </xf>
    <xf numFmtId="0" fontId="4" fillId="18" borderId="0" xfId="0" applyFont="1" applyFill="1" applyBorder="1" applyProtection="1">
      <protection locked="0"/>
    </xf>
    <xf numFmtId="0" fontId="2" fillId="2" borderId="0" xfId="0" applyFont="1" applyFill="1" applyBorder="1" applyProtection="1">
      <protection locked="0"/>
    </xf>
    <xf numFmtId="0" fontId="13" fillId="19" borderId="0" xfId="0" applyFont="1" applyFill="1" applyBorder="1" applyAlignment="1" applyProtection="1">
      <alignment horizontal="left" vertical="center"/>
      <protection locked="0"/>
    </xf>
    <xf numFmtId="0" fontId="12" fillId="19" borderId="0" xfId="0" applyFont="1" applyFill="1" applyBorder="1" applyAlignment="1" applyProtection="1">
      <alignment horizontal="left" vertical="center"/>
      <protection locked="0"/>
    </xf>
    <xf numFmtId="0" fontId="5" fillId="5" borderId="0" xfId="0" applyFont="1" applyFill="1" applyBorder="1" applyProtection="1">
      <protection locked="0"/>
    </xf>
    <xf numFmtId="0" fontId="4" fillId="5" borderId="0" xfId="0" applyFont="1" applyFill="1" applyBorder="1" applyProtection="1">
      <protection locked="0"/>
    </xf>
    <xf numFmtId="0" fontId="7" fillId="5" borderId="0" xfId="0" applyFont="1" applyFill="1" applyBorder="1" applyProtection="1">
      <protection locked="0"/>
    </xf>
    <xf numFmtId="0" fontId="16" fillId="0" borderId="0" xfId="0" applyFont="1"/>
    <xf numFmtId="0" fontId="1" fillId="0" borderId="0" xfId="1"/>
    <xf numFmtId="166" fontId="4" fillId="6" borderId="1" xfId="0" applyNumberFormat="1" applyFont="1" applyFill="1" applyBorder="1" applyAlignment="1" applyProtection="1">
      <alignment horizontal="center"/>
      <protection locked="0"/>
    </xf>
    <xf numFmtId="166" fontId="4" fillId="6" borderId="2" xfId="0" applyNumberFormat="1" applyFont="1" applyFill="1" applyBorder="1" applyAlignment="1" applyProtection="1">
      <alignment horizontal="center"/>
      <protection locked="0"/>
    </xf>
    <xf numFmtId="166" fontId="4" fillId="7" borderId="2" xfId="0" applyNumberFormat="1" applyFont="1" applyFill="1" applyBorder="1" applyAlignment="1" applyProtection="1">
      <alignment horizontal="center"/>
      <protection locked="0"/>
    </xf>
    <xf numFmtId="166" fontId="4" fillId="8" borderId="2" xfId="0" applyNumberFormat="1" applyFont="1" applyFill="1" applyBorder="1" applyAlignment="1" applyProtection="1">
      <alignment horizontal="center"/>
      <protection locked="0"/>
    </xf>
    <xf numFmtId="166" fontId="4" fillId="9" borderId="2" xfId="0" applyNumberFormat="1" applyFont="1" applyFill="1" applyBorder="1" applyAlignment="1" applyProtection="1">
      <alignment horizontal="center"/>
      <protection locked="0"/>
    </xf>
    <xf numFmtId="166" fontId="4" fillId="10" borderId="2" xfId="0" applyNumberFormat="1" applyFont="1" applyFill="1" applyBorder="1" applyAlignment="1" applyProtection="1">
      <alignment horizontal="center"/>
      <protection locked="0"/>
    </xf>
    <xf numFmtId="166" fontId="4" fillId="11" borderId="2" xfId="0" applyNumberFormat="1" applyFont="1" applyFill="1" applyBorder="1" applyAlignment="1" applyProtection="1">
      <alignment horizontal="center"/>
      <protection locked="0"/>
    </xf>
    <xf numFmtId="166" fontId="4" fillId="12" borderId="2" xfId="0" applyNumberFormat="1" applyFont="1" applyFill="1" applyBorder="1" applyAlignment="1" applyProtection="1">
      <alignment horizontal="center"/>
      <protection locked="0"/>
    </xf>
    <xf numFmtId="166" fontId="4" fillId="13" borderId="2" xfId="0" applyNumberFormat="1" applyFont="1" applyFill="1" applyBorder="1" applyAlignment="1" applyProtection="1">
      <alignment horizontal="center"/>
      <protection locked="0"/>
    </xf>
    <xf numFmtId="166" fontId="4" fillId="14" borderId="2" xfId="0" applyNumberFormat="1" applyFont="1" applyFill="1" applyBorder="1" applyAlignment="1" applyProtection="1">
      <alignment horizontal="center"/>
      <protection locked="0"/>
    </xf>
    <xf numFmtId="166" fontId="4" fillId="15" borderId="2" xfId="0" applyNumberFormat="1" applyFont="1" applyFill="1" applyBorder="1" applyAlignment="1" applyProtection="1">
      <alignment horizontal="center"/>
      <protection locked="0"/>
    </xf>
    <xf numFmtId="166" fontId="4" fillId="5" borderId="2" xfId="0" applyNumberFormat="1" applyFont="1" applyFill="1" applyBorder="1" applyAlignment="1" applyProtection="1">
      <alignment horizontal="center"/>
      <protection locked="0"/>
    </xf>
    <xf numFmtId="166" fontId="5" fillId="5" borderId="2" xfId="0" applyNumberFormat="1" applyFont="1" applyFill="1" applyBorder="1" applyAlignment="1" applyProtection="1">
      <alignment horizontal="center"/>
      <protection locked="0"/>
    </xf>
    <xf numFmtId="166" fontId="4" fillId="5" borderId="0" xfId="0" applyNumberFormat="1" applyFont="1" applyFill="1" applyBorder="1" applyAlignment="1" applyProtection="1">
      <alignment horizontal="center"/>
      <protection locked="0"/>
    </xf>
    <xf numFmtId="166" fontId="2" fillId="2" borderId="0" xfId="0" applyNumberFormat="1" applyFont="1" applyFill="1" applyBorder="1" applyAlignment="1" applyProtection="1">
      <alignment horizontal="center" vertical="center" wrapText="1"/>
      <protection locked="0"/>
    </xf>
    <xf numFmtId="166" fontId="5" fillId="5" borderId="0" xfId="0" applyNumberFormat="1" applyFont="1" applyFill="1" applyBorder="1" applyAlignment="1" applyProtection="1">
      <alignment horizontal="center"/>
      <protection locked="0"/>
    </xf>
    <xf numFmtId="166" fontId="4" fillId="0" borderId="0" xfId="0" applyNumberFormat="1" applyFont="1" applyFill="1" applyBorder="1" applyAlignment="1" applyProtection="1">
      <alignment horizontal="center"/>
      <protection locked="0"/>
    </xf>
    <xf numFmtId="1" fontId="16" fillId="0" borderId="0" xfId="0" applyNumberFormat="1" applyFont="1"/>
    <xf numFmtId="1" fontId="0" fillId="0" borderId="0" xfId="0" applyNumberFormat="1"/>
    <xf numFmtId="167" fontId="16" fillId="0" borderId="0" xfId="0" applyNumberFormat="1" applyFont="1"/>
    <xf numFmtId="167" fontId="0" fillId="0" borderId="0" xfId="0" applyNumberFormat="1"/>
    <xf numFmtId="164" fontId="16" fillId="0" borderId="0" xfId="0" applyNumberFormat="1" applyFont="1"/>
    <xf numFmtId="164" fontId="0" fillId="0" borderId="0" xfId="0" applyNumberFormat="1"/>
    <xf numFmtId="166" fontId="16" fillId="0" borderId="0" xfId="0" applyNumberFormat="1" applyFont="1"/>
    <xf numFmtId="166" fontId="0" fillId="0" borderId="0" xfId="0" applyNumberFormat="1"/>
    <xf numFmtId="167" fontId="4" fillId="5" borderId="0" xfId="0" applyNumberFormat="1" applyFont="1" applyFill="1" applyBorder="1" applyProtection="1">
      <protection locked="0"/>
    </xf>
    <xf numFmtId="166" fontId="5" fillId="6" borderId="0" xfId="0" applyNumberFormat="1" applyFont="1" applyFill="1" applyBorder="1" applyAlignment="1" applyProtection="1">
      <alignment vertical="center"/>
      <protection locked="0"/>
    </xf>
    <xf numFmtId="166" fontId="4" fillId="7" borderId="0" xfId="0" applyNumberFormat="1" applyFont="1" applyFill="1" applyBorder="1" applyAlignment="1" applyProtection="1">
      <alignment vertical="center"/>
      <protection locked="0"/>
    </xf>
    <xf numFmtId="166" fontId="4" fillId="8" borderId="0" xfId="0" applyNumberFormat="1" applyFont="1" applyFill="1" applyBorder="1" applyAlignment="1" applyProtection="1">
      <alignment vertical="center"/>
      <protection locked="0"/>
    </xf>
    <xf numFmtId="166" fontId="4" fillId="9" borderId="0" xfId="0" applyNumberFormat="1" applyFont="1" applyFill="1" applyBorder="1" applyAlignment="1" applyProtection="1">
      <alignment vertical="center"/>
      <protection locked="0"/>
    </xf>
    <xf numFmtId="166" fontId="4" fillId="10" borderId="0" xfId="0" applyNumberFormat="1" applyFont="1" applyFill="1" applyBorder="1" applyAlignment="1" applyProtection="1">
      <alignment vertical="center"/>
      <protection locked="0"/>
    </xf>
    <xf numFmtId="166" fontId="4" fillId="11" borderId="0" xfId="0" applyNumberFormat="1" applyFont="1" applyFill="1" applyBorder="1" applyAlignment="1" applyProtection="1">
      <alignment vertical="center"/>
      <protection locked="0"/>
    </xf>
    <xf numFmtId="166" fontId="4" fillId="12" borderId="0" xfId="0" applyNumberFormat="1" applyFont="1" applyFill="1" applyBorder="1" applyAlignment="1" applyProtection="1">
      <alignment vertical="center"/>
      <protection locked="0"/>
    </xf>
    <xf numFmtId="166" fontId="4" fillId="13" borderId="0" xfId="0" applyNumberFormat="1" applyFont="1" applyFill="1" applyBorder="1" applyAlignment="1" applyProtection="1">
      <alignment vertical="center"/>
      <protection locked="0"/>
    </xf>
    <xf numFmtId="166" fontId="4" fillId="14" borderId="0" xfId="0" applyNumberFormat="1" applyFont="1" applyFill="1" applyBorder="1" applyAlignment="1" applyProtection="1">
      <alignment vertical="center"/>
      <protection locked="0"/>
    </xf>
    <xf numFmtId="166" fontId="4" fillId="15" borderId="0" xfId="0" applyNumberFormat="1" applyFont="1" applyFill="1" applyBorder="1" applyAlignment="1" applyProtection="1">
      <alignment vertical="center"/>
      <protection locked="0"/>
    </xf>
    <xf numFmtId="166" fontId="5" fillId="3" borderId="0" xfId="0" applyNumberFormat="1" applyFont="1" applyFill="1" applyBorder="1" applyAlignment="1" applyProtection="1">
      <alignment vertical="center"/>
      <protection locked="0"/>
    </xf>
    <xf numFmtId="1" fontId="5" fillId="3" borderId="0" xfId="0" applyNumberFormat="1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>
      <alignment horizontal="center"/>
      <protection locked="0"/>
    </xf>
    <xf numFmtId="164" fontId="5" fillId="3" borderId="0" xfId="0" applyNumberFormat="1" applyFont="1" applyFill="1" applyBorder="1" applyAlignment="1" applyProtection="1">
      <alignment horizontal="center"/>
      <protection locked="0"/>
    </xf>
    <xf numFmtId="166" fontId="5" fillId="3" borderId="0" xfId="0" applyNumberFormat="1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Protection="1">
      <protection locked="0"/>
    </xf>
    <xf numFmtId="166" fontId="17" fillId="3" borderId="0" xfId="0" applyNumberFormat="1" applyFont="1" applyFill="1" applyBorder="1" applyAlignment="1" applyProtection="1">
      <alignment vertical="center"/>
      <protection locked="0"/>
    </xf>
  </cellXfs>
  <cellStyles count="2">
    <cellStyle name="Hiperlink" xfId="1" builtinId="8"/>
    <cellStyle name="Normal" xfId="0" builtinId="0"/>
  </cellStyles>
  <dxfs count="3">
    <dxf>
      <font>
        <b/>
        <i val="0"/>
        <color rgb="FF334155"/>
      </font>
      <fill>
        <patternFill>
          <bgColor rgb="FFCBD5E1"/>
        </patternFill>
      </fill>
    </dxf>
    <dxf>
      <font>
        <b/>
        <i val="0"/>
        <color rgb="FF334155"/>
      </font>
      <fill>
        <patternFill>
          <bgColor rgb="FFCBD5E1"/>
        </patternFill>
      </fill>
    </dxf>
    <dxf>
      <font>
        <b/>
        <i val="0"/>
        <color rgb="FFFFFFFF"/>
      </font>
      <fill>
        <patternFill>
          <bgColor rgb="FF16A34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0</xdr:row>
      <xdr:rowOff>25400</xdr:rowOff>
    </xdr:from>
    <xdr:to>
      <xdr:col>2</xdr:col>
      <xdr:colOff>1660525</xdr:colOff>
      <xdr:row>1</xdr:row>
      <xdr:rowOff>155575</xdr:rowOff>
    </xdr:to>
    <xdr:sp macro="[0]!ExcluirRegistroControleSelecionado" textlink="">
      <xdr:nvSpPr>
        <xdr:cNvPr id="2" name="Retângulo de cantos arredondados 1"/>
        <xdr:cNvSpPr/>
      </xdr:nvSpPr>
      <xdr:spPr>
        <a:xfrm>
          <a:off x="25400" y="25400"/>
          <a:ext cx="5226050" cy="434975"/>
        </a:xfrm>
        <a:prstGeom prst="roundRect">
          <a:avLst/>
        </a:prstGeom>
        <a:solidFill>
          <a:srgbClr val="FECACA"/>
        </a:solidFill>
        <a:ln>
          <a:solidFill>
            <a:srgbClr val="93C5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1E3A5F"/>
              </a:solidFill>
              <a:latin typeface="Segoe UI"/>
            </a:rPr>
            <a:t>Excluir selecionado</a:t>
          </a:r>
        </a:p>
      </xdr:txBody>
    </xdr:sp>
    <xdr:clientData/>
  </xdr:twoCellAnchor>
  <xdr:twoCellAnchor editAs="absolute">
    <xdr:from>
      <xdr:col>3</xdr:col>
      <xdr:colOff>25400</xdr:colOff>
      <xdr:row>0</xdr:row>
      <xdr:rowOff>25400</xdr:rowOff>
    </xdr:from>
    <xdr:to>
      <xdr:col>4</xdr:col>
      <xdr:colOff>631825</xdr:colOff>
      <xdr:row>1</xdr:row>
      <xdr:rowOff>155575</xdr:rowOff>
    </xdr:to>
    <xdr:sp macro="[0]!LimparFiltroControle" textlink="">
      <xdr:nvSpPr>
        <xdr:cNvPr id="3" name="Retângulo de cantos arredondados 2"/>
        <xdr:cNvSpPr/>
      </xdr:nvSpPr>
      <xdr:spPr>
        <a:xfrm>
          <a:off x="5302250" y="25400"/>
          <a:ext cx="1435100" cy="434975"/>
        </a:xfrm>
        <a:prstGeom prst="roundRect">
          <a:avLst/>
        </a:prstGeom>
        <a:solidFill>
          <a:srgbClr val="DBEAFE"/>
        </a:solidFill>
        <a:ln>
          <a:solidFill>
            <a:srgbClr val="93C5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1E3A5F"/>
              </a:solidFill>
              <a:latin typeface="Segoe UI"/>
            </a:rPr>
            <a:t>Limpar filtro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231775</xdr:colOff>
      <xdr:row>3</xdr:row>
      <xdr:rowOff>136525</xdr:rowOff>
    </xdr:from>
    <xdr:to>
      <xdr:col>3</xdr:col>
      <xdr:colOff>225425</xdr:colOff>
      <xdr:row>4</xdr:row>
      <xdr:rowOff>120650</xdr:rowOff>
    </xdr:to>
    <xdr:sp macro="[0]!AbrirFerramentaExtracao" textlink="">
      <xdr:nvSpPr>
        <xdr:cNvPr id="2" name="Retângulo de cantos arredondados 1"/>
        <xdr:cNvSpPr/>
      </xdr:nvSpPr>
      <xdr:spPr>
        <a:xfrm>
          <a:off x="231775" y="936625"/>
          <a:ext cx="2470150" cy="250825"/>
        </a:xfrm>
        <a:prstGeom prst="roundRect">
          <a:avLst/>
        </a:prstGeom>
        <a:solidFill>
          <a:srgbClr val="334155"/>
        </a:solidFill>
        <a:ln w="12700">
          <a:solidFill>
            <a:srgbClr val="4755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8FAFC"/>
              </a:solidFill>
              <a:latin typeface="Segoe UI"/>
            </a:rPr>
            <a:t>Abrir ferramenta</a:t>
          </a:r>
        </a:p>
      </xdr:txBody>
    </xdr:sp>
    <xdr:clientData/>
  </xdr:twoCellAnchor>
  <xdr:twoCellAnchor editAs="absolute">
    <xdr:from>
      <xdr:col>3</xdr:col>
      <xdr:colOff>498475</xdr:colOff>
      <xdr:row>3</xdr:row>
      <xdr:rowOff>136525</xdr:rowOff>
    </xdr:from>
    <xdr:to>
      <xdr:col>5</xdr:col>
      <xdr:colOff>739775</xdr:colOff>
      <xdr:row>4</xdr:row>
      <xdr:rowOff>120650</xdr:rowOff>
    </xdr:to>
    <xdr:sp macro="[0]!ExtrairDados" textlink="">
      <xdr:nvSpPr>
        <xdr:cNvPr id="3" name="Retângulo de cantos arredondados 2"/>
        <xdr:cNvSpPr/>
      </xdr:nvSpPr>
      <xdr:spPr>
        <a:xfrm>
          <a:off x="2974975" y="936625"/>
          <a:ext cx="2470150" cy="250825"/>
        </a:xfrm>
        <a:prstGeom prst="roundRect">
          <a:avLst/>
        </a:prstGeom>
        <a:solidFill>
          <a:srgbClr val="2563EB"/>
        </a:solidFill>
        <a:ln w="12700">
          <a:solidFill>
            <a:srgbClr val="1D4E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/>
            </a:rPr>
            <a:t>Extrair</a:t>
          </a:r>
        </a:p>
      </xdr:txBody>
    </xdr:sp>
    <xdr:clientData/>
  </xdr:twoCellAnchor>
  <xdr:twoCellAnchor editAs="absolute">
    <xdr:from>
      <xdr:col>5</xdr:col>
      <xdr:colOff>1012825</xdr:colOff>
      <xdr:row>3</xdr:row>
      <xdr:rowOff>136525</xdr:rowOff>
    </xdr:from>
    <xdr:to>
      <xdr:col>7</xdr:col>
      <xdr:colOff>6350</xdr:colOff>
      <xdr:row>4</xdr:row>
      <xdr:rowOff>120650</xdr:rowOff>
    </xdr:to>
    <xdr:sp macro="[0]!CarregarFilaJson" textlink="">
      <xdr:nvSpPr>
        <xdr:cNvPr id="4" name="Retângulo de cantos arredondados 3"/>
        <xdr:cNvSpPr/>
      </xdr:nvSpPr>
      <xdr:spPr>
        <a:xfrm>
          <a:off x="5718175" y="936625"/>
          <a:ext cx="1222375" cy="250825"/>
        </a:xfrm>
        <a:prstGeom prst="roundRect">
          <a:avLst/>
        </a:prstGeom>
        <a:solidFill>
          <a:srgbClr val="0F766E"/>
        </a:solidFill>
        <a:ln w="12700">
          <a:solidFill>
            <a:srgbClr val="0D948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/>
            </a:rPr>
            <a:t>Fila JSON</a:t>
          </a:r>
        </a:p>
      </xdr:txBody>
    </xdr:sp>
    <xdr:clientData/>
  </xdr:twoCellAnchor>
  <xdr:twoCellAnchor editAs="absolute">
    <xdr:from>
      <xdr:col>0</xdr:col>
      <xdr:colOff>231775</xdr:colOff>
      <xdr:row>6</xdr:row>
      <xdr:rowOff>260350</xdr:rowOff>
    </xdr:from>
    <xdr:to>
      <xdr:col>3</xdr:col>
      <xdr:colOff>225425</xdr:colOff>
      <xdr:row>7</xdr:row>
      <xdr:rowOff>244475</xdr:rowOff>
    </xdr:to>
    <xdr:sp macro="[0]!ImportarTodosPendentes" textlink="">
      <xdr:nvSpPr>
        <xdr:cNvPr id="14" name="Retângulo de cantos arredondados 13"/>
        <xdr:cNvSpPr/>
      </xdr:nvSpPr>
      <xdr:spPr>
        <a:xfrm>
          <a:off x="231775" y="1860550"/>
          <a:ext cx="2470150" cy="250825"/>
        </a:xfrm>
        <a:prstGeom prst="roundRect">
          <a:avLst/>
        </a:prstGeom>
        <a:solidFill>
          <a:srgbClr val="166534"/>
        </a:solidFill>
        <a:ln w="12700">
          <a:solidFill>
            <a:srgbClr val="15803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/>
            </a:rPr>
            <a:t>Pendentes</a:t>
          </a:r>
        </a:p>
      </xdr:txBody>
    </xdr:sp>
    <xdr:clientData/>
  </xdr:twoCellAnchor>
  <xdr:twoCellAnchor editAs="absolute">
    <xdr:from>
      <xdr:col>3</xdr:col>
      <xdr:colOff>498475</xdr:colOff>
      <xdr:row>6</xdr:row>
      <xdr:rowOff>260350</xdr:rowOff>
    </xdr:from>
    <xdr:to>
      <xdr:col>5</xdr:col>
      <xdr:colOff>739775</xdr:colOff>
      <xdr:row>7</xdr:row>
      <xdr:rowOff>244475</xdr:rowOff>
    </xdr:to>
    <xdr:sp macro="[0]!ImportarSelecionadoDaFila" textlink="">
      <xdr:nvSpPr>
        <xdr:cNvPr id="15" name="Retângulo de cantos arredondados 14"/>
        <xdr:cNvSpPr/>
      </xdr:nvSpPr>
      <xdr:spPr>
        <a:xfrm>
          <a:off x="2974975" y="1860550"/>
          <a:ext cx="2470150" cy="250825"/>
        </a:xfrm>
        <a:prstGeom prst="roundRect">
          <a:avLst/>
        </a:prstGeom>
        <a:solidFill>
          <a:srgbClr val="065F46"/>
        </a:solidFill>
        <a:ln w="12700"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/>
            </a:rPr>
            <a:t>Linha selecionada</a:t>
          </a:r>
        </a:p>
      </xdr:txBody>
    </xdr:sp>
    <xdr:clientData/>
  </xdr:twoCellAnchor>
  <xdr:twoCellAnchor editAs="absolute">
    <xdr:from>
      <xdr:col>0</xdr:col>
      <xdr:colOff>231775</xdr:colOff>
      <xdr:row>10</xdr:row>
      <xdr:rowOff>117475</xdr:rowOff>
    </xdr:from>
    <xdr:to>
      <xdr:col>3</xdr:col>
      <xdr:colOff>225425</xdr:colOff>
      <xdr:row>11</xdr:row>
      <xdr:rowOff>101600</xdr:rowOff>
    </xdr:to>
    <xdr:sp macro="[0]!AbrirCadastros" textlink="">
      <xdr:nvSpPr>
        <xdr:cNvPr id="16" name="Retângulo de cantos arredondados 15"/>
        <xdr:cNvSpPr/>
      </xdr:nvSpPr>
      <xdr:spPr>
        <a:xfrm>
          <a:off x="231775" y="2784475"/>
          <a:ext cx="2470150" cy="250825"/>
        </a:xfrm>
        <a:prstGeom prst="roundRect">
          <a:avLst/>
        </a:prstGeom>
        <a:solidFill>
          <a:srgbClr val="78350F"/>
        </a:solidFill>
        <a:ln w="12700">
          <a:solidFill>
            <a:srgbClr val="92400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/>
            </a:rPr>
            <a:t>Cadastros</a:t>
          </a:r>
        </a:p>
      </xdr:txBody>
    </xdr:sp>
    <xdr:clientData/>
  </xdr:twoCellAnchor>
  <xdr:twoCellAnchor editAs="absolute">
    <xdr:from>
      <xdr:col>3</xdr:col>
      <xdr:colOff>498475</xdr:colOff>
      <xdr:row>10</xdr:row>
      <xdr:rowOff>117475</xdr:rowOff>
    </xdr:from>
    <xdr:to>
      <xdr:col>5</xdr:col>
      <xdr:colOff>739775</xdr:colOff>
      <xdr:row>11</xdr:row>
      <xdr:rowOff>101600</xdr:rowOff>
    </xdr:to>
    <xdr:sp macro="[0]!AbrirComprovante" textlink="">
      <xdr:nvSpPr>
        <xdr:cNvPr id="17" name="Retângulo de cantos arredondados 16"/>
        <xdr:cNvSpPr/>
      </xdr:nvSpPr>
      <xdr:spPr>
        <a:xfrm>
          <a:off x="2974975" y="2784475"/>
          <a:ext cx="2470150" cy="250825"/>
        </a:xfrm>
        <a:prstGeom prst="roundRect">
          <a:avLst/>
        </a:prstGeom>
        <a:solidFill>
          <a:srgbClr val="7C2D12"/>
        </a:solidFill>
        <a:ln w="12700">
          <a:solidFill>
            <a:srgbClr val="9A34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/>
            </a:rPr>
            <a:t>Abrir arquivo</a:t>
          </a:r>
        </a:p>
      </xdr:txBody>
    </xdr:sp>
    <xdr:clientData/>
  </xdr:twoCellAnchor>
  <xdr:twoCellAnchor editAs="absolute">
    <xdr:from>
      <xdr:col>5</xdr:col>
      <xdr:colOff>1012825</xdr:colOff>
      <xdr:row>10</xdr:row>
      <xdr:rowOff>117475</xdr:rowOff>
    </xdr:from>
    <xdr:to>
      <xdr:col>7</xdr:col>
      <xdr:colOff>6350</xdr:colOff>
      <xdr:row>11</xdr:row>
      <xdr:rowOff>101600</xdr:rowOff>
    </xdr:to>
    <xdr:sp macro="[0]!LimparDados" textlink="">
      <xdr:nvSpPr>
        <xdr:cNvPr id="18" name="Retângulo de cantos arredondados 17"/>
        <xdr:cNvSpPr/>
      </xdr:nvSpPr>
      <xdr:spPr>
        <a:xfrm>
          <a:off x="5718175" y="2784475"/>
          <a:ext cx="1222375" cy="250825"/>
        </a:xfrm>
        <a:prstGeom prst="roundRect">
          <a:avLst/>
        </a:prstGeom>
        <a:solidFill>
          <a:srgbClr val="7F1D1D"/>
        </a:solidFill>
        <a:ln w="12700">
          <a:solidFill>
            <a:srgbClr val="991B1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/>
            </a:rPr>
            <a:t>Limpar</a:t>
          </a:r>
        </a:p>
      </xdr:txBody>
    </xdr:sp>
    <xdr:clientData/>
  </xdr:twoCellAnchor>
  <xdr:twoCellAnchor editAs="absolute">
    <xdr:from>
      <xdr:col>0</xdr:col>
      <xdr:colOff>231775</xdr:colOff>
      <xdr:row>13</xdr:row>
      <xdr:rowOff>241300</xdr:rowOff>
    </xdr:from>
    <xdr:to>
      <xdr:col>3</xdr:col>
      <xdr:colOff>225425</xdr:colOff>
      <xdr:row>14</xdr:row>
      <xdr:rowOff>225425</xdr:rowOff>
    </xdr:to>
    <xdr:sp macro="[0]!DesbloquearEdicao" textlink="">
      <xdr:nvSpPr>
        <xdr:cNvPr id="19" name="Retângulo de cantos arredondados 18"/>
        <xdr:cNvSpPr/>
      </xdr:nvSpPr>
      <xdr:spPr>
        <a:xfrm>
          <a:off x="231775" y="3708400"/>
          <a:ext cx="2470150" cy="250825"/>
        </a:xfrm>
        <a:prstGeom prst="roundRect">
          <a:avLst/>
        </a:prstGeom>
        <a:solidFill>
          <a:srgbClr val="475569"/>
        </a:solidFill>
        <a:ln w="12700">
          <a:solidFill>
            <a:srgbClr val="64748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8FAFC"/>
              </a:solidFill>
              <a:latin typeface="Segoe UI"/>
            </a:rPr>
            <a:t>Destravar</a:t>
          </a:r>
        </a:p>
      </xdr:txBody>
    </xdr:sp>
    <xdr:clientData/>
  </xdr:twoCellAnchor>
  <xdr:twoCellAnchor editAs="absolute">
    <xdr:from>
      <xdr:col>3</xdr:col>
      <xdr:colOff>498475</xdr:colOff>
      <xdr:row>13</xdr:row>
      <xdr:rowOff>241300</xdr:rowOff>
    </xdr:from>
    <xdr:to>
      <xdr:col>5</xdr:col>
      <xdr:colOff>739775</xdr:colOff>
      <xdr:row>14</xdr:row>
      <xdr:rowOff>225425</xdr:rowOff>
    </xdr:to>
    <xdr:sp macro="[0]!BloquearEdicao" textlink="">
      <xdr:nvSpPr>
        <xdr:cNvPr id="20" name="Retângulo de cantos arredondados 19"/>
        <xdr:cNvSpPr/>
      </xdr:nvSpPr>
      <xdr:spPr>
        <a:xfrm>
          <a:off x="2974975" y="3708400"/>
          <a:ext cx="2470150" cy="250825"/>
        </a:xfrm>
        <a:prstGeom prst="roundRect">
          <a:avLst/>
        </a:prstGeom>
        <a:solidFill>
          <a:srgbClr val="475569"/>
        </a:solidFill>
        <a:ln w="12700">
          <a:solidFill>
            <a:srgbClr val="64748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8FAFC"/>
              </a:solidFill>
              <a:latin typeface="Segoe UI"/>
            </a:rPr>
            <a:t>Travar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422275</xdr:colOff>
      <xdr:row>20</xdr:row>
      <xdr:rowOff>76200</xdr:rowOff>
    </xdr:from>
    <xdr:to>
      <xdr:col>3</xdr:col>
      <xdr:colOff>342900</xdr:colOff>
      <xdr:row>21</xdr:row>
      <xdr:rowOff>184150</xdr:rowOff>
    </xdr:to>
    <xdr:sp macro="[0]!CarregarRegistroEdicao" textlink="">
      <xdr:nvSpPr>
        <xdr:cNvPr id="4" name="Retângulo de cantos arredondados 3"/>
        <xdr:cNvSpPr/>
      </xdr:nvSpPr>
      <xdr:spPr>
        <a:xfrm>
          <a:off x="736600" y="5029200"/>
          <a:ext cx="1549400" cy="355600"/>
        </a:xfrm>
        <a:prstGeom prst="roundRect">
          <a:avLst/>
        </a:prstGeom>
        <a:solidFill>
          <a:srgbClr val="0E7490"/>
        </a:solidFill>
        <a:ln>
          <a:solidFill>
            <a:srgbClr val="3741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/>
            </a:rPr>
            <a:t>Carregar</a:t>
          </a:r>
        </a:p>
      </xdr:txBody>
    </xdr:sp>
    <xdr:clientData/>
  </xdr:twoCellAnchor>
  <xdr:twoCellAnchor>
    <xdr:from>
      <xdr:col>3</xdr:col>
      <xdr:colOff>495300</xdr:colOff>
      <xdr:row>20</xdr:row>
      <xdr:rowOff>76200</xdr:rowOff>
    </xdr:from>
    <xdr:to>
      <xdr:col>5</xdr:col>
      <xdr:colOff>82550</xdr:colOff>
      <xdr:row>21</xdr:row>
      <xdr:rowOff>184150</xdr:rowOff>
    </xdr:to>
    <xdr:sp macro="[0]!SalvarFormularioEdicao" textlink="">
      <xdr:nvSpPr>
        <xdr:cNvPr id="5" name="Retângulo de cantos arredondados 4"/>
        <xdr:cNvSpPr/>
      </xdr:nvSpPr>
      <xdr:spPr>
        <a:xfrm>
          <a:off x="2438400" y="5029200"/>
          <a:ext cx="1549400" cy="355600"/>
        </a:xfrm>
        <a:prstGeom prst="roundRect">
          <a:avLst/>
        </a:prstGeom>
        <a:solidFill>
          <a:srgbClr val="166534"/>
        </a:solidFill>
        <a:ln>
          <a:solidFill>
            <a:srgbClr val="37415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/>
            </a:rPr>
            <a:t>Salvar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25400</xdr:colOff>
      <xdr:row>9</xdr:row>
      <xdr:rowOff>25400</xdr:rowOff>
    </xdr:from>
    <xdr:to>
      <xdr:col>2</xdr:col>
      <xdr:colOff>955675</xdr:colOff>
      <xdr:row>10</xdr:row>
      <xdr:rowOff>155575</xdr:rowOff>
    </xdr:to>
    <xdr:sp macro="[0]!SalvarCadastroDespesa" textlink="">
      <xdr:nvSpPr>
        <xdr:cNvPr id="5" name="Retângulo de cantos arredondados 4"/>
        <xdr:cNvSpPr/>
      </xdr:nvSpPr>
      <xdr:spPr>
        <a:xfrm>
          <a:off x="1673225" y="1806575"/>
          <a:ext cx="3778250" cy="311150"/>
        </a:xfrm>
        <a:prstGeom prst="roundRect">
          <a:avLst/>
        </a:prstGeom>
        <a:solidFill>
          <a:srgbClr val="BBF7D0"/>
        </a:solidFill>
        <a:ln>
          <a:solidFill>
            <a:srgbClr val="93C5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1E3A5F"/>
              </a:solidFill>
              <a:latin typeface="Segoe UI"/>
            </a:rPr>
            <a:t>Salvar cadastro</a:t>
          </a:r>
        </a:p>
      </xdr:txBody>
    </xdr:sp>
    <xdr:clientData/>
  </xdr:twoCellAnchor>
  <xdr:twoCellAnchor editAs="absolute">
    <xdr:from>
      <xdr:col>3</xdr:col>
      <xdr:colOff>25400</xdr:colOff>
      <xdr:row>9</xdr:row>
      <xdr:rowOff>25400</xdr:rowOff>
    </xdr:from>
    <xdr:to>
      <xdr:col>4</xdr:col>
      <xdr:colOff>822325</xdr:colOff>
      <xdr:row>10</xdr:row>
      <xdr:rowOff>155575</xdr:rowOff>
    </xdr:to>
    <xdr:sp macro="[0]!CarregarCadastroSelecionado" textlink="">
      <xdr:nvSpPr>
        <xdr:cNvPr id="6" name="Retângulo de cantos arredondados 5"/>
        <xdr:cNvSpPr/>
      </xdr:nvSpPr>
      <xdr:spPr>
        <a:xfrm>
          <a:off x="5502275" y="1806575"/>
          <a:ext cx="2044700" cy="311150"/>
        </a:xfrm>
        <a:prstGeom prst="roundRect">
          <a:avLst/>
        </a:prstGeom>
        <a:solidFill>
          <a:srgbClr val="BFDBFE"/>
        </a:solidFill>
        <a:ln>
          <a:solidFill>
            <a:srgbClr val="93C5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1E3A5F"/>
              </a:solidFill>
              <a:latin typeface="Segoe UI"/>
            </a:rPr>
            <a:t>Carregar selecao</a:t>
          </a:r>
        </a:p>
      </xdr:txBody>
    </xdr:sp>
    <xdr:clientData/>
  </xdr:twoCellAnchor>
  <xdr:twoCellAnchor editAs="absolute">
    <xdr:from>
      <xdr:col>5</xdr:col>
      <xdr:colOff>25400</xdr:colOff>
      <xdr:row>9</xdr:row>
      <xdr:rowOff>25400</xdr:rowOff>
    </xdr:from>
    <xdr:to>
      <xdr:col>6</xdr:col>
      <xdr:colOff>1089025</xdr:colOff>
      <xdr:row>10</xdr:row>
      <xdr:rowOff>155575</xdr:rowOff>
    </xdr:to>
    <xdr:sp macro="[0]!SincronizarCadastrosDespesas" textlink="">
      <xdr:nvSpPr>
        <xdr:cNvPr id="7" name="Retângulo de cantos arredondados 6"/>
        <xdr:cNvSpPr/>
      </xdr:nvSpPr>
      <xdr:spPr>
        <a:xfrm>
          <a:off x="7597775" y="1806575"/>
          <a:ext cx="2178050" cy="311150"/>
        </a:xfrm>
        <a:prstGeom prst="roundRect">
          <a:avLst/>
        </a:prstGeom>
        <a:solidFill>
          <a:srgbClr val="FDE68A"/>
        </a:solidFill>
        <a:ln>
          <a:solidFill>
            <a:srgbClr val="93C5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1E3A5F"/>
              </a:solidFill>
              <a:latin typeface="Segoe UI"/>
            </a:rPr>
            <a:t>Sincronizar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60A5FA"/>
  </sheetPr>
  <dimension ref="A1:AZ220"/>
  <sheetViews>
    <sheetView showGridLines="0" showRowColHeaders="0" zoomScaleNormal="100" workbookViewId="0">
      <pane xSplit="2" ySplit="4" topLeftCell="C5" activePane="bottomRight" state="frozenSplit"/>
      <selection pane="topRight" activeCell="C1" sqref="C1"/>
      <selection pane="bottomLeft" activeCell="A5" sqref="A5"/>
      <selection pane="bottomRight" activeCell="C5" sqref="C5"/>
    </sheetView>
  </sheetViews>
  <sheetFormatPr defaultColWidth="0" defaultRowHeight="14.25" x14ac:dyDescent="0.25"/>
  <cols>
    <col min="1" max="1" width="50.42578125" style="10" bestFit="1" customWidth="1"/>
    <col min="2" max="2" width="48.85546875" style="10" bestFit="1" customWidth="1"/>
    <col min="3" max="4" width="4" style="2" bestFit="1" customWidth="1"/>
    <col min="5" max="6" width="10.28515625" style="2" bestFit="1" customWidth="1"/>
    <col min="7" max="10" width="9.28515625" style="2" bestFit="1" customWidth="1"/>
    <col min="11" max="11" width="3.7109375" style="2" bestFit="1" customWidth="1"/>
    <col min="12" max="12" width="4.28515625" style="2" bestFit="1" customWidth="1"/>
    <col min="13" max="13" width="4.5703125" style="2" bestFit="1" customWidth="1"/>
    <col min="14" max="14" width="4.28515625" style="2" bestFit="1" customWidth="1"/>
    <col min="15" max="15" width="11.5703125" style="2" bestFit="1" customWidth="1"/>
    <col min="16" max="16" width="9.85546875" style="2" bestFit="1" customWidth="1"/>
    <col min="17" max="17" width="11.140625" style="2" bestFit="1" customWidth="1"/>
    <col min="18" max="18" width="11" style="2" bestFit="1" customWidth="1"/>
    <col min="19" max="19" width="20.85546875" style="2" bestFit="1" customWidth="1"/>
    <col min="20" max="20" width="19.5703125" style="2" bestFit="1" customWidth="1"/>
    <col min="21" max="21" width="12.85546875" style="2" bestFit="1" customWidth="1"/>
    <col min="22" max="22" width="12" style="2" bestFit="1" customWidth="1"/>
    <col min="23" max="52" width="9.140625" style="2" hidden="1" customWidth="1"/>
    <col min="53" max="16384" width="0" style="2" hidden="1"/>
  </cols>
  <sheetData>
    <row r="1" spans="1:52" x14ac:dyDescent="0.25">
      <c r="A1" s="11" t="s">
        <v>0</v>
      </c>
      <c r="B1" s="11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</row>
    <row r="2" spans="1:52" x14ac:dyDescent="0.25">
      <c r="A2" s="11"/>
      <c r="B2" s="11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</row>
    <row r="3" spans="1:52" x14ac:dyDescent="0.25">
      <c r="A3" s="11"/>
      <c r="B3" s="11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</row>
    <row r="4" spans="1:52" ht="45" customHeight="1" x14ac:dyDescent="0.25">
      <c r="A4" s="68" t="s">
        <v>1</v>
      </c>
      <c r="B4" s="84" t="s">
        <v>2</v>
      </c>
      <c r="C4" s="68" t="s">
        <v>101</v>
      </c>
      <c r="D4" s="68" t="s">
        <v>102</v>
      </c>
      <c r="E4" s="68" t="s">
        <v>103</v>
      </c>
      <c r="F4" s="68" t="s">
        <v>104</v>
      </c>
      <c r="G4" s="68" t="s">
        <v>105</v>
      </c>
      <c r="H4" s="68" t="s">
        <v>106</v>
      </c>
      <c r="I4" s="68" t="s">
        <v>107</v>
      </c>
      <c r="J4" s="68" t="s">
        <v>108</v>
      </c>
      <c r="K4" s="68" t="s">
        <v>109</v>
      </c>
      <c r="L4" s="68" t="s">
        <v>110</v>
      </c>
      <c r="M4" s="68" t="s">
        <v>111</v>
      </c>
      <c r="N4" s="68" t="s">
        <v>112</v>
      </c>
      <c r="O4" s="68" t="s">
        <v>113</v>
      </c>
      <c r="P4" s="68" t="s">
        <v>114</v>
      </c>
      <c r="Q4" s="68" t="s">
        <v>115</v>
      </c>
      <c r="R4" s="69" t="s">
        <v>116</v>
      </c>
      <c r="S4" s="69" t="s">
        <v>118</v>
      </c>
      <c r="T4" s="69" t="s">
        <v>119</v>
      </c>
      <c r="U4" s="69" t="s">
        <v>3</v>
      </c>
      <c r="V4" s="69" t="s">
        <v>117</v>
      </c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</row>
    <row r="5" spans="1:52" x14ac:dyDescent="0.25">
      <c r="A5" s="19" t="s">
        <v>4</v>
      </c>
      <c r="B5" s="19" t="s">
        <v>5</v>
      </c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20"/>
      <c r="P5" s="20">
        <f>IF(OR(A5&lt;&gt;"",B5&lt;&gt;""),(SUM(C5:N5)+O5)/12,"")</f>
        <v>0</v>
      </c>
      <c r="Q5" s="20">
        <f>IF(OR(A5&lt;&gt;"",B5&lt;&gt;""),SUM(C5:N5)+O5,"")</f>
        <v>0</v>
      </c>
      <c r="R5" s="21" t="s">
        <v>6</v>
      </c>
      <c r="S5" s="20">
        <f>IF(OR(A5&lt;&gt;"",B5&lt;&gt;""),IF(R5="Sim",Q5/2,Q5),"")</f>
        <v>0</v>
      </c>
      <c r="T5" s="20">
        <f>IF(OR(A5&lt;&gt;"",B5&lt;&gt;""),IF(R5="Sim",P5/2,P5),"")</f>
        <v>0</v>
      </c>
      <c r="U5" s="92" t="s">
        <v>120</v>
      </c>
      <c r="V5" s="74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</row>
    <row r="6" spans="1:52" x14ac:dyDescent="0.25">
      <c r="A6" s="22" t="s">
        <v>4</v>
      </c>
      <c r="B6" s="22" t="s">
        <v>7</v>
      </c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23"/>
      <c r="P6" s="23">
        <f>IF(OR(A6&lt;&gt;"",B6&lt;&gt;""),(SUM(C6:N6)+O6)/12,"")</f>
        <v>0</v>
      </c>
      <c r="Q6" s="24">
        <f>IF(OR(A6&lt;&gt;"",B6&lt;&gt;""),SUM(C6:N6)+O6,"")</f>
        <v>0</v>
      </c>
      <c r="R6" s="25" t="s">
        <v>6</v>
      </c>
      <c r="S6" s="23">
        <f>IF(OR(A6&lt;&gt;"",B6&lt;&gt;""),IF(R6="Sim",Q6/2,Q6),"")</f>
        <v>0</v>
      </c>
      <c r="T6" s="23">
        <f>IF(OR(A6&lt;&gt;"",B6&lt;&gt;""),IF(R6="Sim",P6/2,P6),"")</f>
        <v>0</v>
      </c>
      <c r="U6" s="93" t="s">
        <v>120</v>
      </c>
      <c r="V6" s="94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</row>
    <row r="7" spans="1:52" x14ac:dyDescent="0.25">
      <c r="A7" s="22" t="s">
        <v>4</v>
      </c>
      <c r="B7" s="22" t="s">
        <v>8</v>
      </c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23"/>
      <c r="P7" s="23">
        <f>IF(OR(A7&lt;&gt;"",B7&lt;&gt;""),(SUM(C7:N7)+O7)/12,"")</f>
        <v>0</v>
      </c>
      <c r="Q7" s="24">
        <f>IF(OR(A7&lt;&gt;"",B7&lt;&gt;""),SUM(C7:N7)+O7,"")</f>
        <v>0</v>
      </c>
      <c r="R7" s="25" t="s">
        <v>6</v>
      </c>
      <c r="S7" s="23">
        <f>IF(OR(A7&lt;&gt;"",B7&lt;&gt;""),IF(R7="Sim",Q7/2,Q7),"")</f>
        <v>0</v>
      </c>
      <c r="T7" s="23">
        <f>IF(OR(A7&lt;&gt;"",B7&lt;&gt;""),IF(R7="Sim",P7/2,P7),"")</f>
        <v>0</v>
      </c>
      <c r="U7" s="93" t="s">
        <v>120</v>
      </c>
      <c r="V7" s="94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</row>
    <row r="8" spans="1:52" x14ac:dyDescent="0.25">
      <c r="A8" s="22" t="s">
        <v>4</v>
      </c>
      <c r="B8" s="22" t="s">
        <v>9</v>
      </c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23"/>
      <c r="P8" s="23">
        <f>IF(OR(A8&lt;&gt;"",B8&lt;&gt;""),(SUM(C8:N8)+O8)/12,"")</f>
        <v>0</v>
      </c>
      <c r="Q8" s="24">
        <f>IF(OR(A8&lt;&gt;"",B8&lt;&gt;""),SUM(C8:N8)+O8,"")</f>
        <v>0</v>
      </c>
      <c r="R8" s="25" t="s">
        <v>6</v>
      </c>
      <c r="S8" s="23">
        <f>IF(OR(A8&lt;&gt;"",B8&lt;&gt;""),IF(R8="Sim",Q8/2,Q8),"")</f>
        <v>0</v>
      </c>
      <c r="T8" s="23">
        <f>IF(OR(A8&lt;&gt;"",B8&lt;&gt;""),IF(R8="Sim",P8/2,P8),"")</f>
        <v>0</v>
      </c>
      <c r="U8" s="93" t="s">
        <v>120</v>
      </c>
      <c r="V8" s="94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</row>
    <row r="9" spans="1:52" x14ac:dyDescent="0.25">
      <c r="A9" s="22" t="s">
        <v>4</v>
      </c>
      <c r="B9" s="22" t="s">
        <v>10</v>
      </c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23"/>
      <c r="P9" s="23">
        <f>IF(OR(A9&lt;&gt;"",B9&lt;&gt;""),(SUM(C9:N9)+O9)/12,"")</f>
        <v>0</v>
      </c>
      <c r="Q9" s="24">
        <f>IF(OR(A9&lt;&gt;"",B9&lt;&gt;""),SUM(C9:N9)+O9,"")</f>
        <v>0</v>
      </c>
      <c r="R9" s="25" t="s">
        <v>6</v>
      </c>
      <c r="S9" s="23">
        <f>IF(OR(A9&lt;&gt;"",B9&lt;&gt;""),IF(R9="Sim",Q9/2,Q9),"")</f>
        <v>0</v>
      </c>
      <c r="T9" s="23">
        <f>IF(OR(A9&lt;&gt;"",B9&lt;&gt;""),IF(R9="Sim",P9/2,P9),"")</f>
        <v>0</v>
      </c>
      <c r="U9" s="93" t="s">
        <v>120</v>
      </c>
      <c r="V9" s="94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</row>
    <row r="10" spans="1:52" x14ac:dyDescent="0.25">
      <c r="A10" s="22" t="s">
        <v>4</v>
      </c>
      <c r="B10" s="22" t="s">
        <v>11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23"/>
      <c r="P10" s="23">
        <f>IF(OR(A10&lt;&gt;"",B10&lt;&gt;""),(SUM(C10:N10)+O10)/12,"")</f>
        <v>0</v>
      </c>
      <c r="Q10" s="24">
        <f>IF(OR(A10&lt;&gt;"",B10&lt;&gt;""),SUM(C10:N10)+O10,"")</f>
        <v>0</v>
      </c>
      <c r="R10" s="25" t="s">
        <v>6</v>
      </c>
      <c r="S10" s="23">
        <f>IF(OR(A10&lt;&gt;"",B10&lt;&gt;""),IF(R10="Sim",Q10/2,Q10),"")</f>
        <v>0</v>
      </c>
      <c r="T10" s="23">
        <f>IF(OR(A10&lt;&gt;"",B10&lt;&gt;""),IF(R10="Sim",P10/2,P10),"")</f>
        <v>0</v>
      </c>
      <c r="U10" s="93" t="s">
        <v>120</v>
      </c>
      <c r="V10" s="94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</row>
    <row r="11" spans="1:52" x14ac:dyDescent="0.25">
      <c r="A11" s="22" t="s">
        <v>4</v>
      </c>
      <c r="B11" s="22" t="s">
        <v>12</v>
      </c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23"/>
      <c r="P11" s="23">
        <f>IF(OR(A11&lt;&gt;"",B11&lt;&gt;""),(SUM(C11:N11)+O11)/12,"")</f>
        <v>0</v>
      </c>
      <c r="Q11" s="24">
        <f>IF(OR(A11&lt;&gt;"",B11&lt;&gt;""),SUM(C11:N11)+O11,"")</f>
        <v>0</v>
      </c>
      <c r="R11" s="25" t="s">
        <v>6</v>
      </c>
      <c r="S11" s="23">
        <f>IF(OR(A11&lt;&gt;"",B11&lt;&gt;""),IF(R11="Sim",Q11/2,Q11),"")</f>
        <v>0</v>
      </c>
      <c r="T11" s="23">
        <f>IF(OR(A11&lt;&gt;"",B11&lt;&gt;""),IF(R11="Sim",P11/2,P11),"")</f>
        <v>0</v>
      </c>
      <c r="U11" s="93" t="s">
        <v>120</v>
      </c>
      <c r="V11" s="94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</row>
    <row r="12" spans="1:52" x14ac:dyDescent="0.25">
      <c r="A12" s="26" t="s">
        <v>13</v>
      </c>
      <c r="B12" s="26" t="s">
        <v>14</v>
      </c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27"/>
      <c r="P12" s="27">
        <f>IF(OR(A12&lt;&gt;"",B12&lt;&gt;""),(SUM(C12:N12)+O12)/12,"")</f>
        <v>0</v>
      </c>
      <c r="Q12" s="28">
        <f>IF(OR(A12&lt;&gt;"",B12&lt;&gt;""),SUM(C12:N12)+O12,"")</f>
        <v>0</v>
      </c>
      <c r="R12" s="29" t="s">
        <v>137</v>
      </c>
      <c r="S12" s="27">
        <f>IF(OR(A12&lt;&gt;"",B12&lt;&gt;""),IF(R12="Sim",Q12/2,Q12),"")</f>
        <v>0</v>
      </c>
      <c r="T12" s="27">
        <f>IF(OR(A12&lt;&gt;"",B12&lt;&gt;""),IF(R12="Sim",P12/2,P12),"")</f>
        <v>0</v>
      </c>
      <c r="U12" s="95" t="s">
        <v>120</v>
      </c>
      <c r="V12" s="96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</row>
    <row r="13" spans="1:52" x14ac:dyDescent="0.25">
      <c r="A13" s="26" t="s">
        <v>13</v>
      </c>
      <c r="B13" s="26" t="s">
        <v>15</v>
      </c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27"/>
      <c r="P13" s="27">
        <f>IF(OR(A13&lt;&gt;"",B13&lt;&gt;""),(SUM(C13:N13)+O13)/12,"")</f>
        <v>0</v>
      </c>
      <c r="Q13" s="27">
        <f>IF(OR(A13&lt;&gt;"",B13&lt;&gt;""),SUM(C13:N13)+O13,"")</f>
        <v>0</v>
      </c>
      <c r="R13" s="29" t="s">
        <v>137</v>
      </c>
      <c r="S13" s="27">
        <f>IF(OR(A13&lt;&gt;"",B13&lt;&gt;""),IF(R13="Sim",Q13/2,Q13),"")</f>
        <v>0</v>
      </c>
      <c r="T13" s="27">
        <f>IF(OR(A13&lt;&gt;"",B13&lt;&gt;""),IF(R13="Sim",P13/2,P13),"")</f>
        <v>0</v>
      </c>
      <c r="U13" s="95" t="s">
        <v>120</v>
      </c>
      <c r="V13" s="75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</row>
    <row r="14" spans="1:52" x14ac:dyDescent="0.25">
      <c r="A14" s="26" t="s">
        <v>13</v>
      </c>
      <c r="B14" s="26" t="s">
        <v>16</v>
      </c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27"/>
      <c r="P14" s="27">
        <f>IF(OR(A14&lt;&gt;"",B14&lt;&gt;""),(SUM(C14:N14)+O14)/12,"")</f>
        <v>0</v>
      </c>
      <c r="Q14" s="28">
        <f>IF(OR(A14&lt;&gt;"",B14&lt;&gt;""),SUM(C14:N14)+O14,"")</f>
        <v>0</v>
      </c>
      <c r="R14" s="29" t="s">
        <v>137</v>
      </c>
      <c r="S14" s="27">
        <f>IF(OR(A14&lt;&gt;"",B14&lt;&gt;""),IF(R14="Sim",Q14/2,Q14),"")</f>
        <v>0</v>
      </c>
      <c r="T14" s="27">
        <f>IF(OR(A14&lt;&gt;"",B14&lt;&gt;""),IF(R14="Sim",P14/2,P14),"")</f>
        <v>0</v>
      </c>
      <c r="U14" s="95" t="s">
        <v>120</v>
      </c>
      <c r="V14" s="96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</row>
    <row r="15" spans="1:52" x14ac:dyDescent="0.25">
      <c r="A15" s="30" t="s">
        <v>17</v>
      </c>
      <c r="B15" s="30" t="s">
        <v>18</v>
      </c>
      <c r="C15" s="159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31"/>
      <c r="P15" s="31">
        <f>IF(OR(A15&lt;&gt;"",B15&lt;&gt;""),(SUM(C15:N15)+O15)/12,"")</f>
        <v>0</v>
      </c>
      <c r="Q15" s="32">
        <f>IF(OR(A15&lt;&gt;"",B15&lt;&gt;""),SUM(C15:N15)+O15,"")</f>
        <v>0</v>
      </c>
      <c r="R15" s="33"/>
      <c r="S15" s="31">
        <f>IF(OR(A15&lt;&gt;"",B15&lt;&gt;""),IF(R15="Sim",Q15/2,Q15),"")</f>
        <v>0</v>
      </c>
      <c r="T15" s="31">
        <f>IF(OR(A15&lt;&gt;"",B15&lt;&gt;""),IF(R15="Sim",P15/2,P15),"")</f>
        <v>0</v>
      </c>
      <c r="U15" s="97" t="s">
        <v>120</v>
      </c>
      <c r="V15" s="98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</row>
    <row r="16" spans="1:52" x14ac:dyDescent="0.25">
      <c r="A16" s="30" t="s">
        <v>17</v>
      </c>
      <c r="B16" s="30" t="s">
        <v>19</v>
      </c>
      <c r="C16" s="159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31"/>
      <c r="P16" s="31">
        <f>IF(OR(A16&lt;&gt;"",B16&lt;&gt;""),(SUM(C16:N16)+O16)/12,"")</f>
        <v>0</v>
      </c>
      <c r="Q16" s="31">
        <f>IF(OR(A16&lt;&gt;"",B16&lt;&gt;""),SUM(C16:N16)+O16,"")</f>
        <v>0</v>
      </c>
      <c r="R16" s="33"/>
      <c r="S16" s="31">
        <f>IF(OR(A16&lt;&gt;"",B16&lt;&gt;""),IF(R16="Sim",Q16/2,Q16),"")</f>
        <v>0</v>
      </c>
      <c r="T16" s="31">
        <f>IF(OR(A16&lt;&gt;"",B16&lt;&gt;""),IF(R16="Sim",P16/2,P16),"")</f>
        <v>0</v>
      </c>
      <c r="U16" s="97" t="s">
        <v>120</v>
      </c>
      <c r="V16" s="76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</row>
    <row r="17" spans="1:52" x14ac:dyDescent="0.25">
      <c r="A17" s="30" t="s">
        <v>17</v>
      </c>
      <c r="B17" s="30" t="s">
        <v>20</v>
      </c>
      <c r="C17" s="159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31"/>
      <c r="P17" s="31">
        <f>IF(OR(A17&lt;&gt;"",B17&lt;&gt;""),(SUM(C17:N17)+O17)/12,"")</f>
        <v>0</v>
      </c>
      <c r="Q17" s="31">
        <f>IF(OR(A17&lt;&gt;"",B17&lt;&gt;""),SUM(C17:N17)+O17,"")</f>
        <v>0</v>
      </c>
      <c r="R17" s="33"/>
      <c r="S17" s="31">
        <f>IF(OR(A17&lt;&gt;"",B17&lt;&gt;""),IF(R17="Sim",Q17/2,Q17),"")</f>
        <v>0</v>
      </c>
      <c r="T17" s="31">
        <f>IF(OR(A17&lt;&gt;"",B17&lt;&gt;""),IF(R17="Sim",P17/2,P17),"")</f>
        <v>0</v>
      </c>
      <c r="U17" s="97" t="s">
        <v>120</v>
      </c>
      <c r="V17" s="76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</row>
    <row r="18" spans="1:52" x14ac:dyDescent="0.25">
      <c r="A18" s="30" t="s">
        <v>17</v>
      </c>
      <c r="B18" s="30" t="s">
        <v>21</v>
      </c>
      <c r="C18" s="159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31"/>
      <c r="P18" s="31">
        <f>IF(OR(A18&lt;&gt;"",B18&lt;&gt;""),(SUM(C18:N18)+O18)/12,"")</f>
        <v>0</v>
      </c>
      <c r="Q18" s="31">
        <f>IF(OR(A18&lt;&gt;"",B18&lt;&gt;""),SUM(C18:N18)+O18,"")</f>
        <v>0</v>
      </c>
      <c r="R18" s="33"/>
      <c r="S18" s="31">
        <f>IF(OR(A18&lt;&gt;"",B18&lt;&gt;""),IF(R18="Sim",Q18/2,Q18),"")</f>
        <v>0</v>
      </c>
      <c r="T18" s="31">
        <f>IF(OR(A18&lt;&gt;"",B18&lt;&gt;""),IF(R18="Sim",P18/2,P18),"")</f>
        <v>0</v>
      </c>
      <c r="U18" s="97" t="s">
        <v>120</v>
      </c>
      <c r="V18" s="76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</row>
    <row r="19" spans="1:52" x14ac:dyDescent="0.25">
      <c r="A19" s="30" t="s">
        <v>17</v>
      </c>
      <c r="B19" s="30" t="s">
        <v>22</v>
      </c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31"/>
      <c r="P19" s="31">
        <f>IF(OR(A19&lt;&gt;"",B19&lt;&gt;""),(SUM(C19:N19)+O19)/12,"")</f>
        <v>0</v>
      </c>
      <c r="Q19" s="32">
        <f>IF(OR(A19&lt;&gt;"",B19&lt;&gt;""),SUM(C19:N19)+O19,"")</f>
        <v>0</v>
      </c>
      <c r="R19" s="33"/>
      <c r="S19" s="31">
        <f>IF(OR(A19&lt;&gt;"",B19&lt;&gt;""),IF(R19="Sim",Q19/2,Q19),"")</f>
        <v>0</v>
      </c>
      <c r="T19" s="31">
        <f>IF(OR(A19&lt;&gt;"",B19&lt;&gt;""),IF(R19="Sim",P19/2,P19),"")</f>
        <v>0</v>
      </c>
      <c r="U19" s="99" t="s">
        <v>120</v>
      </c>
      <c r="V19" s="98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</row>
    <row r="20" spans="1:52" x14ac:dyDescent="0.25">
      <c r="A20" s="30" t="s">
        <v>17</v>
      </c>
      <c r="B20" s="30" t="s">
        <v>23</v>
      </c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31"/>
      <c r="P20" s="31">
        <f>IF(OR(A20&lt;&gt;"",B20&lt;&gt;""),(SUM(C20:N20)+O20)/12,"")</f>
        <v>0</v>
      </c>
      <c r="Q20" s="31">
        <f>IF(OR(A20&lt;&gt;"",B20&lt;&gt;""),SUM(C20:N20)+O20,"")</f>
        <v>0</v>
      </c>
      <c r="R20" s="33"/>
      <c r="S20" s="31">
        <f>IF(OR(A20&lt;&gt;"",B20&lt;&gt;""),IF(R20="Sim",Q20/2,Q20),"")</f>
        <v>0</v>
      </c>
      <c r="T20" s="31">
        <f>IF(OR(A20&lt;&gt;"",B20&lt;&gt;""),IF(R20="Sim",P20/2,P20),"")</f>
        <v>0</v>
      </c>
      <c r="U20" s="97" t="s">
        <v>120</v>
      </c>
      <c r="V20" s="76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</row>
    <row r="21" spans="1:52" x14ac:dyDescent="0.25">
      <c r="A21" s="30" t="s">
        <v>17</v>
      </c>
      <c r="B21" s="30" t="s">
        <v>24</v>
      </c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31"/>
      <c r="P21" s="31">
        <f>IF(OR(A21&lt;&gt;"",B21&lt;&gt;""),(SUM(C21:N21)+O21)/12,"")</f>
        <v>0</v>
      </c>
      <c r="Q21" s="31">
        <f>IF(OR(A21&lt;&gt;"",B21&lt;&gt;""),SUM(C21:N21)+O21,"")</f>
        <v>0</v>
      </c>
      <c r="R21" s="33"/>
      <c r="S21" s="31">
        <f>IF(OR(A21&lt;&gt;"",B21&lt;&gt;""),IF(R21="Sim",Q21/2,Q21),"")</f>
        <v>0</v>
      </c>
      <c r="T21" s="31">
        <f>IF(OR(A21&lt;&gt;"",B21&lt;&gt;""),IF(R21="Sim",P21/2,P21),"")</f>
        <v>0</v>
      </c>
      <c r="U21" s="97" t="s">
        <v>120</v>
      </c>
      <c r="V21" s="76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</row>
    <row r="22" spans="1:52" x14ac:dyDescent="0.25">
      <c r="A22" s="30" t="s">
        <v>17</v>
      </c>
      <c r="B22" s="30" t="s">
        <v>25</v>
      </c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31"/>
      <c r="P22" s="31">
        <f>IF(OR(A22&lt;&gt;"",B22&lt;&gt;""),(SUM(C22:N22)+O22)/12,"")</f>
        <v>0</v>
      </c>
      <c r="Q22" s="32">
        <f>IF(OR(A22&lt;&gt;"",B22&lt;&gt;""),SUM(C22:N22)+O22,"")</f>
        <v>0</v>
      </c>
      <c r="R22" s="33"/>
      <c r="S22" s="31">
        <f>IF(OR(A22&lt;&gt;"",B22&lt;&gt;""),IF(R22="Sim",Q22/2,Q22),"")</f>
        <v>0</v>
      </c>
      <c r="T22" s="31">
        <f>IF(OR(A22&lt;&gt;"",B22&lt;&gt;""),IF(R22="Sim",P22/2,P22),"")</f>
        <v>0</v>
      </c>
      <c r="U22" s="99" t="s">
        <v>120</v>
      </c>
      <c r="V22" s="114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</row>
    <row r="23" spans="1:52" x14ac:dyDescent="0.25">
      <c r="A23" s="30" t="s">
        <v>17</v>
      </c>
      <c r="B23" s="30" t="s">
        <v>26</v>
      </c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31"/>
      <c r="P23" s="31">
        <f>IF(OR(A23&lt;&gt;"",B23&lt;&gt;""),(SUM(C23:N23)+O23)/12,"")</f>
        <v>0</v>
      </c>
      <c r="Q23" s="31">
        <f>IF(OR(A23&lt;&gt;"",B23&lt;&gt;""),SUM(C23:N23)+O23,"")</f>
        <v>0</v>
      </c>
      <c r="R23" s="33"/>
      <c r="S23" s="31">
        <f>IF(OR(A23&lt;&gt;"",B23&lt;&gt;""),IF(R23="Sim",Q23/2,Q23),"")</f>
        <v>0</v>
      </c>
      <c r="T23" s="31">
        <f>IF(OR(A23&lt;&gt;"",B23&lt;&gt;""),IF(R23="Sim",P23/2,P23),"")</f>
        <v>0</v>
      </c>
      <c r="U23" s="97" t="s">
        <v>120</v>
      </c>
      <c r="V23" s="76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</row>
    <row r="24" spans="1:52" x14ac:dyDescent="0.25">
      <c r="A24" s="34" t="s">
        <v>27</v>
      </c>
      <c r="B24" s="34" t="s">
        <v>28</v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35"/>
      <c r="P24" s="35">
        <f>IF(OR(A24&lt;&gt;"",B24&lt;&gt;""),(SUM(C24:N24)+O24)/12,"")</f>
        <v>0</v>
      </c>
      <c r="Q24" s="35">
        <f>IF(OR(A24&lt;&gt;"",B24&lt;&gt;""),SUM(C24:N24)+O24,"")</f>
        <v>0</v>
      </c>
      <c r="R24" s="36"/>
      <c r="S24" s="35">
        <f>IF(OR(A24&lt;&gt;"",B24&lt;&gt;""),IF(R24="Sim",Q24/2,Q24),"")</f>
        <v>0</v>
      </c>
      <c r="T24" s="35">
        <f>IF(OR(A24&lt;&gt;"",B24&lt;&gt;""),IF(R24="Sim",P24/2,P24),"")</f>
        <v>0</v>
      </c>
      <c r="U24" s="100" t="s">
        <v>120</v>
      </c>
      <c r="V24" s="77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</row>
    <row r="25" spans="1:52" x14ac:dyDescent="0.25">
      <c r="A25" s="34" t="s">
        <v>27</v>
      </c>
      <c r="B25" s="34" t="s">
        <v>29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35"/>
      <c r="P25" s="35">
        <f>IF(OR(A25&lt;&gt;"",B25&lt;&gt;""),(SUM(C25:N25)+O25)/12,"")</f>
        <v>0</v>
      </c>
      <c r="Q25" s="35">
        <f>IF(OR(A25&lt;&gt;"",B25&lt;&gt;""),SUM(C25:N25)+O25,"")</f>
        <v>0</v>
      </c>
      <c r="R25" s="36"/>
      <c r="S25" s="35">
        <f>IF(OR(A25&lt;&gt;"",B25&lt;&gt;""),IF(R25="Sim",Q25/2,Q25),"")</f>
        <v>0</v>
      </c>
      <c r="T25" s="35">
        <f>IF(OR(A25&lt;&gt;"",B25&lt;&gt;""),IF(R25="Sim",P25/2,P25),"")</f>
        <v>0</v>
      </c>
      <c r="U25" s="100" t="s">
        <v>120</v>
      </c>
      <c r="V25" s="77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</row>
    <row r="26" spans="1:52" x14ac:dyDescent="0.25">
      <c r="A26" s="34" t="s">
        <v>27</v>
      </c>
      <c r="B26" s="34" t="s">
        <v>30</v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35"/>
      <c r="P26" s="35">
        <f>IF(OR(A26&lt;&gt;"",B26&lt;&gt;""),(SUM(C26:N26)+O26)/12,"")</f>
        <v>0</v>
      </c>
      <c r="Q26" s="37">
        <f>IF(OR(A26&lt;&gt;"",B26&lt;&gt;""),SUM(C26:N26)+O26,"")</f>
        <v>0</v>
      </c>
      <c r="R26" s="36"/>
      <c r="S26" s="35">
        <f>IF(OR(A26&lt;&gt;"",B26&lt;&gt;""),IF(R26="Sim",Q26/2,Q26),"")</f>
        <v>0</v>
      </c>
      <c r="T26" s="35">
        <f>IF(OR(A26&lt;&gt;"",B26&lt;&gt;""),IF(R26="Sim",P26/2,P26),"")</f>
        <v>0</v>
      </c>
      <c r="U26" s="100" t="s">
        <v>120</v>
      </c>
      <c r="V26" s="101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</row>
    <row r="27" spans="1:52" x14ac:dyDescent="0.25">
      <c r="A27" s="34" t="s">
        <v>27</v>
      </c>
      <c r="B27" s="34" t="s">
        <v>31</v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35"/>
      <c r="P27" s="35">
        <f>IF(OR(A27&lt;&gt;"",B27&lt;&gt;""),(SUM(C27:N27)+O27)/12,"")</f>
        <v>0</v>
      </c>
      <c r="Q27" s="37">
        <f>IF(OR(A27&lt;&gt;"",B27&lt;&gt;""),SUM(C27:N27)+O27,"")</f>
        <v>0</v>
      </c>
      <c r="R27" s="36"/>
      <c r="S27" s="35">
        <f>IF(OR(A27&lt;&gt;"",B27&lt;&gt;""),IF(R27="Sim",Q27/2,Q27),"")</f>
        <v>0</v>
      </c>
      <c r="T27" s="35">
        <f>IF(OR(A27&lt;&gt;"",B27&lt;&gt;""),IF(R27="Sim",P27/2,P27),"")</f>
        <v>0</v>
      </c>
      <c r="U27" s="100" t="s">
        <v>120</v>
      </c>
      <c r="V27" s="101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</row>
    <row r="28" spans="1:52" x14ac:dyDescent="0.25">
      <c r="A28" s="34" t="s">
        <v>27</v>
      </c>
      <c r="B28" s="34" t="s">
        <v>32</v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35"/>
      <c r="P28" s="35">
        <f>IF(OR(A28&lt;&gt;"",B28&lt;&gt;""),(SUM(C28:N28)+O28)/12,"")</f>
        <v>0</v>
      </c>
      <c r="Q28" s="35">
        <f>IF(OR(A28&lt;&gt;"",B28&lt;&gt;""),SUM(C28:N28)+O28,"")</f>
        <v>0</v>
      </c>
      <c r="R28" s="36"/>
      <c r="S28" s="35">
        <f>IF(OR(A28&lt;&gt;"",B28&lt;&gt;""),IF(R28="Sim",Q28/2,Q28),"")</f>
        <v>0</v>
      </c>
      <c r="T28" s="35">
        <f>IF(OR(A28&lt;&gt;"",B28&lt;&gt;""),IF(R28="Sim",P28/2,P28),"")</f>
        <v>0</v>
      </c>
      <c r="U28" s="100" t="s">
        <v>120</v>
      </c>
      <c r="V28" s="77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</row>
    <row r="29" spans="1:52" x14ac:dyDescent="0.25">
      <c r="A29" s="34" t="s">
        <v>27</v>
      </c>
      <c r="B29" s="34" t="s">
        <v>33</v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35"/>
      <c r="P29" s="35">
        <f>IF(OR(A29&lt;&gt;"",B29&lt;&gt;""),(SUM(C29:N29)+O29)/12,"")</f>
        <v>0</v>
      </c>
      <c r="Q29" s="37">
        <f>IF(OR(A29&lt;&gt;"",B29&lt;&gt;""),SUM(C29:N29)+O29,"")</f>
        <v>0</v>
      </c>
      <c r="R29" s="36"/>
      <c r="S29" s="35">
        <f>IF(OR(A29&lt;&gt;"",B29&lt;&gt;""),IF(R29="Sim",Q29/2,Q29),"")</f>
        <v>0</v>
      </c>
      <c r="T29" s="35">
        <f>IF(OR(A29&lt;&gt;"",B29&lt;&gt;""),IF(R29="Sim",P29/2,P29),"")</f>
        <v>0</v>
      </c>
      <c r="U29" s="100" t="s">
        <v>120</v>
      </c>
      <c r="V29" s="101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</row>
    <row r="30" spans="1:52" x14ac:dyDescent="0.25">
      <c r="A30" s="34" t="s">
        <v>27</v>
      </c>
      <c r="B30" s="34" t="s">
        <v>34</v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35"/>
      <c r="P30" s="35">
        <f>IF(OR(A30&lt;&gt;"",B30&lt;&gt;""),(SUM(C30:N30)+O30)/12,"")</f>
        <v>0</v>
      </c>
      <c r="Q30" s="35">
        <f>IF(OR(A30&lt;&gt;"",B30&lt;&gt;""),SUM(C30:N30)+O30,"")</f>
        <v>0</v>
      </c>
      <c r="R30" s="36"/>
      <c r="S30" s="35">
        <f>IF(OR(A30&lt;&gt;"",B30&lt;&gt;""),IF(R30="Sim",Q30/2,Q30),"")</f>
        <v>0</v>
      </c>
      <c r="T30" s="35">
        <f>IF(OR(A30&lt;&gt;"",B30&lt;&gt;""),IF(R30="Sim",P30/2,P30),"")</f>
        <v>0</v>
      </c>
      <c r="U30" s="100" t="s">
        <v>120</v>
      </c>
      <c r="V30" s="77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</row>
    <row r="31" spans="1:52" x14ac:dyDescent="0.25">
      <c r="A31" s="34" t="s">
        <v>27</v>
      </c>
      <c r="B31" s="34" t="s">
        <v>35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35"/>
      <c r="P31" s="35">
        <f>IF(OR(A31&lt;&gt;"",B31&lt;&gt;""),(SUM(C31:N31)+O31)/12,"")</f>
        <v>0</v>
      </c>
      <c r="Q31" s="35">
        <f>IF(OR(A31&lt;&gt;"",B31&lt;&gt;""),SUM(C31:N31)+O31,"")</f>
        <v>0</v>
      </c>
      <c r="R31" s="36"/>
      <c r="S31" s="35">
        <f>IF(OR(A31&lt;&gt;"",B31&lt;&gt;""),IF(R31="Sim",Q31/2,Q31),"")</f>
        <v>0</v>
      </c>
      <c r="T31" s="35">
        <f>IF(OR(A31&lt;&gt;"",B31&lt;&gt;""),IF(R31="Sim",P31/2,P31),"")</f>
        <v>0</v>
      </c>
      <c r="U31" s="100" t="s">
        <v>120</v>
      </c>
      <c r="V31" s="77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</row>
    <row r="32" spans="1:52" x14ac:dyDescent="0.25">
      <c r="A32" s="34" t="s">
        <v>27</v>
      </c>
      <c r="B32" s="34" t="s">
        <v>36</v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35"/>
      <c r="P32" s="35">
        <f>IF(OR(A32&lt;&gt;"",B32&lt;&gt;""),(SUM(C32:N32)+O32)/12,"")</f>
        <v>0</v>
      </c>
      <c r="Q32" s="37">
        <f>IF(OR(A32&lt;&gt;"",B32&lt;&gt;""),SUM(C32:N32)+O32,"")</f>
        <v>0</v>
      </c>
      <c r="R32" s="36"/>
      <c r="S32" s="35">
        <f>IF(OR(A32&lt;&gt;"",B32&lt;&gt;""),IF(R32="Sim",Q32/2,Q32),"")</f>
        <v>0</v>
      </c>
      <c r="T32" s="35">
        <f>IF(OR(A32&lt;&gt;"",B32&lt;&gt;""),IF(R32="Sim",P32/2,P32),"")</f>
        <v>0</v>
      </c>
      <c r="U32" s="100" t="s">
        <v>120</v>
      </c>
      <c r="V32" s="101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</row>
    <row r="33" spans="1:52" x14ac:dyDescent="0.25">
      <c r="A33" s="38" t="s">
        <v>37</v>
      </c>
      <c r="B33" s="38" t="s">
        <v>38</v>
      </c>
      <c r="C33" s="161"/>
      <c r="D33" s="161"/>
      <c r="E33" s="161"/>
      <c r="F33" s="161"/>
      <c r="G33" s="161"/>
      <c r="H33" s="161"/>
      <c r="I33" s="161"/>
      <c r="J33" s="161"/>
      <c r="K33" s="161"/>
      <c r="L33" s="161"/>
      <c r="M33" s="161"/>
      <c r="N33" s="161"/>
      <c r="O33" s="39"/>
      <c r="P33" s="39">
        <f>IF(OR(A33&lt;&gt;"",B33&lt;&gt;""),(SUM(C33:N33)+O33)/12,"")</f>
        <v>0</v>
      </c>
      <c r="Q33" s="39">
        <f>IF(OR(A33&lt;&gt;"",B33&lt;&gt;""),SUM(C33:N33)+O33,"")</f>
        <v>0</v>
      </c>
      <c r="R33" s="40"/>
      <c r="S33" s="39">
        <f>IF(OR(A33&lt;&gt;"",B33&lt;&gt;""),IF(R33="Sim",Q33/2,Q33),"")</f>
        <v>0</v>
      </c>
      <c r="T33" s="39">
        <f>IF(OR(A33&lt;&gt;"",B33&lt;&gt;""),IF(R33="Sim",P33/2,P33),"")</f>
        <v>0</v>
      </c>
      <c r="U33" s="102" t="s">
        <v>120</v>
      </c>
      <c r="V33" s="78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</row>
    <row r="34" spans="1:52" x14ac:dyDescent="0.25">
      <c r="A34" s="38" t="s">
        <v>37</v>
      </c>
      <c r="B34" s="38" t="s">
        <v>39</v>
      </c>
      <c r="C34" s="161"/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39"/>
      <c r="P34" s="39">
        <f>IF(OR(A34&lt;&gt;"",B34&lt;&gt;""),(SUM(C34:N34)+O34)/12,"")</f>
        <v>0</v>
      </c>
      <c r="Q34" s="39">
        <f>IF(OR(A34&lt;&gt;"",B34&lt;&gt;""),SUM(C34:N34)+O34,"")</f>
        <v>0</v>
      </c>
      <c r="R34" s="40"/>
      <c r="S34" s="39">
        <f>IF(OR(A34&lt;&gt;"",B34&lt;&gt;""),IF(R34="Sim",Q34/2,Q34),"")</f>
        <v>0</v>
      </c>
      <c r="T34" s="39">
        <f>IF(OR(A34&lt;&gt;"",B34&lt;&gt;""),IF(R34="Sim",P34/2,P34),"")</f>
        <v>0</v>
      </c>
      <c r="U34" s="102" t="s">
        <v>120</v>
      </c>
      <c r="V34" s="78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</row>
    <row r="35" spans="1:52" x14ac:dyDescent="0.25">
      <c r="A35" s="38" t="s">
        <v>37</v>
      </c>
      <c r="B35" s="38" t="s">
        <v>40</v>
      </c>
      <c r="C35" s="161"/>
      <c r="D35" s="161"/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39"/>
      <c r="P35" s="39">
        <f>IF(OR(A35&lt;&gt;"",B35&lt;&gt;""),(SUM(C35:N35)+O35)/12,"")</f>
        <v>0</v>
      </c>
      <c r="Q35" s="39">
        <f>IF(OR(A35&lt;&gt;"",B35&lt;&gt;""),SUM(C35:N35)+O35,"")</f>
        <v>0</v>
      </c>
      <c r="R35" s="40"/>
      <c r="S35" s="39">
        <f>IF(OR(A35&lt;&gt;"",B35&lt;&gt;""),IF(R35="Sim",Q35/2,Q35),"")</f>
        <v>0</v>
      </c>
      <c r="T35" s="39">
        <f>IF(OR(A35&lt;&gt;"",B35&lt;&gt;""),IF(R35="Sim",P35/2,P35),"")</f>
        <v>0</v>
      </c>
      <c r="U35" s="102" t="s">
        <v>120</v>
      </c>
      <c r="V35" s="78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</row>
    <row r="36" spans="1:52" x14ac:dyDescent="0.25">
      <c r="A36" s="38" t="s">
        <v>37</v>
      </c>
      <c r="B36" s="38" t="s">
        <v>41</v>
      </c>
      <c r="C36" s="161"/>
      <c r="D36" s="161"/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39"/>
      <c r="P36" s="39">
        <f>IF(OR(A36&lt;&gt;"",B36&lt;&gt;""),(SUM(C36:N36)+O36)/12,"")</f>
        <v>0</v>
      </c>
      <c r="Q36" s="41">
        <f>IF(OR(A36&lt;&gt;"",B36&lt;&gt;""),SUM(C36:N36)+O36,"")</f>
        <v>0</v>
      </c>
      <c r="R36" s="40"/>
      <c r="S36" s="39">
        <f>IF(OR(A36&lt;&gt;"",B36&lt;&gt;""),IF(R36="Sim",Q36/2,Q36),"")</f>
        <v>0</v>
      </c>
      <c r="T36" s="39">
        <f>IF(OR(A36&lt;&gt;"",B36&lt;&gt;""),IF(R36="Sim",P36/2,P36),"")</f>
        <v>0</v>
      </c>
      <c r="U36" s="102" t="s">
        <v>120</v>
      </c>
      <c r="V36" s="103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</row>
    <row r="37" spans="1:52" x14ac:dyDescent="0.25">
      <c r="A37" s="42" t="s">
        <v>42</v>
      </c>
      <c r="B37" s="42" t="s">
        <v>43</v>
      </c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43"/>
      <c r="P37" s="43">
        <f>IF(OR(A37&lt;&gt;"",B37&lt;&gt;""),(SUM(C37:N37)+O37)/12,"")</f>
        <v>0</v>
      </c>
      <c r="Q37" s="44">
        <f>IF(OR(A37&lt;&gt;"",B37&lt;&gt;""),SUM(C37:N37)+O37,"")</f>
        <v>0</v>
      </c>
      <c r="R37" s="45"/>
      <c r="S37" s="43">
        <f>IF(OR(A37&lt;&gt;"",B37&lt;&gt;""),IF(R37="Sim",Q37/2,Q37),"")</f>
        <v>0</v>
      </c>
      <c r="T37" s="43">
        <f>IF(OR(A37&lt;&gt;"",B37&lt;&gt;""),IF(R37="Sim",P37/2,P37),"")</f>
        <v>0</v>
      </c>
      <c r="U37" s="104" t="s">
        <v>120</v>
      </c>
      <c r="V37" s="105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</row>
    <row r="38" spans="1:52" x14ac:dyDescent="0.25">
      <c r="A38" s="42" t="s">
        <v>42</v>
      </c>
      <c r="B38" s="42" t="s">
        <v>44</v>
      </c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43"/>
      <c r="P38" s="43">
        <f>IF(OR(A38&lt;&gt;"",B38&lt;&gt;""),(SUM(C38:N38)+O38)/12,"")</f>
        <v>0</v>
      </c>
      <c r="Q38" s="43">
        <f>IF(OR(A38&lt;&gt;"",B38&lt;&gt;""),SUM(C38:N38)+O38,"")</f>
        <v>0</v>
      </c>
      <c r="R38" s="45"/>
      <c r="S38" s="43">
        <f>IF(OR(A38&lt;&gt;"",B38&lt;&gt;""),IF(R38="Sim",Q38/2,Q38),"")</f>
        <v>0</v>
      </c>
      <c r="T38" s="43">
        <f>IF(OR(A38&lt;&gt;"",B38&lt;&gt;""),IF(R38="Sim",P38/2,P38),"")</f>
        <v>0</v>
      </c>
      <c r="U38" s="104" t="s">
        <v>120</v>
      </c>
      <c r="V38" s="79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</row>
    <row r="39" spans="1:52" x14ac:dyDescent="0.25">
      <c r="A39" s="42" t="s">
        <v>42</v>
      </c>
      <c r="B39" s="42" t="s">
        <v>45</v>
      </c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43"/>
      <c r="P39" s="43">
        <f>IF(OR(A39&lt;&gt;"",B39&lt;&gt;""),(SUM(C39:N39)+O39)/12,"")</f>
        <v>0</v>
      </c>
      <c r="Q39" s="43">
        <f>IF(OR(A39&lt;&gt;"",B39&lt;&gt;""),SUM(C39:N39)+O39,"")</f>
        <v>0</v>
      </c>
      <c r="R39" s="45"/>
      <c r="S39" s="43">
        <f>IF(OR(A39&lt;&gt;"",B39&lt;&gt;""),IF(R39="Sim",Q39/2,Q39),"")</f>
        <v>0</v>
      </c>
      <c r="T39" s="43">
        <f>IF(OR(A39&lt;&gt;"",B39&lt;&gt;""),IF(R39="Sim",P39/2,P39),"")</f>
        <v>0</v>
      </c>
      <c r="U39" s="104" t="s">
        <v>120</v>
      </c>
      <c r="V39" s="79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</row>
    <row r="40" spans="1:52" x14ac:dyDescent="0.25">
      <c r="A40" s="42" t="s">
        <v>42</v>
      </c>
      <c r="B40" s="42" t="s">
        <v>46</v>
      </c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43"/>
      <c r="P40" s="43">
        <f>IF(OR(A40&lt;&gt;"",B40&lt;&gt;""),(SUM(C40:N40)+O40)/12,"")</f>
        <v>0</v>
      </c>
      <c r="Q40" s="43">
        <f>IF(OR(A40&lt;&gt;"",B40&lt;&gt;""),SUM(C40:N40)+O40,"")</f>
        <v>0</v>
      </c>
      <c r="R40" s="45"/>
      <c r="S40" s="43">
        <f>IF(OR(A40&lt;&gt;"",B40&lt;&gt;""),IF(R40="Sim",Q40/2,Q40),"")</f>
        <v>0</v>
      </c>
      <c r="T40" s="43">
        <f>IF(OR(A40&lt;&gt;"",B40&lt;&gt;""),IF(R40="Sim",P40/2,P40),"")</f>
        <v>0</v>
      </c>
      <c r="U40" s="104" t="s">
        <v>120</v>
      </c>
      <c r="V40" s="79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</row>
    <row r="41" spans="1:52" x14ac:dyDescent="0.25">
      <c r="A41" s="42" t="s">
        <v>42</v>
      </c>
      <c r="B41" s="42" t="s">
        <v>47</v>
      </c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43"/>
      <c r="P41" s="43">
        <f>IF(OR(A41&lt;&gt;"",B41&lt;&gt;""),(SUM(C41:N41)+O41)/12,"")</f>
        <v>0</v>
      </c>
      <c r="Q41" s="44">
        <f>IF(OR(A41&lt;&gt;"",B41&lt;&gt;""),SUM(C41:N41)+O41,"")</f>
        <v>0</v>
      </c>
      <c r="R41" s="45"/>
      <c r="S41" s="43">
        <f>IF(OR(A41&lt;&gt;"",B41&lt;&gt;""),IF(R41="Sim",Q41/2,Q41),"")</f>
        <v>0</v>
      </c>
      <c r="T41" s="43">
        <f>IF(OR(A41&lt;&gt;"",B41&lt;&gt;""),IF(R41="Sim",P41/2,P41),"")</f>
        <v>0</v>
      </c>
      <c r="U41" s="104" t="s">
        <v>120</v>
      </c>
      <c r="V41" s="105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</row>
    <row r="42" spans="1:52" x14ac:dyDescent="0.25">
      <c r="A42" s="46" t="s">
        <v>48</v>
      </c>
      <c r="B42" s="46" t="s">
        <v>49</v>
      </c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47"/>
      <c r="P42" s="47">
        <f>IF(OR(A42&lt;&gt;"",B42&lt;&gt;""),(SUM(C42:N42)+O42)/12,"")</f>
        <v>0</v>
      </c>
      <c r="Q42" s="48">
        <f>IF(OR(A42&lt;&gt;"",B42&lt;&gt;""),SUM(C42:N42)+O42,"")</f>
        <v>0</v>
      </c>
      <c r="R42" s="49"/>
      <c r="S42" s="47">
        <f>IF(OR(A42&lt;&gt;"",B42&lt;&gt;""),IF(R42="Sim",Q42/2,Q42),"")</f>
        <v>0</v>
      </c>
      <c r="T42" s="47">
        <f>IF(OR(A42&lt;&gt;"",B42&lt;&gt;""),IF(R42="Sim",P42/2,P42),"")</f>
        <v>0</v>
      </c>
      <c r="U42" s="106" t="s">
        <v>120</v>
      </c>
      <c r="V42" s="107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</row>
    <row r="43" spans="1:52" x14ac:dyDescent="0.25">
      <c r="A43" s="46" t="s">
        <v>48</v>
      </c>
      <c r="B43" s="46" t="s">
        <v>50</v>
      </c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47"/>
      <c r="P43" s="47">
        <f>IF(OR(A43&lt;&gt;"",B43&lt;&gt;""),(SUM(C43:N43)+O43)/12,"")</f>
        <v>0</v>
      </c>
      <c r="Q43" s="47">
        <f>IF(OR(A43&lt;&gt;"",B43&lt;&gt;""),SUM(C43:N43)+O43,"")</f>
        <v>0</v>
      </c>
      <c r="R43" s="49"/>
      <c r="S43" s="47">
        <f>IF(OR(A43&lt;&gt;"",B43&lt;&gt;""),IF(R43="Sim",Q43/2,Q43),"")</f>
        <v>0</v>
      </c>
      <c r="T43" s="47">
        <f>IF(OR(A43&lt;&gt;"",B43&lt;&gt;""),IF(R43="Sim",P43/2,P43),"")</f>
        <v>0</v>
      </c>
      <c r="U43" s="106" t="s">
        <v>120</v>
      </c>
      <c r="V43" s="80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</row>
    <row r="44" spans="1:52" x14ac:dyDescent="0.25">
      <c r="A44" s="46" t="s">
        <v>48</v>
      </c>
      <c r="B44" s="46" t="s">
        <v>51</v>
      </c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47"/>
      <c r="P44" s="47">
        <f>IF(OR(A44&lt;&gt;"",B44&lt;&gt;""),(SUM(C44:N44)+O44)/12,"")</f>
        <v>0</v>
      </c>
      <c r="Q44" s="47">
        <f>IF(OR(A44&lt;&gt;"",B44&lt;&gt;""),SUM(C44:N44)+O44,"")</f>
        <v>0</v>
      </c>
      <c r="R44" s="49"/>
      <c r="S44" s="47">
        <f>IF(OR(A44&lt;&gt;"",B44&lt;&gt;""),IF(R44="Sim",Q44/2,Q44),"")</f>
        <v>0</v>
      </c>
      <c r="T44" s="47">
        <f>IF(OR(A44&lt;&gt;"",B44&lt;&gt;""),IF(R44="Sim",P44/2,P44),"")</f>
        <v>0</v>
      </c>
      <c r="U44" s="106" t="s">
        <v>120</v>
      </c>
      <c r="V44" s="80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</row>
    <row r="45" spans="1:52" x14ac:dyDescent="0.25">
      <c r="A45" s="46" t="s">
        <v>48</v>
      </c>
      <c r="B45" s="46" t="s">
        <v>52</v>
      </c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47"/>
      <c r="P45" s="47">
        <f>IF(OR(A45&lt;&gt;"",B45&lt;&gt;""),(SUM(C45:N45)+O45)/12,"")</f>
        <v>0</v>
      </c>
      <c r="Q45" s="47">
        <f>IF(OR(A45&lt;&gt;"",B45&lt;&gt;""),SUM(C45:N45)+O45,"")</f>
        <v>0</v>
      </c>
      <c r="R45" s="49"/>
      <c r="S45" s="47">
        <f>IF(OR(A45&lt;&gt;"",B45&lt;&gt;""),IF(R45="Sim",Q45/2,Q45),"")</f>
        <v>0</v>
      </c>
      <c r="T45" s="47">
        <f>IF(OR(A45&lt;&gt;"",B45&lt;&gt;""),IF(R45="Sim",P45/2,P45),"")</f>
        <v>0</v>
      </c>
      <c r="U45" s="106" t="s">
        <v>120</v>
      </c>
      <c r="V45" s="80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52" x14ac:dyDescent="0.25">
      <c r="A46" s="50" t="s">
        <v>53</v>
      </c>
      <c r="B46" s="50" t="s">
        <v>54</v>
      </c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51"/>
      <c r="P46" s="51">
        <f>IF(OR(A46&lt;&gt;"",B46&lt;&gt;""),(SUM(C46:N46)+O46)/12,"")</f>
        <v>0</v>
      </c>
      <c r="Q46" s="51">
        <f>IF(OR(A46&lt;&gt;"",B46&lt;&gt;""),SUM(C46:N46)+O46,"")</f>
        <v>0</v>
      </c>
      <c r="R46" s="52"/>
      <c r="S46" s="51">
        <f>IF(OR(A46&lt;&gt;"",B46&lt;&gt;""),IF(R46="Sim",Q46/2,Q46),"")</f>
        <v>0</v>
      </c>
      <c r="T46" s="51">
        <f>IF(OR(A46&lt;&gt;"",B46&lt;&gt;""),IF(R46="Sim",P46/2,P46),"")</f>
        <v>0</v>
      </c>
      <c r="U46" s="108" t="s">
        <v>120</v>
      </c>
      <c r="V46" s="81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52" x14ac:dyDescent="0.25">
      <c r="A47" s="50" t="s">
        <v>53</v>
      </c>
      <c r="B47" s="50" t="s">
        <v>55</v>
      </c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51"/>
      <c r="P47" s="51">
        <f>IF(OR(A47&lt;&gt;"",B47&lt;&gt;""),(SUM(C47:N47)+O47)/12,"")</f>
        <v>0</v>
      </c>
      <c r="Q47" s="51">
        <f>IF(OR(A47&lt;&gt;"",B47&lt;&gt;""),SUM(C47:N47)+O47,"")</f>
        <v>0</v>
      </c>
      <c r="R47" s="52"/>
      <c r="S47" s="51">
        <f>IF(OR(A47&lt;&gt;"",B47&lt;&gt;""),IF(R47="Sim",Q47/2,Q47),"")</f>
        <v>0</v>
      </c>
      <c r="T47" s="51">
        <f>IF(OR(A47&lt;&gt;"",B47&lt;&gt;""),IF(R47="Sim",P47/2,P47),"")</f>
        <v>0</v>
      </c>
      <c r="U47" s="108" t="s">
        <v>120</v>
      </c>
      <c r="V47" s="81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52" x14ac:dyDescent="0.25">
      <c r="A48" s="50" t="s">
        <v>53</v>
      </c>
      <c r="B48" s="50" t="s">
        <v>56</v>
      </c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51"/>
      <c r="P48" s="51">
        <f>IF(OR(A48&lt;&gt;"",B48&lt;&gt;""),(SUM(C48:N48)+O48)/12,"")</f>
        <v>0</v>
      </c>
      <c r="Q48" s="51">
        <f>IF(OR(A48&lt;&gt;"",B48&lt;&gt;""),SUM(C48:N48)+O48,"")</f>
        <v>0</v>
      </c>
      <c r="R48" s="52"/>
      <c r="S48" s="51">
        <f>IF(OR(A48&lt;&gt;"",B48&lt;&gt;""),IF(R48="Sim",Q48/2,Q48),"")</f>
        <v>0</v>
      </c>
      <c r="T48" s="51">
        <f>IF(OR(A48&lt;&gt;"",B48&lt;&gt;""),IF(R48="Sim",P48/2,P48),"")</f>
        <v>0</v>
      </c>
      <c r="U48" s="108" t="s">
        <v>120</v>
      </c>
      <c r="V48" s="81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1:52" x14ac:dyDescent="0.25">
      <c r="A49" s="50" t="s">
        <v>53</v>
      </c>
      <c r="B49" s="50" t="s">
        <v>57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51"/>
      <c r="P49" s="51">
        <f>IF(OR(A49&lt;&gt;"",B49&lt;&gt;""),(SUM(C49:N49)+O49)/12,"")</f>
        <v>0</v>
      </c>
      <c r="Q49" s="53">
        <f>IF(OR(A49&lt;&gt;"",B49&lt;&gt;""),SUM(C49:N49)+O49,"")</f>
        <v>0</v>
      </c>
      <c r="R49" s="52"/>
      <c r="S49" s="51">
        <f>IF(OR(A49&lt;&gt;"",B49&lt;&gt;""),IF(R49="Sim",Q49/2,Q49),"")</f>
        <v>0</v>
      </c>
      <c r="T49" s="51">
        <f>IF(OR(A49&lt;&gt;"",B49&lt;&gt;""),IF(R49="Sim",P49/2,P49),"")</f>
        <v>0</v>
      </c>
      <c r="U49" s="108" t="s">
        <v>120</v>
      </c>
      <c r="V49" s="109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1:52" ht="15.75" x14ac:dyDescent="0.25">
      <c r="A50" s="54" t="s">
        <v>58</v>
      </c>
      <c r="B50" s="54" t="s">
        <v>59</v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55"/>
      <c r="P50" s="55">
        <f>IF(OR(A50&lt;&gt;"",B50&lt;&gt;""),(SUM(C50:N50)+O50)/12,"")</f>
        <v>0</v>
      </c>
      <c r="Q50" s="56">
        <f>IF(OR(A50&lt;&gt;"",B50&lt;&gt;""),SUM(C50:N50)+O50,"")</f>
        <v>0</v>
      </c>
      <c r="R50" s="57"/>
      <c r="S50" s="55">
        <f>IF(OR(A50&lt;&gt;"",B50&lt;&gt;""),IF(R50="Sim",Q50/2,Q50),"")</f>
        <v>0</v>
      </c>
      <c r="T50" s="55">
        <f>IF(OR(A50&lt;&gt;"",B50&lt;&gt;""),IF(R50="Sim",P50/2,P50),"")</f>
        <v>0</v>
      </c>
      <c r="U50" s="155" t="s">
        <v>120</v>
      </c>
      <c r="V50" s="155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</row>
    <row r="51" spans="1:52" x14ac:dyDescent="0.25">
      <c r="A51" s="54" t="s">
        <v>58</v>
      </c>
      <c r="B51" s="54" t="s">
        <v>60</v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55"/>
      <c r="P51" s="55">
        <f>IF(OR(A51&lt;&gt;"",B51&lt;&gt;""),(SUM(C51:N51)+O51)/12,"")</f>
        <v>0</v>
      </c>
      <c r="Q51" s="55">
        <f>IF(OR(A51&lt;&gt;"",B51&lt;&gt;""),SUM(C51:N51)+O51,"")</f>
        <v>0</v>
      </c>
      <c r="R51" s="57"/>
      <c r="S51" s="55">
        <f>IF(OR(A51&lt;&gt;"",B51&lt;&gt;""),IF(R51="Sim",Q51/2,Q51),"")</f>
        <v>0</v>
      </c>
      <c r="T51" s="55">
        <f>IF(OR(A51&lt;&gt;"",B51&lt;&gt;""),IF(R51="Sim",P51/2,P51),"")</f>
        <v>0</v>
      </c>
      <c r="U51" s="110" t="s">
        <v>120</v>
      </c>
      <c r="V51" s="8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</row>
    <row r="52" spans="1:52" x14ac:dyDescent="0.25">
      <c r="A52" s="54" t="s">
        <v>58</v>
      </c>
      <c r="B52" s="54" t="s">
        <v>61</v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55"/>
      <c r="P52" s="55">
        <f>IF(OR(A52&lt;&gt;"",B52&lt;&gt;""),(SUM(C52:N52)+O52)/12,"")</f>
        <v>0</v>
      </c>
      <c r="Q52" s="55">
        <f>IF(OR(A52&lt;&gt;"",B52&lt;&gt;""),SUM(C52:N52)+O52,"")</f>
        <v>0</v>
      </c>
      <c r="R52" s="57"/>
      <c r="S52" s="55">
        <f>IF(OR(A52&lt;&gt;"",B52&lt;&gt;""),IF(R52="Sim",Q52/2,Q52),"")</f>
        <v>0</v>
      </c>
      <c r="T52" s="55">
        <f>IF(OR(A52&lt;&gt;"",B52&lt;&gt;""),IF(R52="Sim",P52/2,P52),"")</f>
        <v>0</v>
      </c>
      <c r="U52" s="110" t="s">
        <v>120</v>
      </c>
      <c r="V52" s="8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1:52" ht="15.75" x14ac:dyDescent="0.25">
      <c r="A53" s="54" t="s">
        <v>58</v>
      </c>
      <c r="B53" s="54" t="s">
        <v>62</v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55"/>
      <c r="P53" s="55">
        <f>IF(OR(A53&lt;&gt;"",B53&lt;&gt;""),(SUM(C53:N53)+O53)/12,"")</f>
        <v>0</v>
      </c>
      <c r="Q53" s="56">
        <f>IF(OR(A53&lt;&gt;"",B53&lt;&gt;""),SUM(C53:N53)+O53,"")</f>
        <v>0</v>
      </c>
      <c r="R53" s="57" t="s">
        <v>6</v>
      </c>
      <c r="S53" s="55">
        <f>IF(OR(A53&lt;&gt;"",B53&lt;&gt;""),IF(R53="Sim",Q53/2,Q53),"")</f>
        <v>0</v>
      </c>
      <c r="T53" s="55">
        <f>IF(OR(A53&lt;&gt;"",B53&lt;&gt;""),IF(R53="Sim",P53/2,P53),"")</f>
        <v>0</v>
      </c>
      <c r="U53" s="155" t="s">
        <v>120</v>
      </c>
      <c r="V53" s="155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1:52" x14ac:dyDescent="0.25">
      <c r="A54" s="58" t="s">
        <v>63</v>
      </c>
      <c r="B54" s="58" t="s">
        <v>64</v>
      </c>
      <c r="C54" s="166"/>
      <c r="D54" s="166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59"/>
      <c r="P54" s="59">
        <f>IF(OR(A54&lt;&gt;"",B54&lt;&gt;""),(SUM(C54:N54)+O54)/12,"")</f>
        <v>0</v>
      </c>
      <c r="Q54" s="59">
        <f>IF(OR(A54&lt;&gt;"",B54&lt;&gt;""),SUM(C54:N54)+O54,"")</f>
        <v>0</v>
      </c>
      <c r="R54" s="60"/>
      <c r="S54" s="59">
        <f>IF(OR(A54&lt;&gt;"",B54&lt;&gt;""),IF(R54="Sim",Q54/2,Q54),"")</f>
        <v>0</v>
      </c>
      <c r="T54" s="59">
        <f>IF(OR(A54&lt;&gt;"",B54&lt;&gt;""),IF(R54="Sim",P54/2,P54),"")</f>
        <v>0</v>
      </c>
      <c r="U54" s="111" t="s">
        <v>120</v>
      </c>
      <c r="V54" s="83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1:52" x14ac:dyDescent="0.25">
      <c r="A55" s="58" t="s">
        <v>63</v>
      </c>
      <c r="B55" s="58" t="s">
        <v>65</v>
      </c>
      <c r="C55" s="166"/>
      <c r="D55" s="166"/>
      <c r="E55" s="166"/>
      <c r="F55" s="166"/>
      <c r="G55" s="166"/>
      <c r="H55" s="166"/>
      <c r="I55" s="166"/>
      <c r="J55" s="166"/>
      <c r="K55" s="166"/>
      <c r="L55" s="166"/>
      <c r="M55" s="166"/>
      <c r="N55" s="166"/>
      <c r="O55" s="59"/>
      <c r="P55" s="59">
        <f>IF(OR(A55&lt;&gt;"",B55&lt;&gt;""),(SUM(C55:N55)+O55)/12,"")</f>
        <v>0</v>
      </c>
      <c r="Q55" s="59">
        <f>IF(OR(A55&lt;&gt;"",B55&lt;&gt;""),SUM(C55:N55)+O55,"")</f>
        <v>0</v>
      </c>
      <c r="R55" s="60"/>
      <c r="S55" s="59">
        <f>IF(OR(A55&lt;&gt;"",B55&lt;&gt;""),IF(R55="Sim",Q55/2,Q55),"")</f>
        <v>0</v>
      </c>
      <c r="T55" s="59">
        <f>IF(OR(A55&lt;&gt;"",B55&lt;&gt;""),IF(R55="Sim",P55/2,P55),"")</f>
        <v>0</v>
      </c>
      <c r="U55" s="111" t="s">
        <v>120</v>
      </c>
      <c r="V55" s="83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1:52" x14ac:dyDescent="0.25">
      <c r="A56" s="58" t="s">
        <v>63</v>
      </c>
      <c r="B56" s="58" t="s">
        <v>66</v>
      </c>
      <c r="C56" s="166"/>
      <c r="D56" s="166"/>
      <c r="E56" s="166"/>
      <c r="F56" s="166"/>
      <c r="G56" s="166"/>
      <c r="H56" s="166"/>
      <c r="I56" s="166"/>
      <c r="J56" s="166"/>
      <c r="K56" s="166"/>
      <c r="L56" s="166"/>
      <c r="M56" s="166"/>
      <c r="N56" s="166"/>
      <c r="O56" s="59"/>
      <c r="P56" s="59">
        <f>IF(OR(A56&lt;&gt;"",B56&lt;&gt;""),(SUM(C56:N56)+O56)/12,"")</f>
        <v>0</v>
      </c>
      <c r="Q56" s="59">
        <f>IF(OR(A56&lt;&gt;"",B56&lt;&gt;""),SUM(C56:N56)+O56,"")</f>
        <v>0</v>
      </c>
      <c r="R56" s="60"/>
      <c r="S56" s="59">
        <f>IF(OR(A56&lt;&gt;"",B56&lt;&gt;""),IF(R56="Sim",Q56/2,Q56),"")</f>
        <v>0</v>
      </c>
      <c r="T56" s="59">
        <f>IF(OR(A56&lt;&gt;"",B56&lt;&gt;""),IF(R56="Sim",P56/2,P56),"")</f>
        <v>0</v>
      </c>
      <c r="U56" s="111" t="s">
        <v>120</v>
      </c>
      <c r="V56" s="83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1:52" x14ac:dyDescent="0.25">
      <c r="A57" s="58" t="s">
        <v>63</v>
      </c>
      <c r="B57" s="58" t="s">
        <v>67</v>
      </c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59"/>
      <c r="P57" s="59">
        <f>IF(OR(A57&lt;&gt;"",B57&lt;&gt;""),(SUM(C57:N57)+O57)/12,"")</f>
        <v>0</v>
      </c>
      <c r="Q57" s="61">
        <f>IF(OR(A57&lt;&gt;"",B57&lt;&gt;""),SUM(C57:N57)+O57,"")</f>
        <v>0</v>
      </c>
      <c r="R57" s="60"/>
      <c r="S57" s="59">
        <f>IF(OR(A57&lt;&gt;"",B57&lt;&gt;""),IF(R57="Sim",Q57/2,Q57),"")</f>
        <v>0</v>
      </c>
      <c r="T57" s="59">
        <f>IF(OR(A57&lt;&gt;"",B57&lt;&gt;""),IF(R57="Sim",P57/2,P57),"")</f>
        <v>0</v>
      </c>
      <c r="U57" s="111" t="s">
        <v>120</v>
      </c>
      <c r="V57" s="1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1:52" x14ac:dyDescent="0.25">
      <c r="A58" s="62"/>
      <c r="B58" s="62"/>
      <c r="C58" s="167"/>
      <c r="D58" s="167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63"/>
      <c r="P58" s="63" t="str">
        <f>IF(OR(A58&lt;&gt;"",B58&lt;&gt;""),(SUM(C58:N58)+O58)/12,"")</f>
        <v/>
      </c>
      <c r="Q58" s="63" t="str">
        <f>IF(OR(A58&lt;&gt;"",B58&lt;&gt;""),SUM(C58:N58)+O58,"")</f>
        <v/>
      </c>
      <c r="R58" s="87"/>
      <c r="S58" s="63" t="str">
        <f>IF(OR(A58&lt;&gt;"",B58&lt;&gt;""),IF(R58="Sim",Q58/2,Q58),"")</f>
        <v/>
      </c>
      <c r="T58" s="63" t="str">
        <f>IF(OR(A58&lt;&gt;"",B58&lt;&gt;""),IF(R58="Sim",P58/2,P58),"")</f>
        <v/>
      </c>
      <c r="U58" s="113"/>
      <c r="V58" s="64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1:52" x14ac:dyDescent="0.25">
      <c r="A59" s="65"/>
      <c r="B59" s="65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66"/>
      <c r="P59" s="66" t="str">
        <f>IF(OR(A59&lt;&gt;"",B59&lt;&gt;""),(SUM(C59:N59)+O59)/12,"")</f>
        <v/>
      </c>
      <c r="Q59" s="66" t="str">
        <f>IF(OR(A59&lt;&gt;"",B59&lt;&gt;""),SUM(C59:N59)+O59,"")</f>
        <v/>
      </c>
      <c r="R59" s="88"/>
      <c r="S59" s="66" t="str">
        <f>IF(OR(A59&lt;&gt;"",B59&lt;&gt;""),IF(R59="Sim",Q59/2,Q59),"")</f>
        <v/>
      </c>
      <c r="T59" s="66" t="str">
        <f>IF(OR(A59&lt;&gt;"",B59&lt;&gt;""),IF(R59="Sim",P59/2,P59),"")</f>
        <v/>
      </c>
      <c r="U59" s="113"/>
      <c r="V59" s="67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</row>
    <row r="60" spans="1:52" x14ac:dyDescent="0.25">
      <c r="A60" s="62"/>
      <c r="B60" s="62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 t="str">
        <f>IF(OR(A60&lt;&gt;"",B60&lt;&gt;""),(SUM(C60:N60)+O60)/12,"")</f>
        <v/>
      </c>
      <c r="Q60" s="63" t="str">
        <f>IF(OR(A60&lt;&gt;"",B60&lt;&gt;""),SUM(C60:N60)+O60,"")</f>
        <v/>
      </c>
      <c r="R60" s="87"/>
      <c r="S60" s="63" t="str">
        <f>IF(OR(A60&lt;&gt;"",B60&lt;&gt;""),IF(R60="Sim",Q60/2,Q60),"")</f>
        <v/>
      </c>
      <c r="T60" s="63" t="str">
        <f>IF(OR(A60&lt;&gt;"",B60&lt;&gt;""),IF(R60="Sim",P60/2,P60),"")</f>
        <v/>
      </c>
      <c r="U60" s="113"/>
      <c r="V60" s="64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1:52" x14ac:dyDescent="0.25">
      <c r="A61" s="62"/>
      <c r="B61" s="62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 t="str">
        <f>IF(OR(A61&lt;&gt;"",B61&lt;&gt;""),(SUM(C61:N61)+O61)/12,"")</f>
        <v/>
      </c>
      <c r="Q61" s="63" t="str">
        <f>IF(OR(A61&lt;&gt;"",B61&lt;&gt;""),SUM(C61:N61)+O61,"")</f>
        <v/>
      </c>
      <c r="R61" s="87"/>
      <c r="S61" s="63" t="str">
        <f>IF(OR(A61&lt;&gt;"",B61&lt;&gt;""),IF(R61="Sim",Q61/2,Q61),"")</f>
        <v/>
      </c>
      <c r="T61" s="63" t="str">
        <f>IF(OR(A61&lt;&gt;"",B61&lt;&gt;""),IF(R61="Sim",P61/2,P61),"")</f>
        <v/>
      </c>
      <c r="U61" s="113"/>
      <c r="V61" s="64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1:52" x14ac:dyDescent="0.25">
      <c r="A62" s="62"/>
      <c r="B62" s="62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 t="str">
        <f>IF(OR(A62&lt;&gt;"",B62&lt;&gt;""),(SUM(C62:N62)+O62)/12,"")</f>
        <v/>
      </c>
      <c r="Q62" s="63" t="str">
        <f>IF(OR(A62&lt;&gt;"",B62&lt;&gt;""),SUM(C62:N62)+O62,"")</f>
        <v/>
      </c>
      <c r="R62" s="87"/>
      <c r="S62" s="63" t="str">
        <f>IF(OR(A62&lt;&gt;"",B62&lt;&gt;""),IF(R62="Sim",Q62/2,Q62),"")</f>
        <v/>
      </c>
      <c r="T62" s="63" t="str">
        <f>IF(OR(A62&lt;&gt;"",B62&lt;&gt;""),IF(R62="Sim",P62/2,P62),"")</f>
        <v/>
      </c>
      <c r="U62" s="113"/>
      <c r="V62" s="64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1:52" x14ac:dyDescent="0.25">
      <c r="A63" s="62"/>
      <c r="B63" s="62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 t="str">
        <f>IF(OR(A63&lt;&gt;"",B63&lt;&gt;""),(SUM(C63:N63)+O63)/12,"")</f>
        <v/>
      </c>
      <c r="Q63" s="63" t="str">
        <f>IF(OR(A63&lt;&gt;"",B63&lt;&gt;""),SUM(C63:N63)+O63,"")</f>
        <v/>
      </c>
      <c r="R63" s="87"/>
      <c r="S63" s="63" t="str">
        <f>IF(OR(A63&lt;&gt;"",B63&lt;&gt;""),IF(R63="Sim",Q63/2,Q63),"")</f>
        <v/>
      </c>
      <c r="T63" s="63" t="str">
        <f>IF(OR(A63&lt;&gt;"",B63&lt;&gt;""),IF(R63="Sim",P63/2,P63),"")</f>
        <v/>
      </c>
      <c r="U63" s="113"/>
      <c r="V63" s="64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1:52" x14ac:dyDescent="0.25">
      <c r="A64" s="62"/>
      <c r="B64" s="62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 t="str">
        <f>IF(OR(A64&lt;&gt;"",B64&lt;&gt;""),(SUM(C64:N64)+O64)/12,"")</f>
        <v/>
      </c>
      <c r="Q64" s="63" t="str">
        <f>IF(OR(A64&lt;&gt;"",B64&lt;&gt;""),SUM(C64:N64)+O64,"")</f>
        <v/>
      </c>
      <c r="R64" s="87"/>
      <c r="S64" s="63" t="str">
        <f>IF(OR(A64&lt;&gt;"",B64&lt;&gt;""),IF(R64="Sim",Q64/2,Q64),"")</f>
        <v/>
      </c>
      <c r="T64" s="63" t="str">
        <f>IF(OR(A64&lt;&gt;"",B64&lt;&gt;""),IF(R64="Sim",P64/2,P64),"")</f>
        <v/>
      </c>
      <c r="U64" s="113"/>
      <c r="V64" s="64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1:52" x14ac:dyDescent="0.25">
      <c r="A65" s="62"/>
      <c r="B65" s="62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 t="str">
        <f>IF(OR(A65&lt;&gt;"",B65&lt;&gt;""),(SUM(C65:N65)+O65)/12,"")</f>
        <v/>
      </c>
      <c r="Q65" s="63" t="str">
        <f>IF(OR(A65&lt;&gt;"",B65&lt;&gt;""),SUM(C65:N65)+O65,"")</f>
        <v/>
      </c>
      <c r="R65" s="87"/>
      <c r="S65" s="63" t="str">
        <f>IF(OR(A65&lt;&gt;"",B65&lt;&gt;""),IF(R65="Sim",Q65/2,Q65),"")</f>
        <v/>
      </c>
      <c r="T65" s="63" t="str">
        <f>IF(OR(A65&lt;&gt;"",B65&lt;&gt;""),IF(R65="Sim",P65/2,P65),"")</f>
        <v/>
      </c>
      <c r="U65" s="113"/>
      <c r="V65" s="64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1:52" x14ac:dyDescent="0.25">
      <c r="A66" s="62"/>
      <c r="B66" s="62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 t="str">
        <f>IF(OR(A66&lt;&gt;"",B66&lt;&gt;""),(SUM(C66:N66)+O66)/12,"")</f>
        <v/>
      </c>
      <c r="Q66" s="63" t="str">
        <f>IF(OR(A66&lt;&gt;"",B66&lt;&gt;""),SUM(C66:N66)+O66,"")</f>
        <v/>
      </c>
      <c r="R66" s="87"/>
      <c r="S66" s="63" t="str">
        <f>IF(OR(A66&lt;&gt;"",B66&lt;&gt;""),IF(R66="Sim",Q66/2,Q66),"")</f>
        <v/>
      </c>
      <c r="T66" s="63" t="str">
        <f>IF(OR(A66&lt;&gt;"",B66&lt;&gt;""),IF(R66="Sim",P66/2,P66),"")</f>
        <v/>
      </c>
      <c r="U66" s="113"/>
      <c r="V66" s="64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</row>
    <row r="67" spans="1:52" x14ac:dyDescent="0.25">
      <c r="A67" s="62"/>
      <c r="B67" s="62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 t="str">
        <f>IF(OR(A67&lt;&gt;"",B67&lt;&gt;""),(SUM(C67:N67)+O67)/12,"")</f>
        <v/>
      </c>
      <c r="Q67" s="63" t="str">
        <f>IF(OR(A67&lt;&gt;"",B67&lt;&gt;""),SUM(C67:N67)+O67,"")</f>
        <v/>
      </c>
      <c r="R67" s="87"/>
      <c r="S67" s="63" t="str">
        <f>IF(OR(A67&lt;&gt;"",B67&lt;&gt;""),IF(R67="Sim",Q67/2,Q67),"")</f>
        <v/>
      </c>
      <c r="T67" s="63" t="str">
        <f>IF(OR(A67&lt;&gt;"",B67&lt;&gt;""),IF(R67="Sim",P67/2,P67),"")</f>
        <v/>
      </c>
      <c r="U67" s="113"/>
      <c r="V67" s="64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</row>
    <row r="68" spans="1:52" x14ac:dyDescent="0.25">
      <c r="A68" s="62"/>
      <c r="B68" s="62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 t="str">
        <f>IF(OR(A68&lt;&gt;"",B68&lt;&gt;""),(SUM(C68:N68)+O68)/12,"")</f>
        <v/>
      </c>
      <c r="Q68" s="63" t="str">
        <f>IF(OR(A68&lt;&gt;"",B68&lt;&gt;""),SUM(C68:N68)+O68,"")</f>
        <v/>
      </c>
      <c r="R68" s="87"/>
      <c r="S68" s="63" t="str">
        <f>IF(OR(A68&lt;&gt;"",B68&lt;&gt;""),IF(R68="Sim",Q68/2,Q68),"")</f>
        <v/>
      </c>
      <c r="T68" s="63" t="str">
        <f>IF(OR(A68&lt;&gt;"",B68&lt;&gt;""),IF(R68="Sim",P68/2,P68),"")</f>
        <v/>
      </c>
      <c r="U68" s="113"/>
      <c r="V68" s="64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</row>
    <row r="69" spans="1:52" x14ac:dyDescent="0.25">
      <c r="A69" s="62"/>
      <c r="B69" s="62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 t="str">
        <f>IF(OR(A69&lt;&gt;"",B69&lt;&gt;""),(SUM(C69:N69)+O69)/12,"")</f>
        <v/>
      </c>
      <c r="Q69" s="63" t="str">
        <f>IF(OR(A69&lt;&gt;"",B69&lt;&gt;""),SUM(C69:N69)+O69,"")</f>
        <v/>
      </c>
      <c r="R69" s="87"/>
      <c r="S69" s="63" t="str">
        <f>IF(OR(A69&lt;&gt;"",B69&lt;&gt;""),IF(R69="Sim",Q69/2,Q69),"")</f>
        <v/>
      </c>
      <c r="T69" s="63" t="str">
        <f>IF(OR(A69&lt;&gt;"",B69&lt;&gt;""),IF(R69="Sim",P69/2,P69),"")</f>
        <v/>
      </c>
      <c r="U69" s="113"/>
      <c r="V69" s="64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</row>
    <row r="70" spans="1:52" x14ac:dyDescent="0.25">
      <c r="A70" s="62"/>
      <c r="B70" s="62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 t="str">
        <f>IF(OR(A70&lt;&gt;"",B70&lt;&gt;""),(SUM(C70:N70)+O70)/12,"")</f>
        <v/>
      </c>
      <c r="Q70" s="63" t="str">
        <f>IF(OR(A70&lt;&gt;"",B70&lt;&gt;""),SUM(C70:N70)+O70,"")</f>
        <v/>
      </c>
      <c r="R70" s="87"/>
      <c r="S70" s="63" t="str">
        <f>IF(OR(A70&lt;&gt;"",B70&lt;&gt;""),IF(R70="Sim",Q70/2,Q70),"")</f>
        <v/>
      </c>
      <c r="T70" s="63" t="str">
        <f>IF(OR(A70&lt;&gt;"",B70&lt;&gt;""),IF(R70="Sim",P70/2,P70),"")</f>
        <v/>
      </c>
      <c r="U70" s="113"/>
      <c r="V70" s="64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</row>
    <row r="71" spans="1:52" x14ac:dyDescent="0.25">
      <c r="A71" s="62"/>
      <c r="B71" s="62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 t="str">
        <f>IF(OR(A71&lt;&gt;"",B71&lt;&gt;""),(SUM(C71:N71)+O71)/12,"")</f>
        <v/>
      </c>
      <c r="Q71" s="63" t="str">
        <f>IF(OR(A71&lt;&gt;"",B71&lt;&gt;""),SUM(C71:N71)+O71,"")</f>
        <v/>
      </c>
      <c r="R71" s="87"/>
      <c r="S71" s="63" t="str">
        <f>IF(OR(A71&lt;&gt;"",B71&lt;&gt;""),IF(R71="Sim",Q71/2,Q71),"")</f>
        <v/>
      </c>
      <c r="T71" s="63" t="str">
        <f>IF(OR(A71&lt;&gt;"",B71&lt;&gt;""),IF(R71="Sim",P71/2,P71),"")</f>
        <v/>
      </c>
      <c r="U71" s="113"/>
      <c r="V71" s="64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</row>
    <row r="72" spans="1:52" x14ac:dyDescent="0.25">
      <c r="A72" s="62"/>
      <c r="B72" s="62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 t="str">
        <f>IF(OR(A72&lt;&gt;"",B72&lt;&gt;""),(SUM(C72:N72)+O72)/12,"")</f>
        <v/>
      </c>
      <c r="Q72" s="63" t="str">
        <f>IF(OR(A72&lt;&gt;"",B72&lt;&gt;""),SUM(C72:N72)+O72,"")</f>
        <v/>
      </c>
      <c r="R72" s="87"/>
      <c r="S72" s="63" t="str">
        <f>IF(OR(A72&lt;&gt;"",B72&lt;&gt;""),IF(R72="Sim",Q72/2,Q72),"")</f>
        <v/>
      </c>
      <c r="T72" s="63" t="str">
        <f>IF(OR(A72&lt;&gt;"",B72&lt;&gt;""),IF(R72="Sim",P72/2,P72),"")</f>
        <v/>
      </c>
      <c r="U72" s="113"/>
      <c r="V72" s="64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</row>
    <row r="73" spans="1:52" x14ac:dyDescent="0.25">
      <c r="A73" s="62"/>
      <c r="B73" s="62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 t="str">
        <f>IF(OR(A73&lt;&gt;"",B73&lt;&gt;""),(SUM(C73:N73)+O73)/12,"")</f>
        <v/>
      </c>
      <c r="Q73" s="63" t="str">
        <f>IF(OR(A73&lt;&gt;"",B73&lt;&gt;""),SUM(C73:N73)+O73,"")</f>
        <v/>
      </c>
      <c r="R73" s="87"/>
      <c r="S73" s="63" t="str">
        <f>IF(OR(A73&lt;&gt;"",B73&lt;&gt;""),IF(R73="Sim",Q73/2,Q73),"")</f>
        <v/>
      </c>
      <c r="T73" s="63" t="str">
        <f>IF(OR(A73&lt;&gt;"",B73&lt;&gt;""),IF(R73="Sim",P73/2,P73),"")</f>
        <v/>
      </c>
      <c r="U73" s="113"/>
      <c r="V73" s="64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</row>
    <row r="74" spans="1:52" x14ac:dyDescent="0.25">
      <c r="A74" s="62"/>
      <c r="B74" s="62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 t="str">
        <f>IF(OR(A74&lt;&gt;"",B74&lt;&gt;""),(SUM(C74:N74)+O74)/12,"")</f>
        <v/>
      </c>
      <c r="Q74" s="63" t="str">
        <f>IF(OR(A74&lt;&gt;"",B74&lt;&gt;""),SUM(C74:N74)+O74,"")</f>
        <v/>
      </c>
      <c r="R74" s="87"/>
      <c r="S74" s="63" t="str">
        <f>IF(OR(A74&lt;&gt;"",B74&lt;&gt;""),IF(R74="Sim",Q74/2,Q74),"")</f>
        <v/>
      </c>
      <c r="T74" s="63" t="str">
        <f>IF(OR(A74&lt;&gt;"",B74&lt;&gt;""),IF(R74="Sim",P74/2,P74),"")</f>
        <v/>
      </c>
      <c r="U74" s="113"/>
      <c r="V74" s="64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</row>
    <row r="75" spans="1:52" x14ac:dyDescent="0.25">
      <c r="A75" s="62"/>
      <c r="B75" s="62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 t="str">
        <f>IF(OR(A75&lt;&gt;"",B75&lt;&gt;""),(SUM(C75:N75)+O75)/12,"")</f>
        <v/>
      </c>
      <c r="Q75" s="63" t="str">
        <f>IF(OR(A75&lt;&gt;"",B75&lt;&gt;""),SUM(C75:N75)+O75,"")</f>
        <v/>
      </c>
      <c r="R75" s="87"/>
      <c r="S75" s="63" t="str">
        <f>IF(OR(A75&lt;&gt;"",B75&lt;&gt;""),IF(R75="Sim",Q75/2,Q75),"")</f>
        <v/>
      </c>
      <c r="T75" s="63" t="str">
        <f>IF(OR(A75&lt;&gt;"",B75&lt;&gt;""),IF(R75="Sim",P75/2,P75),"")</f>
        <v/>
      </c>
      <c r="U75" s="113"/>
      <c r="V75" s="64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</row>
    <row r="76" spans="1:52" x14ac:dyDescent="0.25">
      <c r="A76" s="62"/>
      <c r="B76" s="62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 t="str">
        <f>IF(OR(A76&lt;&gt;"",B76&lt;&gt;""),(SUM(C76:N76)+O76)/12,"")</f>
        <v/>
      </c>
      <c r="Q76" s="63" t="str">
        <f>IF(OR(A76&lt;&gt;"",B76&lt;&gt;""),SUM(C76:N76)+O76,"")</f>
        <v/>
      </c>
      <c r="R76" s="87"/>
      <c r="S76" s="63" t="str">
        <f>IF(OR(A76&lt;&gt;"",B76&lt;&gt;""),IF(R76="Sim",Q76/2,Q76),"")</f>
        <v/>
      </c>
      <c r="T76" s="63" t="str">
        <f>IF(OR(A76&lt;&gt;"",B76&lt;&gt;""),IF(R76="Sim",P76/2,P76),"")</f>
        <v/>
      </c>
      <c r="U76" s="113"/>
      <c r="V76" s="64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</row>
    <row r="77" spans="1:52" x14ac:dyDescent="0.25">
      <c r="A77" s="62"/>
      <c r="B77" s="62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 t="str">
        <f>IF(OR(A77&lt;&gt;"",B77&lt;&gt;""),(SUM(C77:N77)+O77)/12,"")</f>
        <v/>
      </c>
      <c r="Q77" s="63" t="str">
        <f>IF(OR(A77&lt;&gt;"",B77&lt;&gt;""),SUM(C77:N77)+O77,"")</f>
        <v/>
      </c>
      <c r="R77" s="87"/>
      <c r="S77" s="63" t="str">
        <f>IF(OR(A77&lt;&gt;"",B77&lt;&gt;""),IF(R77="Sim",Q77/2,Q77),"")</f>
        <v/>
      </c>
      <c r="T77" s="63" t="str">
        <f>IF(OR(A77&lt;&gt;"",B77&lt;&gt;""),IF(R77="Sim",P77/2,P77),"")</f>
        <v/>
      </c>
      <c r="U77" s="113"/>
      <c r="V77" s="64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</row>
    <row r="78" spans="1:52" x14ac:dyDescent="0.25">
      <c r="A78" s="62"/>
      <c r="B78" s="62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 t="str">
        <f>IF(OR(A78&lt;&gt;"",B78&lt;&gt;""),(SUM(C78:N78)+O78)/12,"")</f>
        <v/>
      </c>
      <c r="Q78" s="63" t="str">
        <f>IF(OR(A78&lt;&gt;"",B78&lt;&gt;""),SUM(C78:N78)+O78,"")</f>
        <v/>
      </c>
      <c r="R78" s="87"/>
      <c r="S78" s="63" t="str">
        <f>IF(OR(A78&lt;&gt;"",B78&lt;&gt;""),IF(R78="Sim",Q78/2,Q78),"")</f>
        <v/>
      </c>
      <c r="T78" s="63" t="str">
        <f>IF(OR(A78&lt;&gt;"",B78&lt;&gt;""),IF(R78="Sim",P78/2,P78),"")</f>
        <v/>
      </c>
      <c r="U78" s="113"/>
      <c r="V78" s="64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</row>
    <row r="79" spans="1:52" x14ac:dyDescent="0.25">
      <c r="A79" s="62"/>
      <c r="B79" s="62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 t="str">
        <f>IF(OR(A79&lt;&gt;"",B79&lt;&gt;""),(SUM(C79:N79)+O79)/12,"")</f>
        <v/>
      </c>
      <c r="Q79" s="63" t="str">
        <f>IF(OR(A79&lt;&gt;"",B79&lt;&gt;""),SUM(C79:N79)+O79,"")</f>
        <v/>
      </c>
      <c r="R79" s="87"/>
      <c r="S79" s="63" t="str">
        <f>IF(OR(A79&lt;&gt;"",B79&lt;&gt;""),IF(R79="Sim",Q79/2,Q79),"")</f>
        <v/>
      </c>
      <c r="T79" s="63" t="str">
        <f>IF(OR(A79&lt;&gt;"",B79&lt;&gt;""),IF(R79="Sim",P79/2,P79),"")</f>
        <v/>
      </c>
      <c r="U79" s="113"/>
      <c r="V79" s="64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</row>
    <row r="80" spans="1:52" x14ac:dyDescent="0.25">
      <c r="A80" s="62"/>
      <c r="B80" s="62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 t="str">
        <f>IF(OR(A80&lt;&gt;"",B80&lt;&gt;""),(SUM(C80:N80)+O80)/12,"")</f>
        <v/>
      </c>
      <c r="Q80" s="63" t="str">
        <f>IF(OR(A80&lt;&gt;"",B80&lt;&gt;""),SUM(C80:N80)+O80,"")</f>
        <v/>
      </c>
      <c r="R80" s="87"/>
      <c r="S80" s="63" t="str">
        <f>IF(OR(A80&lt;&gt;"",B80&lt;&gt;""),IF(R80="Sim",Q80/2,Q80),"")</f>
        <v/>
      </c>
      <c r="T80" s="63" t="str">
        <f>IF(OR(A80&lt;&gt;"",B80&lt;&gt;""),IF(R80="Sim",P80/2,P80),"")</f>
        <v/>
      </c>
      <c r="U80" s="113"/>
      <c r="V80" s="64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</row>
    <row r="81" spans="1:52" x14ac:dyDescent="0.25">
      <c r="A81" s="62"/>
      <c r="B81" s="62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 t="str">
        <f>IF(OR(A81&lt;&gt;"",B81&lt;&gt;""),(SUM(C81:N81)+O81)/12,"")</f>
        <v/>
      </c>
      <c r="Q81" s="63" t="str">
        <f>IF(OR(A81&lt;&gt;"",B81&lt;&gt;""),SUM(C81:N81)+O81,"")</f>
        <v/>
      </c>
      <c r="R81" s="87"/>
      <c r="S81" s="63" t="str">
        <f>IF(OR(A81&lt;&gt;"",B81&lt;&gt;""),IF(R81="Sim",Q81/2,Q81),"")</f>
        <v/>
      </c>
      <c r="T81" s="63" t="str">
        <f>IF(OR(A81&lt;&gt;"",B81&lt;&gt;""),IF(R81="Sim",P81/2,P81),"")</f>
        <v/>
      </c>
      <c r="U81" s="113"/>
      <c r="V81" s="64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</row>
    <row r="82" spans="1:52" x14ac:dyDescent="0.25">
      <c r="A82" s="62"/>
      <c r="B82" s="62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 t="str">
        <f>IF(OR(A82&lt;&gt;"",B82&lt;&gt;""),(SUM(C82:N82)+O82)/12,"")</f>
        <v/>
      </c>
      <c r="Q82" s="63" t="str">
        <f>IF(OR(A82&lt;&gt;"",B82&lt;&gt;""),SUM(C82:N82)+O82,"")</f>
        <v/>
      </c>
      <c r="R82" s="87"/>
      <c r="S82" s="63" t="str">
        <f>IF(OR(A82&lt;&gt;"",B82&lt;&gt;""),IF(R82="Sim",Q82/2,Q82),"")</f>
        <v/>
      </c>
      <c r="T82" s="63" t="str">
        <f>IF(OR(A82&lt;&gt;"",B82&lt;&gt;""),IF(R82="Sim",P82/2,P82),"")</f>
        <v/>
      </c>
      <c r="U82" s="113"/>
      <c r="V82" s="64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</row>
    <row r="83" spans="1:52" x14ac:dyDescent="0.25">
      <c r="A83" s="62"/>
      <c r="B83" s="62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 t="str">
        <f>IF(OR(A83&lt;&gt;"",B83&lt;&gt;""),(SUM(C83:N83)+O83)/12,"")</f>
        <v/>
      </c>
      <c r="Q83" s="63" t="str">
        <f>IF(OR(A83&lt;&gt;"",B83&lt;&gt;""),SUM(C83:N83)+O83,"")</f>
        <v/>
      </c>
      <c r="R83" s="87"/>
      <c r="S83" s="63" t="str">
        <f>IF(OR(A83&lt;&gt;"",B83&lt;&gt;""),IF(R83="Sim",Q83/2,Q83),"")</f>
        <v/>
      </c>
      <c r="T83" s="63" t="str">
        <f>IF(OR(A83&lt;&gt;"",B83&lt;&gt;""),IF(R83="Sim",P83/2,P83),"")</f>
        <v/>
      </c>
      <c r="U83" s="113"/>
      <c r="V83" s="64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</row>
    <row r="84" spans="1:52" x14ac:dyDescent="0.25">
      <c r="A84" s="62"/>
      <c r="B84" s="62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 t="str">
        <f>IF(OR(A84&lt;&gt;"",B84&lt;&gt;""),(SUM(C84:N84)+O84)/12,"")</f>
        <v/>
      </c>
      <c r="Q84" s="63" t="str">
        <f>IF(OR(A84&lt;&gt;"",B84&lt;&gt;""),SUM(C84:N84)+O84,"")</f>
        <v/>
      </c>
      <c r="R84" s="87"/>
      <c r="S84" s="63" t="str">
        <f>IF(OR(A84&lt;&gt;"",B84&lt;&gt;""),IF(R84="Sim",Q84/2,Q84),"")</f>
        <v/>
      </c>
      <c r="T84" s="63" t="str">
        <f>IF(OR(A84&lt;&gt;"",B84&lt;&gt;""),IF(R84="Sim",P84/2,P84),"")</f>
        <v/>
      </c>
      <c r="U84" s="113"/>
      <c r="V84" s="64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</row>
    <row r="85" spans="1:52" x14ac:dyDescent="0.25">
      <c r="A85" s="62"/>
      <c r="B85" s="62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 t="str">
        <f>IF(OR(A85&lt;&gt;"",B85&lt;&gt;""),(SUM(C85:N85)+O85)/12,"")</f>
        <v/>
      </c>
      <c r="Q85" s="63" t="str">
        <f>IF(OR(A85&lt;&gt;"",B85&lt;&gt;""),SUM(C85:N85)+O85,"")</f>
        <v/>
      </c>
      <c r="R85" s="87"/>
      <c r="S85" s="63" t="str">
        <f>IF(OR(A85&lt;&gt;"",B85&lt;&gt;""),IF(R85="Sim",Q85/2,Q85),"")</f>
        <v/>
      </c>
      <c r="T85" s="63" t="str">
        <f>IF(OR(A85&lt;&gt;"",B85&lt;&gt;""),IF(R85="Sim",P85/2,P85),"")</f>
        <v/>
      </c>
      <c r="U85" s="113"/>
      <c r="V85" s="64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</row>
    <row r="86" spans="1:52" x14ac:dyDescent="0.25">
      <c r="A86" s="62"/>
      <c r="B86" s="62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 t="str">
        <f>IF(OR(A86&lt;&gt;"",B86&lt;&gt;""),(SUM(C86:N86)+O86)/12,"")</f>
        <v/>
      </c>
      <c r="Q86" s="63" t="str">
        <f>IF(OR(A86&lt;&gt;"",B86&lt;&gt;""),SUM(C86:N86)+O86,"")</f>
        <v/>
      </c>
      <c r="R86" s="87"/>
      <c r="S86" s="63" t="str">
        <f>IF(OR(A86&lt;&gt;"",B86&lt;&gt;""),IF(R86="Sim",Q86/2,Q86),"")</f>
        <v/>
      </c>
      <c r="T86" s="63" t="str">
        <f>IF(OR(A86&lt;&gt;"",B86&lt;&gt;""),IF(R86="Sim",P86/2,P86),"")</f>
        <v/>
      </c>
      <c r="U86" s="113"/>
      <c r="V86" s="64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</row>
    <row r="87" spans="1:52" x14ac:dyDescent="0.25">
      <c r="A87" s="62"/>
      <c r="B87" s="62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 t="str">
        <f>IF(OR(A87&lt;&gt;"",B87&lt;&gt;""),(SUM(C87:N87)+O87)/12,"")</f>
        <v/>
      </c>
      <c r="Q87" s="63" t="str">
        <f>IF(OR(A87&lt;&gt;"",B87&lt;&gt;""),SUM(C87:N87)+O87,"")</f>
        <v/>
      </c>
      <c r="R87" s="87"/>
      <c r="S87" s="63" t="str">
        <f>IF(OR(A87&lt;&gt;"",B87&lt;&gt;""),IF(R87="Sim",Q87/2,Q87),"")</f>
        <v/>
      </c>
      <c r="T87" s="63" t="str">
        <f>IF(OR(A87&lt;&gt;"",B87&lt;&gt;""),IF(R87="Sim",P87/2,P87),"")</f>
        <v/>
      </c>
      <c r="U87" s="113"/>
      <c r="V87" s="64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</row>
    <row r="88" spans="1:52" x14ac:dyDescent="0.25">
      <c r="A88" s="62"/>
      <c r="B88" s="62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 t="str">
        <f>IF(OR(A88&lt;&gt;"",B88&lt;&gt;""),(SUM(C88:N88)+O88)/12,"")</f>
        <v/>
      </c>
      <c r="Q88" s="63" t="str">
        <f>IF(OR(A88&lt;&gt;"",B88&lt;&gt;""),SUM(C88:N88)+O88,"")</f>
        <v/>
      </c>
      <c r="R88" s="87"/>
      <c r="S88" s="63" t="str">
        <f>IF(OR(A88&lt;&gt;"",B88&lt;&gt;""),IF(R88="Sim",Q88/2,Q88),"")</f>
        <v/>
      </c>
      <c r="T88" s="63" t="str">
        <f>IF(OR(A88&lt;&gt;"",B88&lt;&gt;""),IF(R88="Sim",P88/2,P88),"")</f>
        <v/>
      </c>
      <c r="U88" s="113"/>
      <c r="V88" s="64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</row>
    <row r="89" spans="1:52" x14ac:dyDescent="0.25">
      <c r="A89" s="62"/>
      <c r="B89" s="62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 t="str">
        <f>IF(OR(A89&lt;&gt;"",B89&lt;&gt;""),(SUM(C89:N89)+O89)/12,"")</f>
        <v/>
      </c>
      <c r="Q89" s="63" t="str">
        <f>IF(OR(A89&lt;&gt;"",B89&lt;&gt;""),SUM(C89:N89)+O89,"")</f>
        <v/>
      </c>
      <c r="R89" s="87"/>
      <c r="S89" s="63" t="str">
        <f>IF(OR(A89&lt;&gt;"",B89&lt;&gt;""),IF(R89="Sim",Q89/2,Q89),"")</f>
        <v/>
      </c>
      <c r="T89" s="63" t="str">
        <f>IF(OR(A89&lt;&gt;"",B89&lt;&gt;""),IF(R89="Sim",P89/2,P89),"")</f>
        <v/>
      </c>
      <c r="U89" s="113"/>
      <c r="V89" s="64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</row>
    <row r="90" spans="1:52" x14ac:dyDescent="0.25">
      <c r="A90" s="62"/>
      <c r="B90" s="62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 t="str">
        <f>IF(OR(A90&lt;&gt;"",B90&lt;&gt;""),(SUM(C90:N90)+O90)/12,"")</f>
        <v/>
      </c>
      <c r="Q90" s="63" t="str">
        <f>IF(OR(A90&lt;&gt;"",B90&lt;&gt;""),SUM(C90:N90)+O90,"")</f>
        <v/>
      </c>
      <c r="R90" s="87"/>
      <c r="S90" s="63" t="str">
        <f>IF(OR(A90&lt;&gt;"",B90&lt;&gt;""),IF(R90="Sim",Q90/2,Q90),"")</f>
        <v/>
      </c>
      <c r="T90" s="63" t="str">
        <f>IF(OR(A90&lt;&gt;"",B90&lt;&gt;""),IF(R90="Sim",P90/2,P90),"")</f>
        <v/>
      </c>
      <c r="U90" s="113"/>
      <c r="V90" s="64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</row>
    <row r="91" spans="1:52" x14ac:dyDescent="0.25">
      <c r="A91" s="62"/>
      <c r="B91" s="62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 t="str">
        <f>IF(OR(A91&lt;&gt;"",B91&lt;&gt;""),(SUM(C91:N91)+O91)/12,"")</f>
        <v/>
      </c>
      <c r="Q91" s="63" t="str">
        <f>IF(OR(A91&lt;&gt;"",B91&lt;&gt;""),SUM(C91:N91)+O91,"")</f>
        <v/>
      </c>
      <c r="R91" s="87"/>
      <c r="S91" s="63" t="str">
        <f>IF(OR(A91&lt;&gt;"",B91&lt;&gt;""),IF(R91="Sim",Q91/2,Q91),"")</f>
        <v/>
      </c>
      <c r="T91" s="63" t="str">
        <f>IF(OR(A91&lt;&gt;"",B91&lt;&gt;""),IF(R91="Sim",P91/2,P91),"")</f>
        <v/>
      </c>
      <c r="U91" s="113"/>
      <c r="V91" s="64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</row>
    <row r="92" spans="1:52" x14ac:dyDescent="0.25">
      <c r="A92" s="62"/>
      <c r="B92" s="62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 t="str">
        <f>IF(OR(A92&lt;&gt;"",B92&lt;&gt;""),(SUM(C92:N92)+O92)/12,"")</f>
        <v/>
      </c>
      <c r="Q92" s="63" t="str">
        <f>IF(OR(A92&lt;&gt;"",B92&lt;&gt;""),SUM(C92:N92)+O92,"")</f>
        <v/>
      </c>
      <c r="R92" s="87"/>
      <c r="S92" s="63" t="str">
        <f>IF(OR(A92&lt;&gt;"",B92&lt;&gt;""),IF(R92="Sim",Q92/2,Q92),"")</f>
        <v/>
      </c>
      <c r="T92" s="63" t="str">
        <f>IF(OR(A92&lt;&gt;"",B92&lt;&gt;""),IF(R92="Sim",P92/2,P92),"")</f>
        <v/>
      </c>
      <c r="U92" s="113"/>
      <c r="V92" s="64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</row>
    <row r="93" spans="1:52" x14ac:dyDescent="0.25">
      <c r="A93" s="62"/>
      <c r="B93" s="62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 t="str">
        <f>IF(OR(A93&lt;&gt;"",B93&lt;&gt;""),(SUM(C93:N93)+O93)/12,"")</f>
        <v/>
      </c>
      <c r="Q93" s="63" t="str">
        <f>IF(OR(A93&lt;&gt;"",B93&lt;&gt;""),SUM(C93:N93)+O93,"")</f>
        <v/>
      </c>
      <c r="R93" s="87"/>
      <c r="S93" s="63" t="str">
        <f>IF(OR(A93&lt;&gt;"",B93&lt;&gt;""),IF(R93="Sim",Q93/2,Q93),"")</f>
        <v/>
      </c>
      <c r="T93" s="63" t="str">
        <f>IF(OR(A93&lt;&gt;"",B93&lt;&gt;""),IF(R93="Sim",P93/2,P93),"")</f>
        <v/>
      </c>
      <c r="U93" s="113"/>
      <c r="V93" s="64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</row>
    <row r="94" spans="1:52" x14ac:dyDescent="0.25">
      <c r="A94" s="62"/>
      <c r="B94" s="62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 t="str">
        <f>IF(OR(A94&lt;&gt;"",B94&lt;&gt;""),(SUM(C94:N94)+O94)/12,"")</f>
        <v/>
      </c>
      <c r="Q94" s="63" t="str">
        <f>IF(OR(A94&lt;&gt;"",B94&lt;&gt;""),SUM(C94:N94)+O94,"")</f>
        <v/>
      </c>
      <c r="R94" s="87"/>
      <c r="S94" s="63" t="str">
        <f>IF(OR(A94&lt;&gt;"",B94&lt;&gt;""),IF(R94="Sim",Q94/2,Q94),"")</f>
        <v/>
      </c>
      <c r="T94" s="63" t="str">
        <f>IF(OR(A94&lt;&gt;"",B94&lt;&gt;""),IF(R94="Sim",P94/2,P94),"")</f>
        <v/>
      </c>
      <c r="U94" s="113"/>
      <c r="V94" s="64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</row>
    <row r="95" spans="1:52" x14ac:dyDescent="0.25">
      <c r="A95" s="62"/>
      <c r="B95" s="62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 t="str">
        <f>IF(OR(A95&lt;&gt;"",B95&lt;&gt;""),(SUM(C95:N95)+O95)/12,"")</f>
        <v/>
      </c>
      <c r="Q95" s="63" t="str">
        <f>IF(OR(A95&lt;&gt;"",B95&lt;&gt;""),SUM(C95:N95)+O95,"")</f>
        <v/>
      </c>
      <c r="R95" s="87"/>
      <c r="S95" s="63" t="str">
        <f>IF(OR(A95&lt;&gt;"",B95&lt;&gt;""),IF(R95="Sim",Q95/2,Q95),"")</f>
        <v/>
      </c>
      <c r="T95" s="63" t="str">
        <f>IF(OR(A95&lt;&gt;"",B95&lt;&gt;""),IF(R95="Sim",P95/2,P95),"")</f>
        <v/>
      </c>
      <c r="U95" s="113"/>
      <c r="V95" s="64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</row>
    <row r="96" spans="1:52" x14ac:dyDescent="0.25">
      <c r="A96" s="62"/>
      <c r="B96" s="62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 t="str">
        <f>IF(OR(A96&lt;&gt;"",B96&lt;&gt;""),(SUM(C96:N96)+O96)/12,"")</f>
        <v/>
      </c>
      <c r="Q96" s="63" t="str">
        <f>IF(OR(A96&lt;&gt;"",B96&lt;&gt;""),SUM(C96:N96)+O96,"")</f>
        <v/>
      </c>
      <c r="R96" s="87"/>
      <c r="S96" s="63" t="str">
        <f>IF(OR(A96&lt;&gt;"",B96&lt;&gt;""),IF(R96="Sim",Q96/2,Q96),"")</f>
        <v/>
      </c>
      <c r="T96" s="63" t="str">
        <f>IF(OR(A96&lt;&gt;"",B96&lt;&gt;""),IF(R96="Sim",P96/2,P96),"")</f>
        <v/>
      </c>
      <c r="U96" s="113"/>
      <c r="V96" s="64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</row>
    <row r="97" spans="1:52" x14ac:dyDescent="0.25">
      <c r="A97" s="62"/>
      <c r="B97" s="62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 t="str">
        <f>IF(OR(A97&lt;&gt;"",B97&lt;&gt;""),(SUM(C97:N97)+O97)/12,"")</f>
        <v/>
      </c>
      <c r="Q97" s="63" t="str">
        <f>IF(OR(A97&lt;&gt;"",B97&lt;&gt;""),SUM(C97:N97)+O97,"")</f>
        <v/>
      </c>
      <c r="R97" s="87"/>
      <c r="S97" s="63" t="str">
        <f>IF(OR(A97&lt;&gt;"",B97&lt;&gt;""),IF(R97="Sim",Q97/2,Q97),"")</f>
        <v/>
      </c>
      <c r="T97" s="63" t="str">
        <f>IF(OR(A97&lt;&gt;"",B97&lt;&gt;""),IF(R97="Sim",P97/2,P97),"")</f>
        <v/>
      </c>
      <c r="U97" s="113"/>
      <c r="V97" s="64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</row>
    <row r="98" spans="1:52" x14ac:dyDescent="0.25">
      <c r="A98" s="62"/>
      <c r="B98" s="62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 t="str">
        <f>IF(OR(A98&lt;&gt;"",B98&lt;&gt;""),(SUM(C98:N98)+O98)/12,"")</f>
        <v/>
      </c>
      <c r="Q98" s="63" t="str">
        <f>IF(OR(A98&lt;&gt;"",B98&lt;&gt;""),SUM(C98:N98)+O98,"")</f>
        <v/>
      </c>
      <c r="R98" s="87"/>
      <c r="S98" s="63" t="str">
        <f>IF(OR(A98&lt;&gt;"",B98&lt;&gt;""),IF(R98="Sim",Q98/2,Q98),"")</f>
        <v/>
      </c>
      <c r="T98" s="63" t="str">
        <f>IF(OR(A98&lt;&gt;"",B98&lt;&gt;""),IF(R98="Sim",P98/2,P98),"")</f>
        <v/>
      </c>
      <c r="U98" s="113"/>
      <c r="V98" s="64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</row>
    <row r="99" spans="1:52" x14ac:dyDescent="0.25">
      <c r="A99" s="62"/>
      <c r="B99" s="62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 t="str">
        <f>IF(OR(A99&lt;&gt;"",B99&lt;&gt;""),(SUM(C99:N99)+O99)/12,"")</f>
        <v/>
      </c>
      <c r="Q99" s="63" t="str">
        <f>IF(OR(A99&lt;&gt;"",B99&lt;&gt;""),SUM(C99:N99)+O99,"")</f>
        <v/>
      </c>
      <c r="R99" s="87"/>
      <c r="S99" s="63" t="str">
        <f>IF(OR(A99&lt;&gt;"",B99&lt;&gt;""),IF(R99="Sim",Q99/2,Q99),"")</f>
        <v/>
      </c>
      <c r="T99" s="63" t="str">
        <f>IF(OR(A99&lt;&gt;"",B99&lt;&gt;""),IF(R99="Sim",P99/2,P99),"")</f>
        <v/>
      </c>
      <c r="U99" s="113"/>
      <c r="V99" s="64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</row>
    <row r="100" spans="1:52" x14ac:dyDescent="0.25">
      <c r="A100" s="62"/>
      <c r="B100" s="62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 t="str">
        <f>IF(OR(A100&lt;&gt;"",B100&lt;&gt;""),(SUM(C100:N100)+O100)/12,"")</f>
        <v/>
      </c>
      <c r="Q100" s="63" t="str">
        <f>IF(OR(A100&lt;&gt;"",B100&lt;&gt;""),SUM(C100:N100)+O100,"")</f>
        <v/>
      </c>
      <c r="R100" s="87"/>
      <c r="S100" s="63" t="str">
        <f>IF(OR(A100&lt;&gt;"",B100&lt;&gt;""),IF(R100="Sim",Q100/2,Q100),"")</f>
        <v/>
      </c>
      <c r="T100" s="63" t="str">
        <f>IF(OR(A100&lt;&gt;"",B100&lt;&gt;""),IF(R100="Sim",P100/2,P100),"")</f>
        <v/>
      </c>
      <c r="U100" s="113"/>
      <c r="V100" s="64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</row>
    <row r="101" spans="1:52" x14ac:dyDescent="0.25">
      <c r="A101" s="62"/>
      <c r="B101" s="62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 t="str">
        <f>IF(OR(A101&lt;&gt;"",B101&lt;&gt;""),(SUM(C101:N101)+O101)/12,"")</f>
        <v/>
      </c>
      <c r="Q101" s="63" t="str">
        <f>IF(OR(A101&lt;&gt;"",B101&lt;&gt;""),SUM(C101:N101)+O101,"")</f>
        <v/>
      </c>
      <c r="R101" s="87"/>
      <c r="S101" s="63" t="str">
        <f>IF(OR(A101&lt;&gt;"",B101&lt;&gt;""),IF(R101="Sim",Q101/2,Q101),"")</f>
        <v/>
      </c>
      <c r="T101" s="63" t="str">
        <f>IF(OR(A101&lt;&gt;"",B101&lt;&gt;""),IF(R101="Sim",P101/2,P101),"")</f>
        <v/>
      </c>
      <c r="U101" s="113"/>
      <c r="V101" s="64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</row>
    <row r="102" spans="1:52" x14ac:dyDescent="0.25">
      <c r="A102" s="62"/>
      <c r="B102" s="62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 t="str">
        <f>IF(OR(A102&lt;&gt;"",B102&lt;&gt;""),(SUM(C102:N102)+O102)/12,"")</f>
        <v/>
      </c>
      <c r="Q102" s="63" t="str">
        <f>IF(OR(A102&lt;&gt;"",B102&lt;&gt;""),SUM(C102:N102)+O102,"")</f>
        <v/>
      </c>
      <c r="R102" s="87"/>
      <c r="S102" s="63" t="str">
        <f>IF(OR(A102&lt;&gt;"",B102&lt;&gt;""),IF(R102="Sim",Q102/2,Q102),"")</f>
        <v/>
      </c>
      <c r="T102" s="63" t="str">
        <f>IF(OR(A102&lt;&gt;"",B102&lt;&gt;""),IF(R102="Sim",P102/2,P102),"")</f>
        <v/>
      </c>
      <c r="U102" s="113"/>
      <c r="V102" s="64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</row>
    <row r="103" spans="1:52" x14ac:dyDescent="0.25">
      <c r="A103" s="62"/>
      <c r="B103" s="62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 t="str">
        <f>IF(OR(A103&lt;&gt;"",B103&lt;&gt;""),(SUM(C103:N103)+O103)/12,"")</f>
        <v/>
      </c>
      <c r="Q103" s="63" t="str">
        <f>IF(OR(A103&lt;&gt;"",B103&lt;&gt;""),SUM(C103:N103)+O103,"")</f>
        <v/>
      </c>
      <c r="R103" s="87"/>
      <c r="S103" s="63" t="str">
        <f>IF(OR(A103&lt;&gt;"",B103&lt;&gt;""),IF(R103="Sim",Q103/2,Q103),"")</f>
        <v/>
      </c>
      <c r="T103" s="63" t="str">
        <f>IF(OR(A103&lt;&gt;"",B103&lt;&gt;""),IF(R103="Sim",P103/2,P103),"")</f>
        <v/>
      </c>
      <c r="U103" s="113"/>
      <c r="V103" s="64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</row>
    <row r="104" spans="1:52" x14ac:dyDescent="0.25">
      <c r="A104" s="62"/>
      <c r="B104" s="62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 t="str">
        <f>IF(OR(A104&lt;&gt;"",B104&lt;&gt;""),(SUM(C104:N104)+O104)/12,"")</f>
        <v/>
      </c>
      <c r="Q104" s="63" t="str">
        <f>IF(OR(A104&lt;&gt;"",B104&lt;&gt;""),SUM(C104:N104)+O104,"")</f>
        <v/>
      </c>
      <c r="R104" s="87"/>
      <c r="S104" s="63" t="str">
        <f>IF(OR(A104&lt;&gt;"",B104&lt;&gt;""),IF(R104="Sim",Q104/2,Q104),"")</f>
        <v/>
      </c>
      <c r="T104" s="63" t="str">
        <f>IF(OR(A104&lt;&gt;"",B104&lt;&gt;""),IF(R104="Sim",P104/2,P104),"")</f>
        <v/>
      </c>
      <c r="U104" s="113"/>
      <c r="V104" s="64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</row>
    <row r="105" spans="1:52" x14ac:dyDescent="0.25">
      <c r="A105" s="62"/>
      <c r="B105" s="62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 t="str">
        <f>IF(OR(A105&lt;&gt;"",B105&lt;&gt;""),(SUM(C105:N105)+O105)/12,"")</f>
        <v/>
      </c>
      <c r="Q105" s="63" t="str">
        <f>IF(OR(A105&lt;&gt;"",B105&lt;&gt;""),SUM(C105:N105)+O105,"")</f>
        <v/>
      </c>
      <c r="R105" s="87"/>
      <c r="S105" s="63" t="str">
        <f>IF(OR(A105&lt;&gt;"",B105&lt;&gt;""),IF(R105="Sim",Q105/2,Q105),"")</f>
        <v/>
      </c>
      <c r="T105" s="63" t="str">
        <f>IF(OR(A105&lt;&gt;"",B105&lt;&gt;""),IF(R105="Sim",P105/2,P105),"")</f>
        <v/>
      </c>
      <c r="U105" s="113"/>
      <c r="V105" s="64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</row>
    <row r="106" spans="1:52" x14ac:dyDescent="0.25">
      <c r="A106" s="62"/>
      <c r="B106" s="62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 t="str">
        <f>IF(OR(A106&lt;&gt;"",B106&lt;&gt;""),(SUM(C106:N106)+O106)/12,"")</f>
        <v/>
      </c>
      <c r="Q106" s="63" t="str">
        <f>IF(OR(A106&lt;&gt;"",B106&lt;&gt;""),SUM(C106:N106)+O106,"")</f>
        <v/>
      </c>
      <c r="R106" s="87"/>
      <c r="S106" s="63" t="str">
        <f>IF(OR(A106&lt;&gt;"",B106&lt;&gt;""),IF(R106="Sim",Q106/2,Q106),"")</f>
        <v/>
      </c>
      <c r="T106" s="63" t="str">
        <f>IF(OR(A106&lt;&gt;"",B106&lt;&gt;""),IF(R106="Sim",P106/2,P106),"")</f>
        <v/>
      </c>
      <c r="U106" s="113"/>
      <c r="V106" s="64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</row>
    <row r="107" spans="1:52" x14ac:dyDescent="0.25">
      <c r="A107" s="62"/>
      <c r="B107" s="62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 t="str">
        <f>IF(OR(A107&lt;&gt;"",B107&lt;&gt;""),(SUM(C107:N107)+O107)/12,"")</f>
        <v/>
      </c>
      <c r="Q107" s="63" t="str">
        <f>IF(OR(A107&lt;&gt;"",B107&lt;&gt;""),SUM(C107:N107)+O107,"")</f>
        <v/>
      </c>
      <c r="R107" s="87"/>
      <c r="S107" s="63" t="str">
        <f>IF(OR(A107&lt;&gt;"",B107&lt;&gt;""),IF(R107="Sim",Q107/2,Q107),"")</f>
        <v/>
      </c>
      <c r="T107" s="63" t="str">
        <f>IF(OR(A107&lt;&gt;"",B107&lt;&gt;""),IF(R107="Sim",P107/2,P107),"")</f>
        <v/>
      </c>
      <c r="U107" s="113"/>
      <c r="V107" s="64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</row>
    <row r="108" spans="1:52" x14ac:dyDescent="0.25">
      <c r="A108" s="62"/>
      <c r="B108" s="62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 t="str">
        <f>IF(OR(A108&lt;&gt;"",B108&lt;&gt;""),(SUM(C108:N108)+O108)/12,"")</f>
        <v/>
      </c>
      <c r="Q108" s="63" t="str">
        <f>IF(OR(A108&lt;&gt;"",B108&lt;&gt;""),SUM(C108:N108)+O108,"")</f>
        <v/>
      </c>
      <c r="R108" s="87"/>
      <c r="S108" s="63" t="str">
        <f>IF(OR(A108&lt;&gt;"",B108&lt;&gt;""),IF(R108="Sim",Q108/2,Q108),"")</f>
        <v/>
      </c>
      <c r="T108" s="63" t="str">
        <f>IF(OR(A108&lt;&gt;"",B108&lt;&gt;""),IF(R108="Sim",P108/2,P108),"")</f>
        <v/>
      </c>
      <c r="U108" s="113"/>
      <c r="V108" s="64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</row>
    <row r="109" spans="1:52" x14ac:dyDescent="0.25">
      <c r="A109" s="62"/>
      <c r="B109" s="62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 t="str">
        <f>IF(OR(A109&lt;&gt;"",B109&lt;&gt;""),(SUM(C109:N109)+O109)/12,"")</f>
        <v/>
      </c>
      <c r="Q109" s="63" t="str">
        <f>IF(OR(A109&lt;&gt;"",B109&lt;&gt;""),SUM(C109:N109)+O109,"")</f>
        <v/>
      </c>
      <c r="R109" s="87"/>
      <c r="S109" s="63" t="str">
        <f>IF(OR(A109&lt;&gt;"",B109&lt;&gt;""),IF(R109="Sim",Q109/2,Q109),"")</f>
        <v/>
      </c>
      <c r="T109" s="63" t="str">
        <f>IF(OR(A109&lt;&gt;"",B109&lt;&gt;""),IF(R109="Sim",P109/2,P109),"")</f>
        <v/>
      </c>
      <c r="U109" s="113"/>
      <c r="V109" s="64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</row>
    <row r="110" spans="1:52" x14ac:dyDescent="0.25">
      <c r="A110" s="62"/>
      <c r="B110" s="62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 t="str">
        <f>IF(OR(A110&lt;&gt;"",B110&lt;&gt;""),(SUM(C110:N110)+O110)/12,"")</f>
        <v/>
      </c>
      <c r="Q110" s="63" t="str">
        <f>IF(OR(A110&lt;&gt;"",B110&lt;&gt;""),SUM(C110:N110)+O110,"")</f>
        <v/>
      </c>
      <c r="R110" s="87"/>
      <c r="S110" s="63" t="str">
        <f>IF(OR(A110&lt;&gt;"",B110&lt;&gt;""),IF(R110="Sim",Q110/2,Q110),"")</f>
        <v/>
      </c>
      <c r="T110" s="63" t="str">
        <f>IF(OR(A110&lt;&gt;"",B110&lt;&gt;""),IF(R110="Sim",P110/2,P110),"")</f>
        <v/>
      </c>
      <c r="U110" s="113"/>
      <c r="V110" s="64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</row>
    <row r="111" spans="1:52" x14ac:dyDescent="0.25">
      <c r="A111" s="62"/>
      <c r="B111" s="62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 t="str">
        <f>IF(OR(A111&lt;&gt;"",B111&lt;&gt;""),(SUM(C111:N111)+O111)/12,"")</f>
        <v/>
      </c>
      <c r="Q111" s="63" t="str">
        <f>IF(OR(A111&lt;&gt;"",B111&lt;&gt;""),SUM(C111:N111)+O111,"")</f>
        <v/>
      </c>
      <c r="R111" s="87"/>
      <c r="S111" s="63" t="str">
        <f>IF(OR(A111&lt;&gt;"",B111&lt;&gt;""),IF(R111="Sim",Q111/2,Q111),"")</f>
        <v/>
      </c>
      <c r="T111" s="63" t="str">
        <f>IF(OR(A111&lt;&gt;"",B111&lt;&gt;""),IF(R111="Sim",P111/2,P111),"")</f>
        <v/>
      </c>
      <c r="U111" s="113"/>
      <c r="V111" s="64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</row>
    <row r="112" spans="1:52" x14ac:dyDescent="0.25">
      <c r="A112" s="62"/>
      <c r="B112" s="62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 t="str">
        <f>IF(OR(A112&lt;&gt;"",B112&lt;&gt;""),(SUM(C112:N112)+O112)/12,"")</f>
        <v/>
      </c>
      <c r="Q112" s="63" t="str">
        <f>IF(OR(A112&lt;&gt;"",B112&lt;&gt;""),SUM(C112:N112)+O112,"")</f>
        <v/>
      </c>
      <c r="R112" s="87"/>
      <c r="S112" s="63" t="str">
        <f>IF(OR(A112&lt;&gt;"",B112&lt;&gt;""),IF(R112="Sim",Q112/2,Q112),"")</f>
        <v/>
      </c>
      <c r="T112" s="63" t="str">
        <f>IF(OR(A112&lt;&gt;"",B112&lt;&gt;""),IF(R112="Sim",P112/2,P112),"")</f>
        <v/>
      </c>
      <c r="U112" s="113"/>
      <c r="V112" s="64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</row>
    <row r="113" spans="1:52" x14ac:dyDescent="0.25">
      <c r="A113" s="62"/>
      <c r="B113" s="62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 t="str">
        <f>IF(OR(A113&lt;&gt;"",B113&lt;&gt;""),(SUM(C113:N113)+O113)/12,"")</f>
        <v/>
      </c>
      <c r="Q113" s="63" t="str">
        <f>IF(OR(A113&lt;&gt;"",B113&lt;&gt;""),SUM(C113:N113)+O113,"")</f>
        <v/>
      </c>
      <c r="R113" s="87"/>
      <c r="S113" s="63" t="str">
        <f>IF(OR(A113&lt;&gt;"",B113&lt;&gt;""),IF(R113="Sim",Q113/2,Q113),"")</f>
        <v/>
      </c>
      <c r="T113" s="63" t="str">
        <f>IF(OR(A113&lt;&gt;"",B113&lt;&gt;""),IF(R113="Sim",P113/2,P113),"")</f>
        <v/>
      </c>
      <c r="U113" s="113"/>
      <c r="V113" s="64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</row>
    <row r="114" spans="1:52" x14ac:dyDescent="0.25">
      <c r="A114" s="62"/>
      <c r="B114" s="62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 t="str">
        <f>IF(OR(A114&lt;&gt;"",B114&lt;&gt;""),(SUM(C114:N114)+O114)/12,"")</f>
        <v/>
      </c>
      <c r="Q114" s="63" t="str">
        <f>IF(OR(A114&lt;&gt;"",B114&lt;&gt;""),SUM(C114:N114)+O114,"")</f>
        <v/>
      </c>
      <c r="R114" s="87"/>
      <c r="S114" s="63" t="str">
        <f>IF(OR(A114&lt;&gt;"",B114&lt;&gt;""),IF(R114="Sim",Q114/2,Q114),"")</f>
        <v/>
      </c>
      <c r="T114" s="63" t="str">
        <f>IF(OR(A114&lt;&gt;"",B114&lt;&gt;""),IF(R114="Sim",P114/2,P114),"")</f>
        <v/>
      </c>
      <c r="U114" s="113"/>
      <c r="V114" s="64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</row>
    <row r="115" spans="1:52" x14ac:dyDescent="0.25">
      <c r="A115" s="62"/>
      <c r="B115" s="62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 t="str">
        <f>IF(OR(A115&lt;&gt;"",B115&lt;&gt;""),(SUM(C115:N115)+O115)/12,"")</f>
        <v/>
      </c>
      <c r="Q115" s="63" t="str">
        <f>IF(OR(A115&lt;&gt;"",B115&lt;&gt;""),SUM(C115:N115)+O115,"")</f>
        <v/>
      </c>
      <c r="R115" s="87"/>
      <c r="S115" s="63" t="str">
        <f>IF(OR(A115&lt;&gt;"",B115&lt;&gt;""),IF(R115="Sim",Q115/2,Q115),"")</f>
        <v/>
      </c>
      <c r="T115" s="63" t="str">
        <f>IF(OR(A115&lt;&gt;"",B115&lt;&gt;""),IF(R115="Sim",P115/2,P115),"")</f>
        <v/>
      </c>
      <c r="U115" s="113"/>
      <c r="V115" s="64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</row>
    <row r="116" spans="1:52" x14ac:dyDescent="0.25">
      <c r="A116" s="62"/>
      <c r="B116" s="62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 t="str">
        <f>IF(OR(A116&lt;&gt;"",B116&lt;&gt;""),(SUM(C116:N116)+O116)/12,"")</f>
        <v/>
      </c>
      <c r="Q116" s="63" t="str">
        <f>IF(OR(A116&lt;&gt;"",B116&lt;&gt;""),SUM(C116:N116)+O116,"")</f>
        <v/>
      </c>
      <c r="R116" s="87"/>
      <c r="S116" s="63" t="str">
        <f>IF(OR(A116&lt;&gt;"",B116&lt;&gt;""),IF(R116="Sim",Q116/2,Q116),"")</f>
        <v/>
      </c>
      <c r="T116" s="63" t="str">
        <f>IF(OR(A116&lt;&gt;"",B116&lt;&gt;""),IF(R116="Sim",P116/2,P116),"")</f>
        <v/>
      </c>
      <c r="U116" s="113"/>
      <c r="V116" s="64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</row>
    <row r="117" spans="1:52" x14ac:dyDescent="0.25">
      <c r="A117" s="62"/>
      <c r="B117" s="62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 t="str">
        <f>IF(OR(A117&lt;&gt;"",B117&lt;&gt;""),(SUM(C117:N117)+O117)/12,"")</f>
        <v/>
      </c>
      <c r="Q117" s="63" t="str">
        <f>IF(OR(A117&lt;&gt;"",B117&lt;&gt;""),SUM(C117:N117)+O117,"")</f>
        <v/>
      </c>
      <c r="R117" s="87"/>
      <c r="S117" s="63" t="str">
        <f>IF(OR(A117&lt;&gt;"",B117&lt;&gt;""),IF(R117="Sim",Q117/2,Q117),"")</f>
        <v/>
      </c>
      <c r="T117" s="63" t="str">
        <f>IF(OR(A117&lt;&gt;"",B117&lt;&gt;""),IF(R117="Sim",P117/2,P117),"")</f>
        <v/>
      </c>
      <c r="U117" s="113"/>
      <c r="V117" s="64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</row>
    <row r="118" spans="1:52" x14ac:dyDescent="0.25">
      <c r="A118" s="62"/>
      <c r="B118" s="62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 t="str">
        <f>IF(OR(A118&lt;&gt;"",B118&lt;&gt;""),(SUM(C118:N118)+O118)/12,"")</f>
        <v/>
      </c>
      <c r="Q118" s="63" t="str">
        <f>IF(OR(A118&lt;&gt;"",B118&lt;&gt;""),SUM(C118:N118)+O118,"")</f>
        <v/>
      </c>
      <c r="R118" s="87"/>
      <c r="S118" s="63" t="str">
        <f>IF(OR(A118&lt;&gt;"",B118&lt;&gt;""),IF(R118="Sim",Q118/2,Q118),"")</f>
        <v/>
      </c>
      <c r="T118" s="63" t="str">
        <f>IF(OR(A118&lt;&gt;"",B118&lt;&gt;""),IF(R118="Sim",P118/2,P118),"")</f>
        <v/>
      </c>
      <c r="U118" s="113"/>
      <c r="V118" s="64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</row>
    <row r="119" spans="1:52" x14ac:dyDescent="0.25">
      <c r="A119" s="62"/>
      <c r="B119" s="62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 t="str">
        <f>IF(OR(A119&lt;&gt;"",B119&lt;&gt;""),(SUM(C119:N119)+O119)/12,"")</f>
        <v/>
      </c>
      <c r="Q119" s="63" t="str">
        <f>IF(OR(A119&lt;&gt;"",B119&lt;&gt;""),SUM(C119:N119)+O119,"")</f>
        <v/>
      </c>
      <c r="R119" s="87"/>
      <c r="S119" s="63" t="str">
        <f>IF(OR(A119&lt;&gt;"",B119&lt;&gt;""),IF(R119="Sim",Q119/2,Q119),"")</f>
        <v/>
      </c>
      <c r="T119" s="63" t="str">
        <f>IF(OR(A119&lt;&gt;"",B119&lt;&gt;""),IF(R119="Sim",P119/2,P119),"")</f>
        <v/>
      </c>
      <c r="U119" s="113"/>
      <c r="V119" s="64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</row>
    <row r="120" spans="1:52" x14ac:dyDescent="0.25">
      <c r="A120" s="62"/>
      <c r="B120" s="62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 t="str">
        <f>IF(OR(A120&lt;&gt;"",B120&lt;&gt;""),(SUM(C120:N120)+O120)/12,"")</f>
        <v/>
      </c>
      <c r="Q120" s="63" t="str">
        <f>IF(OR(A120&lt;&gt;"",B120&lt;&gt;""),SUM(C120:N120)+O120,"")</f>
        <v/>
      </c>
      <c r="R120" s="87"/>
      <c r="S120" s="63" t="str">
        <f>IF(OR(A120&lt;&gt;"",B120&lt;&gt;""),IF(R120="Sim",Q120/2,Q120),"")</f>
        <v/>
      </c>
      <c r="T120" s="63" t="str">
        <f>IF(OR(A120&lt;&gt;"",B120&lt;&gt;""),IF(R120="Sim",P120/2,P120),"")</f>
        <v/>
      </c>
      <c r="U120" s="113"/>
      <c r="V120" s="64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</row>
    <row r="121" spans="1:52" x14ac:dyDescent="0.25">
      <c r="A121" s="62"/>
      <c r="B121" s="62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4"/>
      <c r="S121" s="63"/>
      <c r="T121" s="63"/>
      <c r="U121" s="64"/>
      <c r="V121" s="64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</row>
    <row r="122" spans="1:52" x14ac:dyDescent="0.25">
      <c r="A122" s="70"/>
      <c r="B122" s="70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>
        <f>SUM(P5:P120)</f>
        <v>0</v>
      </c>
      <c r="Q122" s="71">
        <f>SUM(Q5:Q120)</f>
        <v>0</v>
      </c>
      <c r="R122" s="72"/>
      <c r="S122" s="71">
        <f>SUM(S5:S120)</f>
        <v>0</v>
      </c>
      <c r="T122" s="71">
        <f>SUM(T5:T120)</f>
        <v>0</v>
      </c>
      <c r="U122" s="72"/>
      <c r="V122" s="72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</row>
    <row r="123" spans="1:52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</row>
    <row r="124" spans="1:52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</row>
    <row r="125" spans="1:52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</row>
    <row r="126" spans="1:52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</row>
    <row r="127" spans="1:52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</row>
    <row r="128" spans="1:52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</row>
    <row r="129" spans="1:52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</row>
    <row r="130" spans="1:52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</row>
    <row r="131" spans="1:52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</row>
    <row r="132" spans="1:52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</row>
    <row r="133" spans="1:52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</row>
    <row r="134" spans="1:52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</row>
    <row r="135" spans="1:52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</row>
    <row r="136" spans="1:52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</row>
    <row r="137" spans="1:52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</row>
    <row r="138" spans="1:52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</row>
    <row r="139" spans="1:52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</row>
    <row r="140" spans="1:52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</row>
    <row r="141" spans="1:52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</row>
    <row r="142" spans="1:52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</row>
    <row r="143" spans="1:52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</row>
    <row r="144" spans="1:52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</row>
    <row r="145" spans="1:52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</row>
    <row r="146" spans="1:52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</row>
    <row r="147" spans="1:52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</row>
    <row r="148" spans="1:52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</row>
    <row r="149" spans="1:52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</row>
    <row r="150" spans="1:52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</row>
    <row r="151" spans="1:52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</row>
    <row r="152" spans="1:52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</row>
    <row r="153" spans="1:52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</row>
    <row r="154" spans="1:52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</row>
    <row r="155" spans="1:52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</row>
    <row r="156" spans="1:52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</row>
    <row r="157" spans="1:52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</row>
    <row r="158" spans="1:52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</row>
    <row r="159" spans="1:52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</row>
    <row r="160" spans="1:52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</row>
    <row r="161" spans="1:52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</row>
    <row r="162" spans="1:52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</row>
    <row r="163" spans="1:52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</row>
    <row r="164" spans="1:52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</row>
    <row r="165" spans="1:52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</row>
    <row r="166" spans="1:52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</row>
    <row r="167" spans="1:52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</row>
    <row r="168" spans="1:52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</row>
    <row r="169" spans="1:52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</row>
    <row r="170" spans="1:52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</row>
    <row r="171" spans="1:52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</row>
    <row r="172" spans="1:52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</row>
    <row r="173" spans="1:52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</row>
    <row r="174" spans="1:52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</row>
    <row r="175" spans="1:52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</row>
    <row r="176" spans="1:52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</row>
    <row r="177" spans="1:52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</row>
    <row r="178" spans="1:52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</row>
    <row r="179" spans="1:52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</row>
    <row r="180" spans="1:52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</row>
    <row r="181" spans="1:52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</row>
    <row r="182" spans="1:52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</row>
    <row r="183" spans="1:52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</row>
    <row r="184" spans="1:52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</row>
    <row r="185" spans="1:52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</row>
    <row r="186" spans="1:52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</row>
    <row r="187" spans="1:52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</row>
    <row r="188" spans="1:52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</row>
    <row r="189" spans="1:52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</row>
    <row r="190" spans="1:52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</row>
    <row r="191" spans="1:52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</row>
    <row r="192" spans="1:52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</row>
    <row r="193" spans="1:52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</row>
    <row r="194" spans="1:52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</row>
    <row r="195" spans="1:52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</row>
    <row r="196" spans="1:52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</row>
    <row r="197" spans="1:52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</row>
    <row r="198" spans="1:52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</row>
    <row r="199" spans="1:52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</row>
    <row r="200" spans="1:52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</row>
    <row r="201" spans="1:52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</row>
    <row r="202" spans="1:52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</row>
    <row r="203" spans="1:52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</row>
    <row r="204" spans="1:52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</row>
    <row r="205" spans="1:52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</row>
    <row r="206" spans="1:52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</row>
    <row r="207" spans="1:52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</row>
    <row r="208" spans="1:52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</row>
    <row r="209" spans="1:52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</row>
    <row r="210" spans="1:52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</row>
    <row r="211" spans="1:52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</row>
    <row r="212" spans="1:52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</row>
    <row r="213" spans="1:52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</row>
    <row r="214" spans="1:52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</row>
    <row r="215" spans="1:52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</row>
    <row r="216" spans="1:52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</row>
    <row r="217" spans="1:52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</row>
    <row r="218" spans="1:52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</row>
    <row r="219" spans="1:52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</row>
    <row r="220" spans="1:52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</row>
  </sheetData>
  <sheetProtection sort="0" autoFilter="0" pivotTables="0"/>
  <conditionalFormatting sqref="U5:U120">
    <cfRule type="cellIs" dxfId="2" priority="1" stopIfTrue="1" operator="equal">
      <formula>"Anexado"</formula>
    </cfRule>
    <cfRule type="cellIs" dxfId="1" priority="2" stopIfTrue="1" operator="equal">
      <formula>"Pendente"</formula>
    </cfRule>
    <cfRule type="cellIs" dxfId="0" priority="3" stopIfTrue="1" operator="equal">
      <formula>"Ausente"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rgb="FF7DD3FC"/>
  </sheetPr>
  <dimension ref="A1:AZ220"/>
  <sheetViews>
    <sheetView showGridLines="0" zoomScaleNormal="100" workbookViewId="0">
      <pane ySplit="3" topLeftCell="A4" activePane="bottomLeft" state="frozen"/>
      <selection pane="bottomLeft" activeCell="A3" sqref="A3"/>
    </sheetView>
  </sheetViews>
  <sheetFormatPr defaultColWidth="9.140625" defaultRowHeight="14.25" x14ac:dyDescent="0.25"/>
  <cols>
    <col min="1" max="1" width="44.42578125" style="3" bestFit="1" customWidth="1"/>
    <col min="2" max="2" width="9.42578125" style="2" bestFit="1" customWidth="1"/>
    <col min="3" max="3" width="25.28515625" style="2" bestFit="1" customWidth="1"/>
    <col min="4" max="4" width="12.42578125" style="4" bestFit="1" customWidth="1"/>
    <col min="5" max="5" width="12" style="172" bestFit="1" customWidth="1"/>
    <col min="6" max="6" width="8.42578125" style="2" bestFit="1" customWidth="1"/>
    <col min="7" max="7" width="13.85546875" style="2" bestFit="1" customWidth="1"/>
    <col min="8" max="8" width="21.7109375" style="2" bestFit="1" customWidth="1"/>
    <col min="9" max="9" width="5.42578125" style="2" hidden="1" customWidth="1"/>
    <col min="10" max="52" width="9.140625" style="86" customWidth="1"/>
    <col min="53" max="16384" width="9.140625" style="86"/>
  </cols>
  <sheetData>
    <row r="1" spans="1:52" ht="24" customHeight="1" x14ac:dyDescent="0.25">
      <c r="A1" s="13" t="s">
        <v>68</v>
      </c>
      <c r="B1" s="12"/>
      <c r="C1" s="12"/>
      <c r="D1" s="14"/>
      <c r="E1" s="169"/>
      <c r="F1" s="12"/>
      <c r="G1" s="12"/>
      <c r="H1" s="12"/>
      <c r="I1" s="12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</row>
    <row r="2" spans="1:52" x14ac:dyDescent="0.25">
      <c r="A2" s="13"/>
      <c r="B2" s="12"/>
      <c r="C2" s="12"/>
      <c r="D2" s="14"/>
      <c r="E2" s="169"/>
      <c r="F2" s="12"/>
      <c r="G2" s="12"/>
      <c r="H2" s="12"/>
      <c r="I2" s="12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</row>
    <row r="3" spans="1:52" x14ac:dyDescent="0.25">
      <c r="A3" s="8" t="s">
        <v>69</v>
      </c>
      <c r="B3" s="6" t="s">
        <v>1</v>
      </c>
      <c r="C3" s="6" t="s">
        <v>70</v>
      </c>
      <c r="D3" s="9" t="s">
        <v>71</v>
      </c>
      <c r="E3" s="170" t="s">
        <v>72</v>
      </c>
      <c r="F3" s="6" t="s">
        <v>73</v>
      </c>
      <c r="G3" s="6" t="s">
        <v>74</v>
      </c>
      <c r="H3" s="6" t="s">
        <v>75</v>
      </c>
      <c r="I3" s="7" t="s">
        <v>76</v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</row>
    <row r="4" spans="1:52" ht="15" x14ac:dyDescent="0.25">
      <c r="A4" s="13"/>
      <c r="B4" s="12"/>
      <c r="C4" s="85"/>
      <c r="D4" s="14"/>
      <c r="E4" s="169"/>
      <c r="F4" s="12"/>
      <c r="G4"/>
      <c r="H4" s="12"/>
      <c r="I4" s="12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</row>
    <row r="5" spans="1:52" ht="15" x14ac:dyDescent="0.25">
      <c r="A5" s="13"/>
      <c r="B5" s="12"/>
      <c r="C5" s="85"/>
      <c r="D5" s="14"/>
      <c r="E5" s="169"/>
      <c r="F5" s="12"/>
      <c r="G5"/>
      <c r="H5" s="12"/>
      <c r="I5" s="12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</row>
    <row r="6" spans="1:52" ht="15" hidden="1" x14ac:dyDescent="0.25">
      <c r="A6" s="13"/>
      <c r="B6" s="12"/>
      <c r="C6" s="85"/>
      <c r="D6" s="14"/>
      <c r="E6" s="169"/>
      <c r="F6" s="12"/>
      <c r="G6"/>
      <c r="H6" s="12"/>
      <c r="I6" s="89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</row>
    <row r="7" spans="1:52" ht="15" x14ac:dyDescent="0.25">
      <c r="A7" s="13"/>
      <c r="B7" s="12"/>
      <c r="C7" s="85"/>
      <c r="D7" s="14"/>
      <c r="E7" s="169"/>
      <c r="F7" s="12"/>
      <c r="G7"/>
      <c r="H7" s="12"/>
      <c r="I7" s="12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</row>
    <row r="8" spans="1:52" ht="15" x14ac:dyDescent="0.25">
      <c r="A8" s="13"/>
      <c r="B8" s="12"/>
      <c r="C8" s="85"/>
      <c r="D8" s="14"/>
      <c r="E8" s="169"/>
      <c r="F8" s="12"/>
      <c r="G8"/>
      <c r="H8" s="12"/>
      <c r="I8" s="89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</row>
    <row r="9" spans="1:52" ht="15" hidden="1" x14ac:dyDescent="0.25">
      <c r="A9" s="13"/>
      <c r="B9" s="12"/>
      <c r="C9" s="85"/>
      <c r="D9" s="14"/>
      <c r="E9" s="169"/>
      <c r="F9" s="12"/>
      <c r="G9"/>
      <c r="H9" s="12"/>
      <c r="I9" s="12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</row>
    <row r="10" spans="1:52" ht="15" x14ac:dyDescent="0.25">
      <c r="A10" s="13"/>
      <c r="B10" s="12"/>
      <c r="C10" s="85"/>
      <c r="D10" s="14"/>
      <c r="E10" s="169"/>
      <c r="F10" s="12"/>
      <c r="G10"/>
      <c r="H10" s="12"/>
      <c r="I10" s="12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</row>
    <row r="11" spans="1:52" ht="15" x14ac:dyDescent="0.25">
      <c r="A11" s="13"/>
      <c r="B11" s="12"/>
      <c r="C11" s="85"/>
      <c r="D11" s="14"/>
      <c r="E11" s="169"/>
      <c r="F11" s="12"/>
      <c r="G11"/>
      <c r="H11" s="12"/>
      <c r="I11" s="12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</row>
    <row r="12" spans="1:52" ht="15" x14ac:dyDescent="0.25">
      <c r="A12" s="13"/>
      <c r="B12" s="12"/>
      <c r="C12" s="85"/>
      <c r="D12" s="14"/>
      <c r="E12" s="169"/>
      <c r="F12" s="12"/>
      <c r="G12"/>
      <c r="H12" s="12"/>
      <c r="I12" s="12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</row>
    <row r="13" spans="1:52" ht="15" x14ac:dyDescent="0.25">
      <c r="A13" s="13"/>
      <c r="B13" s="12"/>
      <c r="C13" s="85"/>
      <c r="D13" s="14"/>
      <c r="E13" s="169"/>
      <c r="F13" s="12"/>
      <c r="G13"/>
      <c r="H13" s="12"/>
      <c r="I13" s="12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</row>
    <row r="14" spans="1:52" ht="15" hidden="1" x14ac:dyDescent="0.25">
      <c r="A14" s="13"/>
      <c r="B14" s="12"/>
      <c r="C14" s="85"/>
      <c r="D14" s="14"/>
      <c r="E14" s="169"/>
      <c r="F14" s="12"/>
      <c r="G14"/>
      <c r="H14" s="12"/>
      <c r="I14" s="12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</row>
    <row r="15" spans="1:52" ht="15" x14ac:dyDescent="0.25">
      <c r="A15" s="13"/>
      <c r="B15" s="12"/>
      <c r="C15" s="85"/>
      <c r="D15" s="14"/>
      <c r="E15" s="169"/>
      <c r="F15" s="12"/>
      <c r="G15"/>
      <c r="H15" s="12"/>
      <c r="I15" s="12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</row>
    <row r="16" spans="1:52" ht="15" x14ac:dyDescent="0.25">
      <c r="A16" s="13"/>
      <c r="B16" s="12"/>
      <c r="C16" s="85"/>
      <c r="D16" s="14"/>
      <c r="E16" s="169"/>
      <c r="F16" s="12"/>
      <c r="G16"/>
      <c r="H16" s="12"/>
      <c r="I16" s="89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</row>
    <row r="17" spans="1:52" ht="15" x14ac:dyDescent="0.25">
      <c r="A17" s="13"/>
      <c r="B17" s="12"/>
      <c r="C17" s="85"/>
      <c r="D17" s="14"/>
      <c r="E17" s="169"/>
      <c r="F17" s="12"/>
      <c r="G17"/>
      <c r="H17" s="12"/>
      <c r="I17" s="12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</row>
    <row r="18" spans="1:52" ht="15" x14ac:dyDescent="0.25">
      <c r="A18" s="13"/>
      <c r="B18" s="12"/>
      <c r="C18" s="85"/>
      <c r="D18" s="14"/>
      <c r="E18" s="169"/>
      <c r="F18" s="12"/>
      <c r="G18"/>
      <c r="H18" s="12"/>
      <c r="I18" s="12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</row>
    <row r="19" spans="1:52" ht="15" hidden="1" x14ac:dyDescent="0.25">
      <c r="A19" s="13"/>
      <c r="B19" s="12"/>
      <c r="C19" s="85"/>
      <c r="D19" s="14"/>
      <c r="E19" s="169"/>
      <c r="F19" s="12"/>
      <c r="G19"/>
      <c r="H19" s="12"/>
      <c r="I19" s="12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</row>
    <row r="20" spans="1:52" ht="15" hidden="1" x14ac:dyDescent="0.25">
      <c r="A20" s="13"/>
      <c r="B20" s="12"/>
      <c r="C20" s="85"/>
      <c r="D20" s="14"/>
      <c r="E20" s="169"/>
      <c r="F20" s="12"/>
      <c r="G20"/>
      <c r="H20" s="12"/>
      <c r="I20" s="12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</row>
    <row r="21" spans="1:52" ht="15" x14ac:dyDescent="0.25">
      <c r="A21" s="13"/>
      <c r="B21" s="12"/>
      <c r="C21" s="85"/>
      <c r="D21" s="14"/>
      <c r="E21" s="169"/>
      <c r="F21" s="12"/>
      <c r="G21"/>
      <c r="H21" s="12"/>
      <c r="I21" s="12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</row>
    <row r="22" spans="1:52" ht="15" hidden="1" x14ac:dyDescent="0.25">
      <c r="A22" s="13"/>
      <c r="B22" s="12"/>
      <c r="C22" s="85"/>
      <c r="D22" s="14"/>
      <c r="E22" s="169"/>
      <c r="F22" s="12"/>
      <c r="G22"/>
      <c r="H22" s="12"/>
      <c r="I22" s="12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</row>
    <row r="23" spans="1:52" ht="15" x14ac:dyDescent="0.25">
      <c r="A23" s="13"/>
      <c r="B23" s="12"/>
      <c r="C23" s="85"/>
      <c r="D23" s="14"/>
      <c r="E23" s="169"/>
      <c r="F23" s="12"/>
      <c r="G23"/>
      <c r="H23" s="12"/>
      <c r="I23" s="12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</row>
    <row r="24" spans="1:52" ht="15" hidden="1" x14ac:dyDescent="0.25">
      <c r="A24" s="13"/>
      <c r="B24" s="12"/>
      <c r="C24" s="85"/>
      <c r="D24" s="14"/>
      <c r="E24" s="169"/>
      <c r="F24" s="12"/>
      <c r="G24"/>
      <c r="H24" s="12"/>
      <c r="I24" s="12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</row>
    <row r="25" spans="1:52" ht="15" hidden="1" x14ac:dyDescent="0.25">
      <c r="A25" s="13"/>
      <c r="B25" s="12"/>
      <c r="C25" s="85"/>
      <c r="D25" s="14"/>
      <c r="E25" s="169"/>
      <c r="F25" s="12"/>
      <c r="G25"/>
      <c r="H25" s="12"/>
      <c r="I25" s="12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</row>
    <row r="26" spans="1:52" ht="15" hidden="1" x14ac:dyDescent="0.25">
      <c r="A26" s="13"/>
      <c r="B26" s="12"/>
      <c r="C26" s="85"/>
      <c r="D26" s="14"/>
      <c r="E26" s="169"/>
      <c r="F26" s="12"/>
      <c r="G26"/>
      <c r="H26" s="12"/>
      <c r="I26" s="12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</row>
    <row r="27" spans="1:52" ht="15" x14ac:dyDescent="0.25">
      <c r="A27" s="13"/>
      <c r="B27" s="12"/>
      <c r="C27" s="85"/>
      <c r="D27" s="14"/>
      <c r="E27" s="169"/>
      <c r="F27" s="12"/>
      <c r="G27"/>
      <c r="H27" s="12"/>
      <c r="I27" s="12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</row>
    <row r="28" spans="1:52" ht="15" x14ac:dyDescent="0.25">
      <c r="A28" s="13"/>
      <c r="B28" s="12"/>
      <c r="C28" s="85"/>
      <c r="D28" s="14"/>
      <c r="E28" s="169"/>
      <c r="F28" s="12"/>
      <c r="G28"/>
      <c r="H28" s="12"/>
      <c r="I28" s="12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</row>
    <row r="29" spans="1:52" ht="15" hidden="1" x14ac:dyDescent="0.25">
      <c r="A29" s="13"/>
      <c r="B29" s="12"/>
      <c r="C29" s="85"/>
      <c r="D29" s="14"/>
      <c r="E29" s="169"/>
      <c r="F29" s="12"/>
      <c r="G29"/>
      <c r="H29" s="12"/>
      <c r="I29" s="12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</row>
    <row r="30" spans="1:52" ht="15" x14ac:dyDescent="0.25">
      <c r="A30" s="13"/>
      <c r="B30" s="12"/>
      <c r="C30" s="85"/>
      <c r="D30" s="14"/>
      <c r="E30" s="169"/>
      <c r="F30" s="12"/>
      <c r="G30"/>
      <c r="H30" s="12"/>
      <c r="I30" s="12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</row>
    <row r="31" spans="1:52" ht="15" hidden="1" x14ac:dyDescent="0.25">
      <c r="A31" s="13"/>
      <c r="B31" s="12"/>
      <c r="C31" s="85"/>
      <c r="D31" s="14"/>
      <c r="E31" s="169"/>
      <c r="F31" s="12"/>
      <c r="G31"/>
      <c r="H31" s="12"/>
      <c r="I31" s="12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</row>
    <row r="32" spans="1:52" ht="15" hidden="1" x14ac:dyDescent="0.25">
      <c r="A32" s="13"/>
      <c r="B32" s="12"/>
      <c r="C32" s="85"/>
      <c r="D32" s="14"/>
      <c r="E32" s="169"/>
      <c r="F32" s="12"/>
      <c r="G32"/>
      <c r="H32" s="12"/>
      <c r="I32" s="12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</row>
    <row r="33" spans="1:52" ht="15" hidden="1" x14ac:dyDescent="0.25">
      <c r="A33" s="13"/>
      <c r="B33" s="12"/>
      <c r="C33" s="85"/>
      <c r="D33" s="14"/>
      <c r="E33" s="169"/>
      <c r="F33" s="12"/>
      <c r="G33"/>
      <c r="H33" s="12"/>
      <c r="I33" s="12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85"/>
      <c r="AN33" s="85"/>
      <c r="AO33" s="85"/>
      <c r="AP33" s="85"/>
      <c r="AQ33" s="85"/>
      <c r="AR33" s="85"/>
      <c r="AS33" s="85"/>
      <c r="AT33" s="85"/>
      <c r="AU33" s="85"/>
      <c r="AV33" s="85"/>
      <c r="AW33" s="85"/>
      <c r="AX33" s="85"/>
      <c r="AY33" s="85"/>
      <c r="AZ33" s="85"/>
    </row>
    <row r="34" spans="1:52" ht="15" x14ac:dyDescent="0.25">
      <c r="A34" s="13"/>
      <c r="B34" s="12"/>
      <c r="C34" s="85"/>
      <c r="D34" s="14"/>
      <c r="E34" s="169"/>
      <c r="F34" s="12"/>
      <c r="G34"/>
      <c r="H34" s="12"/>
      <c r="I34" s="12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</row>
    <row r="35" spans="1:52" ht="15" x14ac:dyDescent="0.25">
      <c r="A35" s="13"/>
      <c r="B35" s="12"/>
      <c r="C35" s="85"/>
      <c r="D35" s="14"/>
      <c r="E35" s="169"/>
      <c r="F35" s="12"/>
      <c r="G35"/>
      <c r="H35" s="12"/>
      <c r="I35" s="12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AZ35" s="85"/>
    </row>
    <row r="36" spans="1:52" ht="15" hidden="1" x14ac:dyDescent="0.25">
      <c r="A36" s="13"/>
      <c r="B36" s="12"/>
      <c r="C36" s="85"/>
      <c r="D36" s="14"/>
      <c r="E36" s="169"/>
      <c r="F36" s="12"/>
      <c r="G36"/>
      <c r="H36" s="12"/>
      <c r="I36" s="12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</row>
    <row r="37" spans="1:52" x14ac:dyDescent="0.25">
      <c r="A37" s="193"/>
      <c r="B37" s="194"/>
      <c r="C37" s="195"/>
      <c r="D37" s="196"/>
      <c r="E37" s="197"/>
      <c r="F37" s="194"/>
      <c r="G37" s="198"/>
      <c r="H37" s="194"/>
      <c r="I37" s="194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AZ37" s="85"/>
    </row>
    <row r="38" spans="1:52" x14ac:dyDescent="0.25">
      <c r="A38" s="13"/>
      <c r="B38" s="12"/>
      <c r="C38" s="85"/>
      <c r="D38" s="14"/>
      <c r="E38" s="169"/>
      <c r="F38" s="12"/>
      <c r="G38" s="120"/>
      <c r="H38" s="12"/>
      <c r="I38" s="12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</row>
    <row r="39" spans="1:52" x14ac:dyDescent="0.25">
      <c r="A39" s="13"/>
      <c r="B39" s="12"/>
      <c r="C39" s="85"/>
      <c r="D39" s="14"/>
      <c r="E39" s="169"/>
      <c r="F39" s="12"/>
      <c r="G39" s="120"/>
      <c r="H39" s="12"/>
      <c r="I39" s="12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5"/>
      <c r="AY39" s="85"/>
      <c r="AZ39" s="85"/>
    </row>
    <row r="40" spans="1:52" x14ac:dyDescent="0.25">
      <c r="A40" s="13"/>
      <c r="B40" s="12"/>
      <c r="C40" s="85"/>
      <c r="D40" s="14"/>
      <c r="E40" s="169"/>
      <c r="F40" s="12"/>
      <c r="G40" s="120"/>
      <c r="H40" s="12"/>
      <c r="I40" s="12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85"/>
      <c r="AU40" s="85"/>
      <c r="AV40" s="85"/>
      <c r="AW40" s="85"/>
      <c r="AX40" s="85"/>
      <c r="AY40" s="85"/>
      <c r="AZ40" s="85"/>
    </row>
    <row r="41" spans="1:52" x14ac:dyDescent="0.25">
      <c r="A41" s="13"/>
      <c r="B41" s="12"/>
      <c r="C41" s="85"/>
      <c r="D41" s="14"/>
      <c r="E41" s="169"/>
      <c r="F41" s="12"/>
      <c r="G41" s="120"/>
      <c r="H41" s="12"/>
      <c r="I41" s="12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</row>
    <row r="42" spans="1:52" x14ac:dyDescent="0.25">
      <c r="A42" s="13"/>
      <c r="B42" s="12"/>
      <c r="C42" s="85"/>
      <c r="D42" s="14"/>
      <c r="E42" s="169"/>
      <c r="F42" s="12"/>
      <c r="G42" s="120"/>
      <c r="H42" s="12"/>
      <c r="I42" s="12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  <c r="AY42" s="85"/>
      <c r="AZ42" s="85"/>
    </row>
    <row r="43" spans="1:52" x14ac:dyDescent="0.25">
      <c r="A43" s="13"/>
      <c r="B43" s="12"/>
      <c r="C43" s="85"/>
      <c r="D43" s="14"/>
      <c r="E43" s="169"/>
      <c r="F43" s="12"/>
      <c r="G43" s="120"/>
      <c r="H43" s="12"/>
      <c r="I43" s="12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  <c r="AT43" s="85"/>
      <c r="AU43" s="85"/>
      <c r="AV43" s="85"/>
      <c r="AW43" s="85"/>
      <c r="AX43" s="85"/>
      <c r="AY43" s="85"/>
      <c r="AZ43" s="85"/>
    </row>
    <row r="44" spans="1:52" x14ac:dyDescent="0.25">
      <c r="A44" s="13"/>
      <c r="B44" s="12"/>
      <c r="C44" s="85"/>
      <c r="D44" s="14"/>
      <c r="E44" s="169"/>
      <c r="F44" s="12"/>
      <c r="G44" s="120"/>
      <c r="H44" s="12"/>
      <c r="I44" s="12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85"/>
      <c r="AN44" s="85"/>
      <c r="AO44" s="85"/>
      <c r="AP44" s="85"/>
      <c r="AQ44" s="85"/>
      <c r="AR44" s="85"/>
      <c r="AS44" s="85"/>
      <c r="AT44" s="85"/>
      <c r="AU44" s="85"/>
      <c r="AV44" s="85"/>
      <c r="AW44" s="85"/>
      <c r="AX44" s="85"/>
      <c r="AY44" s="85"/>
      <c r="AZ44" s="85"/>
    </row>
    <row r="45" spans="1:52" x14ac:dyDescent="0.25">
      <c r="A45" s="13"/>
      <c r="B45" s="12"/>
      <c r="C45" s="85"/>
      <c r="D45" s="14"/>
      <c r="E45" s="169"/>
      <c r="F45" s="12"/>
      <c r="G45" s="120"/>
      <c r="H45" s="12"/>
      <c r="I45" s="89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  <c r="AU45" s="85"/>
      <c r="AV45" s="85"/>
      <c r="AW45" s="85"/>
      <c r="AX45" s="85"/>
      <c r="AY45" s="85"/>
      <c r="AZ45" s="85"/>
    </row>
    <row r="46" spans="1:52" x14ac:dyDescent="0.25">
      <c r="A46" s="13"/>
      <c r="B46" s="12"/>
      <c r="C46" s="85"/>
      <c r="D46" s="14"/>
      <c r="E46" s="169"/>
      <c r="F46" s="12"/>
      <c r="G46" s="120"/>
      <c r="H46" s="12"/>
      <c r="I46" s="12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  <c r="AU46" s="85"/>
      <c r="AV46" s="85"/>
      <c r="AW46" s="85"/>
      <c r="AX46" s="85"/>
      <c r="AY46" s="85"/>
      <c r="AZ46" s="85"/>
    </row>
    <row r="47" spans="1:52" x14ac:dyDescent="0.25">
      <c r="A47" s="13"/>
      <c r="B47" s="12"/>
      <c r="C47" s="85"/>
      <c r="D47" s="14"/>
      <c r="E47" s="169"/>
      <c r="F47" s="12"/>
      <c r="G47" s="120"/>
      <c r="H47" s="12"/>
      <c r="I47" s="12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85"/>
      <c r="AN47" s="85"/>
      <c r="AO47" s="85"/>
      <c r="AP47" s="85"/>
      <c r="AQ47" s="85"/>
      <c r="AR47" s="85"/>
      <c r="AS47" s="85"/>
      <c r="AT47" s="85"/>
      <c r="AU47" s="85"/>
      <c r="AV47" s="85"/>
      <c r="AW47" s="85"/>
      <c r="AX47" s="85"/>
      <c r="AY47" s="85"/>
      <c r="AZ47" s="85"/>
    </row>
    <row r="48" spans="1:52" x14ac:dyDescent="0.25">
      <c r="A48" s="13"/>
      <c r="B48" s="12"/>
      <c r="C48" s="85"/>
      <c r="D48" s="14"/>
      <c r="E48" s="169"/>
      <c r="F48" s="12"/>
      <c r="G48" s="120"/>
      <c r="H48" s="12"/>
      <c r="I48" s="12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85"/>
      <c r="AN48" s="85"/>
      <c r="AO48" s="85"/>
      <c r="AP48" s="85"/>
      <c r="AQ48" s="85"/>
      <c r="AR48" s="85"/>
      <c r="AS48" s="85"/>
      <c r="AT48" s="85"/>
      <c r="AU48" s="85"/>
      <c r="AV48" s="85"/>
      <c r="AW48" s="85"/>
      <c r="AX48" s="85"/>
      <c r="AY48" s="85"/>
      <c r="AZ48" s="85"/>
    </row>
    <row r="49" spans="1:52" x14ac:dyDescent="0.25">
      <c r="A49" s="13"/>
      <c r="B49" s="12"/>
      <c r="C49" s="85"/>
      <c r="D49" s="14"/>
      <c r="E49" s="169"/>
      <c r="F49" s="12"/>
      <c r="G49" s="120"/>
      <c r="H49" s="12"/>
      <c r="I49" s="12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  <c r="AU49" s="85"/>
      <c r="AV49" s="85"/>
      <c r="AW49" s="85"/>
      <c r="AX49" s="85"/>
      <c r="AY49" s="85"/>
      <c r="AZ49" s="85"/>
    </row>
    <row r="50" spans="1:52" x14ac:dyDescent="0.25">
      <c r="A50" s="13"/>
      <c r="B50" s="12"/>
      <c r="C50" s="85"/>
      <c r="D50" s="14"/>
      <c r="E50" s="169"/>
      <c r="F50" s="12"/>
      <c r="G50" s="120"/>
      <c r="H50" s="12"/>
      <c r="I50" s="12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  <c r="AT50" s="85"/>
      <c r="AU50" s="85"/>
      <c r="AV50" s="85"/>
      <c r="AW50" s="85"/>
      <c r="AX50" s="85"/>
      <c r="AY50" s="85"/>
      <c r="AZ50" s="85"/>
    </row>
    <row r="51" spans="1:52" x14ac:dyDescent="0.25">
      <c r="A51" s="13"/>
      <c r="B51" s="12"/>
      <c r="C51" s="85"/>
      <c r="D51" s="14"/>
      <c r="E51" s="169"/>
      <c r="F51" s="12"/>
      <c r="G51" s="120"/>
      <c r="H51" s="12"/>
      <c r="I51" s="12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  <c r="AU51" s="85"/>
      <c r="AV51" s="85"/>
      <c r="AW51" s="85"/>
      <c r="AX51" s="85"/>
      <c r="AY51" s="85"/>
      <c r="AZ51" s="85"/>
    </row>
    <row r="52" spans="1:52" x14ac:dyDescent="0.25">
      <c r="A52" s="13"/>
      <c r="B52" s="12"/>
      <c r="C52" s="85"/>
      <c r="D52" s="14"/>
      <c r="E52" s="169"/>
      <c r="F52" s="12"/>
      <c r="G52" s="120"/>
      <c r="H52" s="12"/>
      <c r="I52" s="12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  <c r="AT52" s="85"/>
      <c r="AU52" s="85"/>
      <c r="AV52" s="85"/>
      <c r="AW52" s="85"/>
      <c r="AX52" s="85"/>
      <c r="AY52" s="85"/>
      <c r="AZ52" s="85"/>
    </row>
    <row r="53" spans="1:52" x14ac:dyDescent="0.25">
      <c r="A53" s="13"/>
      <c r="B53" s="12"/>
      <c r="C53" s="85"/>
      <c r="D53" s="14"/>
      <c r="E53" s="169"/>
      <c r="F53" s="12"/>
      <c r="G53" s="120"/>
      <c r="H53" s="12"/>
      <c r="I53" s="12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  <c r="AT53" s="85"/>
      <c r="AU53" s="85"/>
      <c r="AV53" s="85"/>
      <c r="AW53" s="85"/>
      <c r="AX53" s="85"/>
      <c r="AY53" s="85"/>
      <c r="AZ53" s="85"/>
    </row>
    <row r="54" spans="1:52" x14ac:dyDescent="0.25">
      <c r="A54" s="13"/>
      <c r="B54" s="12"/>
      <c r="C54" s="85"/>
      <c r="D54" s="14"/>
      <c r="E54" s="169"/>
      <c r="F54" s="12"/>
      <c r="G54" s="120"/>
      <c r="H54" s="12"/>
      <c r="I54" s="12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85"/>
      <c r="AN54" s="85"/>
      <c r="AO54" s="85"/>
      <c r="AP54" s="85"/>
      <c r="AQ54" s="85"/>
      <c r="AR54" s="85"/>
      <c r="AS54" s="85"/>
      <c r="AT54" s="85"/>
      <c r="AU54" s="85"/>
      <c r="AV54" s="85"/>
      <c r="AW54" s="85"/>
      <c r="AX54" s="85"/>
      <c r="AY54" s="85"/>
      <c r="AZ54" s="85"/>
    </row>
    <row r="55" spans="1:52" x14ac:dyDescent="0.25">
      <c r="A55" s="13"/>
      <c r="B55" s="12"/>
      <c r="C55" s="85"/>
      <c r="D55" s="14"/>
      <c r="E55" s="169"/>
      <c r="F55" s="12"/>
      <c r="G55" s="120"/>
      <c r="H55" s="12"/>
      <c r="I55" s="12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85"/>
      <c r="AN55" s="85"/>
      <c r="AO55" s="85"/>
      <c r="AP55" s="85"/>
      <c r="AQ55" s="85"/>
      <c r="AR55" s="85"/>
      <c r="AS55" s="85"/>
      <c r="AT55" s="85"/>
      <c r="AU55" s="85"/>
      <c r="AV55" s="85"/>
      <c r="AW55" s="85"/>
      <c r="AX55" s="85"/>
      <c r="AY55" s="85"/>
      <c r="AZ55" s="85"/>
    </row>
    <row r="56" spans="1:52" x14ac:dyDescent="0.25">
      <c r="A56" s="13"/>
      <c r="B56" s="12"/>
      <c r="C56" s="85"/>
      <c r="D56" s="14"/>
      <c r="E56" s="169"/>
      <c r="F56" s="12"/>
      <c r="G56" s="120"/>
      <c r="H56" s="12"/>
      <c r="I56" s="12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85"/>
      <c r="AN56" s="85"/>
      <c r="AO56" s="85"/>
      <c r="AP56" s="85"/>
      <c r="AQ56" s="85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52" x14ac:dyDescent="0.25">
      <c r="A57" s="13"/>
      <c r="B57" s="12"/>
      <c r="C57" s="85"/>
      <c r="D57" s="14"/>
      <c r="E57" s="169"/>
      <c r="F57" s="12"/>
      <c r="G57" s="120"/>
      <c r="H57" s="12"/>
      <c r="I57" s="12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</row>
    <row r="58" spans="1:52" x14ac:dyDescent="0.25">
      <c r="A58" s="13"/>
      <c r="B58" s="12"/>
      <c r="C58" s="85"/>
      <c r="D58" s="14"/>
      <c r="E58" s="169"/>
      <c r="F58" s="12"/>
      <c r="G58" s="120"/>
      <c r="H58" s="12"/>
      <c r="I58" s="12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85"/>
      <c r="AN58" s="85"/>
      <c r="AO58" s="85"/>
      <c r="AP58" s="85"/>
      <c r="AQ58" s="85"/>
      <c r="AR58" s="85"/>
      <c r="AS58" s="85"/>
      <c r="AT58" s="85"/>
      <c r="AU58" s="85"/>
      <c r="AV58" s="85"/>
      <c r="AW58" s="85"/>
      <c r="AX58" s="85"/>
      <c r="AY58" s="85"/>
      <c r="AZ58" s="85"/>
    </row>
    <row r="59" spans="1:52" x14ac:dyDescent="0.25">
      <c r="A59" s="13"/>
      <c r="B59" s="12"/>
      <c r="C59" s="85"/>
      <c r="D59" s="14"/>
      <c r="E59" s="169"/>
      <c r="F59" s="12"/>
      <c r="G59" s="120"/>
      <c r="H59" s="12"/>
      <c r="I59" s="12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  <c r="AY59" s="85"/>
      <c r="AZ59" s="85"/>
    </row>
    <row r="60" spans="1:52" x14ac:dyDescent="0.25">
      <c r="A60" s="13"/>
      <c r="B60" s="12"/>
      <c r="C60" s="85"/>
      <c r="D60" s="14"/>
      <c r="E60" s="169"/>
      <c r="F60" s="12"/>
      <c r="G60" s="120"/>
      <c r="H60" s="12"/>
      <c r="I60" s="12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  <c r="AY60" s="85"/>
      <c r="AZ60" s="85"/>
    </row>
    <row r="61" spans="1:52" x14ac:dyDescent="0.25">
      <c r="A61" s="13"/>
      <c r="B61" s="12"/>
      <c r="C61" s="85"/>
      <c r="D61" s="14"/>
      <c r="E61" s="169"/>
      <c r="F61" s="12"/>
      <c r="G61" s="120"/>
      <c r="H61" s="12"/>
      <c r="I61" s="12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  <c r="AT61" s="85"/>
      <c r="AU61" s="85"/>
      <c r="AV61" s="85"/>
      <c r="AW61" s="85"/>
      <c r="AX61" s="85"/>
      <c r="AY61" s="85"/>
      <c r="AZ61" s="85"/>
    </row>
    <row r="62" spans="1:52" x14ac:dyDescent="0.25">
      <c r="A62" s="13"/>
      <c r="B62" s="12"/>
      <c r="C62" s="85"/>
      <c r="D62" s="14"/>
      <c r="E62" s="169"/>
      <c r="F62" s="12"/>
      <c r="G62" s="120"/>
      <c r="H62" s="12"/>
      <c r="I62" s="12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5"/>
      <c r="AZ62" s="85"/>
    </row>
    <row r="63" spans="1:52" x14ac:dyDescent="0.25">
      <c r="A63" s="13"/>
      <c r="B63" s="12"/>
      <c r="C63" s="85"/>
      <c r="D63" s="14"/>
      <c r="E63" s="169"/>
      <c r="F63" s="12"/>
      <c r="G63" s="120"/>
      <c r="H63" s="12"/>
      <c r="I63" s="12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5"/>
      <c r="AN63" s="85"/>
      <c r="AO63" s="85"/>
      <c r="AP63" s="85"/>
      <c r="AQ63" s="85"/>
      <c r="AR63" s="85"/>
      <c r="AS63" s="85"/>
      <c r="AT63" s="85"/>
      <c r="AU63" s="85"/>
      <c r="AV63" s="85"/>
      <c r="AW63" s="85"/>
      <c r="AX63" s="85"/>
      <c r="AY63" s="85"/>
      <c r="AZ63" s="85"/>
    </row>
    <row r="64" spans="1:52" x14ac:dyDescent="0.25">
      <c r="A64" s="13"/>
      <c r="B64" s="12"/>
      <c r="C64" s="85"/>
      <c r="D64" s="14"/>
      <c r="E64" s="169"/>
      <c r="F64" s="12"/>
      <c r="G64" s="120"/>
      <c r="H64" s="12"/>
      <c r="I64" s="12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5"/>
      <c r="AN64" s="85"/>
      <c r="AO64" s="85"/>
      <c r="AP64" s="85"/>
      <c r="AQ64" s="85"/>
      <c r="AR64" s="85"/>
      <c r="AS64" s="85"/>
      <c r="AT64" s="85"/>
      <c r="AU64" s="85"/>
      <c r="AV64" s="85"/>
      <c r="AW64" s="85"/>
      <c r="AX64" s="85"/>
      <c r="AY64" s="85"/>
      <c r="AZ64" s="85"/>
    </row>
    <row r="65" spans="1:52" x14ac:dyDescent="0.25">
      <c r="A65" s="13"/>
      <c r="B65" s="12"/>
      <c r="C65" s="85"/>
      <c r="D65" s="14"/>
      <c r="E65" s="169"/>
      <c r="F65" s="12"/>
      <c r="G65" s="120"/>
      <c r="H65" s="12"/>
      <c r="I65" s="12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</row>
    <row r="66" spans="1:52" x14ac:dyDescent="0.25">
      <c r="A66" s="13"/>
      <c r="B66" s="12"/>
      <c r="C66" s="85"/>
      <c r="D66" s="14"/>
      <c r="E66" s="169"/>
      <c r="F66" s="12"/>
      <c r="G66" s="120"/>
      <c r="H66" s="12"/>
      <c r="I66" s="12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  <c r="AT66" s="85"/>
      <c r="AU66" s="85"/>
      <c r="AV66" s="85"/>
      <c r="AW66" s="85"/>
      <c r="AX66" s="85"/>
      <c r="AY66" s="85"/>
      <c r="AZ66" s="85"/>
    </row>
    <row r="67" spans="1:52" x14ac:dyDescent="0.25">
      <c r="A67" s="13"/>
      <c r="B67" s="12"/>
      <c r="C67" s="85"/>
      <c r="D67" s="14"/>
      <c r="E67" s="169"/>
      <c r="F67" s="12"/>
      <c r="G67" s="120"/>
      <c r="H67" s="12"/>
      <c r="I67" s="12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</row>
    <row r="68" spans="1:52" x14ac:dyDescent="0.25">
      <c r="A68" s="13"/>
      <c r="B68" s="12"/>
      <c r="C68" s="85"/>
      <c r="D68" s="14"/>
      <c r="E68" s="169"/>
      <c r="F68" s="12"/>
      <c r="G68" s="120"/>
      <c r="H68" s="12"/>
      <c r="I68" s="12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</row>
    <row r="69" spans="1:52" x14ac:dyDescent="0.25">
      <c r="A69" s="13"/>
      <c r="B69" s="12"/>
      <c r="C69" s="85"/>
      <c r="D69" s="14"/>
      <c r="E69" s="169"/>
      <c r="F69" s="12"/>
      <c r="G69" s="120"/>
      <c r="H69" s="12"/>
      <c r="I69" s="12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  <c r="AY69" s="85"/>
      <c r="AZ69" s="85"/>
    </row>
    <row r="70" spans="1:52" x14ac:dyDescent="0.25">
      <c r="A70" s="13"/>
      <c r="B70" s="12"/>
      <c r="C70" s="85"/>
      <c r="D70" s="14"/>
      <c r="E70" s="169"/>
      <c r="F70" s="12"/>
      <c r="G70" s="120"/>
      <c r="H70" s="12"/>
      <c r="I70" s="12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85"/>
      <c r="AZ70" s="85"/>
    </row>
    <row r="71" spans="1:52" x14ac:dyDescent="0.25">
      <c r="A71" s="13"/>
      <c r="B71" s="12"/>
      <c r="C71" s="85"/>
      <c r="D71" s="14"/>
      <c r="E71" s="169"/>
      <c r="F71" s="12"/>
      <c r="G71" s="120"/>
      <c r="H71" s="12"/>
      <c r="I71" s="12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  <c r="AY71" s="85"/>
      <c r="AZ71" s="85"/>
    </row>
    <row r="72" spans="1:52" x14ac:dyDescent="0.25">
      <c r="A72" s="13"/>
      <c r="B72" s="12"/>
      <c r="C72" s="85"/>
      <c r="D72" s="14"/>
      <c r="E72" s="169"/>
      <c r="F72" s="12"/>
      <c r="G72" s="120"/>
      <c r="H72" s="12"/>
      <c r="I72" s="12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  <c r="AY72" s="85"/>
      <c r="AZ72" s="85"/>
    </row>
    <row r="73" spans="1:52" x14ac:dyDescent="0.25">
      <c r="A73" s="13"/>
      <c r="B73" s="12"/>
      <c r="C73" s="85"/>
      <c r="D73" s="14"/>
      <c r="E73" s="169"/>
      <c r="F73" s="12"/>
      <c r="G73" s="120"/>
      <c r="H73" s="12"/>
      <c r="I73" s="12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85"/>
      <c r="AN73" s="85"/>
      <c r="AO73" s="85"/>
      <c r="AP73" s="85"/>
      <c r="AQ73" s="85"/>
      <c r="AR73" s="85"/>
      <c r="AS73" s="85"/>
      <c r="AT73" s="85"/>
      <c r="AU73" s="85"/>
      <c r="AV73" s="85"/>
      <c r="AW73" s="85"/>
      <c r="AX73" s="85"/>
      <c r="AY73" s="85"/>
      <c r="AZ73" s="85"/>
    </row>
    <row r="74" spans="1:52" x14ac:dyDescent="0.25">
      <c r="A74" s="13"/>
      <c r="B74" s="12"/>
      <c r="C74" s="85"/>
      <c r="D74" s="14"/>
      <c r="E74" s="169"/>
      <c r="F74" s="12"/>
      <c r="G74" s="120"/>
      <c r="H74" s="12"/>
      <c r="I74" s="12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85"/>
      <c r="AN74" s="85"/>
      <c r="AO74" s="85"/>
      <c r="AP74" s="85"/>
      <c r="AQ74" s="85"/>
      <c r="AR74" s="85"/>
      <c r="AS74" s="85"/>
      <c r="AT74" s="85"/>
      <c r="AU74" s="85"/>
      <c r="AV74" s="85"/>
      <c r="AW74" s="85"/>
      <c r="AX74" s="85"/>
      <c r="AY74" s="85"/>
      <c r="AZ74" s="85"/>
    </row>
    <row r="75" spans="1:52" x14ac:dyDescent="0.25">
      <c r="A75" s="13"/>
      <c r="B75" s="12"/>
      <c r="C75" s="85"/>
      <c r="D75" s="14"/>
      <c r="E75" s="169"/>
      <c r="F75" s="12"/>
      <c r="G75" s="120"/>
      <c r="H75" s="12"/>
      <c r="I75" s="12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</row>
    <row r="76" spans="1:52" x14ac:dyDescent="0.25">
      <c r="A76" s="13"/>
      <c r="B76" s="12"/>
      <c r="C76" s="85"/>
      <c r="D76" s="14"/>
      <c r="E76" s="169"/>
      <c r="F76" s="12"/>
      <c r="G76" s="120"/>
      <c r="H76" s="12"/>
      <c r="I76" s="12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</row>
    <row r="77" spans="1:52" x14ac:dyDescent="0.25">
      <c r="A77" s="13"/>
      <c r="B77" s="12"/>
      <c r="C77" s="85"/>
      <c r="D77" s="14"/>
      <c r="E77" s="169"/>
      <c r="F77" s="12"/>
      <c r="G77" s="120"/>
      <c r="H77" s="12"/>
      <c r="I77" s="12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</row>
    <row r="78" spans="1:52" x14ac:dyDescent="0.25">
      <c r="A78" s="13"/>
      <c r="B78" s="12"/>
      <c r="C78" s="85"/>
      <c r="D78" s="14"/>
      <c r="E78" s="169"/>
      <c r="F78" s="12"/>
      <c r="G78" s="120"/>
      <c r="H78" s="12"/>
      <c r="I78" s="12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</row>
    <row r="79" spans="1:52" x14ac:dyDescent="0.25">
      <c r="A79" s="13"/>
      <c r="B79" s="12"/>
      <c r="C79" s="85"/>
      <c r="D79" s="14"/>
      <c r="E79" s="169"/>
      <c r="F79" s="12"/>
      <c r="G79" s="120"/>
      <c r="H79" s="12"/>
      <c r="I79" s="12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</row>
    <row r="80" spans="1:52" x14ac:dyDescent="0.25">
      <c r="A80" s="13"/>
      <c r="B80" s="12"/>
      <c r="C80" s="85"/>
      <c r="D80" s="14"/>
      <c r="E80" s="169"/>
      <c r="F80" s="12"/>
      <c r="G80" s="120"/>
      <c r="H80" s="12"/>
      <c r="I80" s="12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AZ80" s="85"/>
    </row>
    <row r="81" spans="1:52" x14ac:dyDescent="0.25">
      <c r="A81" s="13"/>
      <c r="B81" s="12"/>
      <c r="C81" s="85"/>
      <c r="D81" s="14"/>
      <c r="E81" s="169"/>
      <c r="F81" s="12"/>
      <c r="G81" s="120"/>
      <c r="H81" s="12"/>
      <c r="I81" s="12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5"/>
      <c r="AV81" s="85"/>
      <c r="AW81" s="85"/>
      <c r="AX81" s="85"/>
      <c r="AY81" s="85"/>
      <c r="AZ81" s="85"/>
    </row>
    <row r="82" spans="1:52" x14ac:dyDescent="0.25">
      <c r="A82" s="13"/>
      <c r="B82" s="12"/>
      <c r="C82" s="85"/>
      <c r="D82" s="14"/>
      <c r="E82" s="169"/>
      <c r="F82" s="12"/>
      <c r="G82" s="120"/>
      <c r="H82" s="12"/>
      <c r="I82" s="12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5"/>
      <c r="AV82" s="85"/>
      <c r="AW82" s="85"/>
      <c r="AX82" s="85"/>
      <c r="AY82" s="85"/>
      <c r="AZ82" s="85"/>
    </row>
    <row r="83" spans="1:52" x14ac:dyDescent="0.25">
      <c r="A83" s="13"/>
      <c r="B83" s="12"/>
      <c r="C83" s="85"/>
      <c r="D83" s="14"/>
      <c r="E83" s="169"/>
      <c r="F83" s="12"/>
      <c r="G83" s="120"/>
      <c r="H83" s="12"/>
      <c r="I83" s="12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5"/>
      <c r="AV83" s="85"/>
      <c r="AW83" s="85"/>
      <c r="AX83" s="85"/>
      <c r="AY83" s="85"/>
      <c r="AZ83" s="85"/>
    </row>
    <row r="84" spans="1:52" x14ac:dyDescent="0.25">
      <c r="A84" s="13"/>
      <c r="B84" s="12"/>
      <c r="C84" s="85"/>
      <c r="D84" s="14"/>
      <c r="E84" s="169"/>
      <c r="F84" s="12"/>
      <c r="G84" s="120"/>
      <c r="H84" s="12"/>
      <c r="I84" s="12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5"/>
      <c r="AV84" s="85"/>
      <c r="AW84" s="85"/>
      <c r="AX84" s="85"/>
      <c r="AY84" s="85"/>
      <c r="AZ84" s="85"/>
    </row>
    <row r="85" spans="1:52" x14ac:dyDescent="0.25">
      <c r="A85" s="13"/>
      <c r="B85" s="12"/>
      <c r="C85" s="85"/>
      <c r="D85" s="14"/>
      <c r="E85" s="169"/>
      <c r="F85" s="12"/>
      <c r="G85" s="120"/>
      <c r="H85" s="12"/>
      <c r="I85" s="12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5"/>
      <c r="AV85" s="85"/>
      <c r="AW85" s="85"/>
      <c r="AX85" s="85"/>
      <c r="AY85" s="85"/>
      <c r="AZ85" s="85"/>
    </row>
    <row r="86" spans="1:52" x14ac:dyDescent="0.25">
      <c r="A86" s="13"/>
      <c r="B86" s="12"/>
      <c r="C86" s="85"/>
      <c r="D86" s="14"/>
      <c r="E86" s="169"/>
      <c r="F86" s="12"/>
      <c r="G86" s="120"/>
      <c r="H86" s="12"/>
      <c r="I86" s="12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5"/>
      <c r="AV86" s="85"/>
      <c r="AW86" s="85"/>
      <c r="AX86" s="85"/>
      <c r="AY86" s="85"/>
      <c r="AZ86" s="85"/>
    </row>
    <row r="87" spans="1:52" x14ac:dyDescent="0.25">
      <c r="A87" s="13"/>
      <c r="B87" s="12"/>
      <c r="C87" s="85"/>
      <c r="D87" s="14"/>
      <c r="E87" s="169"/>
      <c r="F87" s="12"/>
      <c r="G87" s="120"/>
      <c r="H87" s="12"/>
      <c r="I87" s="12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5"/>
      <c r="AV87" s="85"/>
      <c r="AW87" s="85"/>
      <c r="AX87" s="85"/>
      <c r="AY87" s="85"/>
      <c r="AZ87" s="85"/>
    </row>
    <row r="88" spans="1:52" x14ac:dyDescent="0.25">
      <c r="A88" s="13"/>
      <c r="B88" s="12"/>
      <c r="C88" s="85"/>
      <c r="D88" s="14"/>
      <c r="E88" s="169"/>
      <c r="F88" s="12"/>
      <c r="G88" s="120"/>
      <c r="H88" s="12"/>
      <c r="I88" s="12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  <c r="AM88" s="85"/>
      <c r="AN88" s="85"/>
      <c r="AO88" s="85"/>
      <c r="AP88" s="85"/>
      <c r="AQ88" s="85"/>
      <c r="AR88" s="85"/>
      <c r="AS88" s="85"/>
      <c r="AT88" s="85"/>
      <c r="AU88" s="85"/>
      <c r="AV88" s="85"/>
      <c r="AW88" s="85"/>
      <c r="AX88" s="85"/>
      <c r="AY88" s="85"/>
      <c r="AZ88" s="85"/>
    </row>
    <row r="89" spans="1:52" x14ac:dyDescent="0.25">
      <c r="A89" s="13"/>
      <c r="B89" s="12"/>
      <c r="C89" s="85"/>
      <c r="D89" s="14"/>
      <c r="E89" s="169"/>
      <c r="F89" s="12"/>
      <c r="G89" s="120"/>
      <c r="H89" s="12"/>
      <c r="I89" s="12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  <c r="AM89" s="85"/>
      <c r="AN89" s="85"/>
      <c r="AO89" s="85"/>
      <c r="AP89" s="85"/>
      <c r="AQ89" s="85"/>
      <c r="AR89" s="85"/>
      <c r="AS89" s="85"/>
      <c r="AT89" s="85"/>
      <c r="AU89" s="85"/>
      <c r="AV89" s="85"/>
      <c r="AW89" s="85"/>
      <c r="AX89" s="85"/>
      <c r="AY89" s="85"/>
      <c r="AZ89" s="85"/>
    </row>
    <row r="90" spans="1:52" x14ac:dyDescent="0.25">
      <c r="A90" s="13"/>
      <c r="B90" s="12"/>
      <c r="C90" s="85"/>
      <c r="D90" s="14"/>
      <c r="E90" s="169"/>
      <c r="F90" s="12"/>
      <c r="G90" s="120"/>
      <c r="H90" s="12"/>
      <c r="I90" s="12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5"/>
      <c r="AM90" s="85"/>
      <c r="AN90" s="85"/>
      <c r="AO90" s="85"/>
      <c r="AP90" s="85"/>
      <c r="AQ90" s="85"/>
      <c r="AR90" s="85"/>
      <c r="AS90" s="85"/>
      <c r="AT90" s="85"/>
      <c r="AU90" s="85"/>
      <c r="AV90" s="85"/>
      <c r="AW90" s="85"/>
      <c r="AX90" s="85"/>
      <c r="AY90" s="85"/>
      <c r="AZ90" s="85"/>
    </row>
    <row r="91" spans="1:52" x14ac:dyDescent="0.25">
      <c r="A91" s="13"/>
      <c r="B91" s="12"/>
      <c r="C91" s="85"/>
      <c r="D91" s="14"/>
      <c r="E91" s="169"/>
      <c r="F91" s="12"/>
      <c r="G91" s="120"/>
      <c r="H91" s="12"/>
      <c r="I91" s="12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5"/>
      <c r="AM91" s="85"/>
      <c r="AN91" s="85"/>
      <c r="AO91" s="85"/>
      <c r="AP91" s="85"/>
      <c r="AQ91" s="85"/>
      <c r="AR91" s="85"/>
      <c r="AS91" s="85"/>
      <c r="AT91" s="85"/>
      <c r="AU91" s="85"/>
      <c r="AV91" s="85"/>
      <c r="AW91" s="85"/>
      <c r="AX91" s="85"/>
      <c r="AY91" s="85"/>
      <c r="AZ91" s="85"/>
    </row>
    <row r="92" spans="1:52" x14ac:dyDescent="0.25">
      <c r="A92" s="13"/>
      <c r="B92" s="12"/>
      <c r="C92" s="85"/>
      <c r="D92" s="14"/>
      <c r="E92" s="169"/>
      <c r="F92" s="12"/>
      <c r="G92" s="120"/>
      <c r="H92" s="12"/>
      <c r="I92" s="12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  <c r="AM92" s="85"/>
      <c r="AN92" s="85"/>
      <c r="AO92" s="85"/>
      <c r="AP92" s="85"/>
      <c r="AQ92" s="85"/>
      <c r="AR92" s="85"/>
      <c r="AS92" s="85"/>
      <c r="AT92" s="85"/>
      <c r="AU92" s="85"/>
      <c r="AV92" s="85"/>
      <c r="AW92" s="85"/>
      <c r="AX92" s="85"/>
      <c r="AY92" s="85"/>
      <c r="AZ92" s="85"/>
    </row>
    <row r="93" spans="1:52" x14ac:dyDescent="0.25">
      <c r="A93" s="13"/>
      <c r="B93" s="12"/>
      <c r="C93" s="85"/>
      <c r="D93" s="14"/>
      <c r="E93" s="169"/>
      <c r="F93" s="12"/>
      <c r="G93" s="120"/>
      <c r="H93" s="12"/>
      <c r="I93" s="12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5"/>
      <c r="AM93" s="85"/>
      <c r="AN93" s="85"/>
      <c r="AO93" s="85"/>
      <c r="AP93" s="85"/>
      <c r="AQ93" s="85"/>
      <c r="AR93" s="85"/>
      <c r="AS93" s="85"/>
      <c r="AT93" s="85"/>
      <c r="AU93" s="85"/>
      <c r="AV93" s="85"/>
      <c r="AW93" s="85"/>
      <c r="AX93" s="85"/>
      <c r="AY93" s="85"/>
      <c r="AZ93" s="85"/>
    </row>
    <row r="94" spans="1:52" x14ac:dyDescent="0.25">
      <c r="A94" s="13"/>
      <c r="B94" s="12"/>
      <c r="C94" s="85"/>
      <c r="D94" s="14"/>
      <c r="E94" s="169"/>
      <c r="F94" s="12"/>
      <c r="G94" s="120"/>
      <c r="H94" s="12"/>
      <c r="I94" s="12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5"/>
      <c r="AM94" s="85"/>
      <c r="AN94" s="85"/>
      <c r="AO94" s="85"/>
      <c r="AP94" s="85"/>
      <c r="AQ94" s="85"/>
      <c r="AR94" s="85"/>
      <c r="AS94" s="85"/>
      <c r="AT94" s="85"/>
      <c r="AU94" s="85"/>
      <c r="AV94" s="85"/>
      <c r="AW94" s="85"/>
      <c r="AX94" s="85"/>
      <c r="AY94" s="85"/>
      <c r="AZ94" s="85"/>
    </row>
    <row r="95" spans="1:52" x14ac:dyDescent="0.25">
      <c r="A95" s="13"/>
      <c r="B95" s="12"/>
      <c r="C95" s="85"/>
      <c r="D95" s="14"/>
      <c r="E95" s="169"/>
      <c r="F95" s="12"/>
      <c r="G95" s="120"/>
      <c r="H95" s="12"/>
      <c r="I95" s="12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5"/>
      <c r="AM95" s="85"/>
      <c r="AN95" s="85"/>
      <c r="AO95" s="85"/>
      <c r="AP95" s="85"/>
      <c r="AQ95" s="85"/>
      <c r="AR95" s="85"/>
      <c r="AS95" s="85"/>
      <c r="AT95" s="85"/>
      <c r="AU95" s="85"/>
      <c r="AV95" s="85"/>
      <c r="AW95" s="85"/>
      <c r="AX95" s="85"/>
      <c r="AY95" s="85"/>
      <c r="AZ95" s="85"/>
    </row>
    <row r="96" spans="1:52" x14ac:dyDescent="0.25">
      <c r="A96" s="13"/>
      <c r="B96" s="12"/>
      <c r="C96" s="85"/>
      <c r="D96" s="14"/>
      <c r="E96" s="169"/>
      <c r="F96" s="12"/>
      <c r="G96" s="120"/>
      <c r="H96" s="12"/>
      <c r="I96" s="12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5"/>
      <c r="AM96" s="85"/>
      <c r="AN96" s="85"/>
      <c r="AO96" s="85"/>
      <c r="AP96" s="85"/>
      <c r="AQ96" s="85"/>
      <c r="AR96" s="85"/>
      <c r="AS96" s="85"/>
      <c r="AT96" s="85"/>
      <c r="AU96" s="85"/>
      <c r="AV96" s="85"/>
      <c r="AW96" s="85"/>
      <c r="AX96" s="85"/>
      <c r="AY96" s="85"/>
      <c r="AZ96" s="85"/>
    </row>
    <row r="97" spans="1:52" x14ac:dyDescent="0.25">
      <c r="A97" s="13"/>
      <c r="B97" s="12"/>
      <c r="C97" s="85"/>
      <c r="D97" s="14"/>
      <c r="E97" s="169"/>
      <c r="F97" s="12"/>
      <c r="G97" s="120"/>
      <c r="H97" s="12"/>
      <c r="I97" s="12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5"/>
      <c r="AM97" s="85"/>
      <c r="AN97" s="85"/>
      <c r="AO97" s="85"/>
      <c r="AP97" s="85"/>
      <c r="AQ97" s="85"/>
      <c r="AR97" s="85"/>
      <c r="AS97" s="85"/>
      <c r="AT97" s="85"/>
      <c r="AU97" s="85"/>
      <c r="AV97" s="85"/>
      <c r="AW97" s="85"/>
      <c r="AX97" s="85"/>
      <c r="AY97" s="85"/>
      <c r="AZ97" s="85"/>
    </row>
    <row r="98" spans="1:52" x14ac:dyDescent="0.25">
      <c r="A98" s="13"/>
      <c r="B98" s="12"/>
      <c r="C98" s="85"/>
      <c r="D98" s="14"/>
      <c r="E98" s="169"/>
      <c r="F98" s="12"/>
      <c r="G98" s="120"/>
      <c r="H98" s="12"/>
      <c r="I98" s="12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5"/>
      <c r="AM98" s="85"/>
      <c r="AN98" s="85"/>
      <c r="AO98" s="85"/>
      <c r="AP98" s="85"/>
      <c r="AQ98" s="85"/>
      <c r="AR98" s="85"/>
      <c r="AS98" s="85"/>
      <c r="AT98" s="85"/>
      <c r="AU98" s="85"/>
      <c r="AV98" s="85"/>
      <c r="AW98" s="85"/>
      <c r="AX98" s="85"/>
      <c r="AY98" s="85"/>
      <c r="AZ98" s="85"/>
    </row>
    <row r="99" spans="1:52" x14ac:dyDescent="0.25">
      <c r="A99" s="13"/>
      <c r="B99" s="12"/>
      <c r="C99" s="85"/>
      <c r="D99" s="14"/>
      <c r="E99" s="169"/>
      <c r="F99" s="12"/>
      <c r="G99" s="120"/>
      <c r="H99" s="12"/>
      <c r="I99" s="12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5"/>
      <c r="AM99" s="85"/>
      <c r="AN99" s="85"/>
      <c r="AO99" s="85"/>
      <c r="AP99" s="85"/>
      <c r="AQ99" s="85"/>
      <c r="AR99" s="85"/>
      <c r="AS99" s="85"/>
      <c r="AT99" s="85"/>
      <c r="AU99" s="85"/>
      <c r="AV99" s="85"/>
      <c r="AW99" s="85"/>
      <c r="AX99" s="85"/>
      <c r="AY99" s="85"/>
      <c r="AZ99" s="85"/>
    </row>
    <row r="100" spans="1:52" x14ac:dyDescent="0.25">
      <c r="A100" s="13"/>
      <c r="B100" s="12"/>
      <c r="C100" s="85"/>
      <c r="D100" s="14"/>
      <c r="E100" s="169"/>
      <c r="F100" s="12"/>
      <c r="G100" s="120"/>
      <c r="H100" s="12"/>
      <c r="I100" s="12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5"/>
      <c r="AM100" s="85"/>
      <c r="AN100" s="85"/>
      <c r="AO100" s="85"/>
      <c r="AP100" s="85"/>
      <c r="AQ100" s="85"/>
      <c r="AR100" s="85"/>
      <c r="AS100" s="85"/>
      <c r="AT100" s="85"/>
      <c r="AU100" s="85"/>
      <c r="AV100" s="85"/>
      <c r="AW100" s="85"/>
      <c r="AX100" s="85"/>
      <c r="AY100" s="85"/>
      <c r="AZ100" s="85"/>
    </row>
    <row r="101" spans="1:52" x14ac:dyDescent="0.25">
      <c r="A101" s="13"/>
      <c r="B101" s="12"/>
      <c r="C101" s="85"/>
      <c r="D101" s="14"/>
      <c r="E101" s="169"/>
      <c r="F101" s="12"/>
      <c r="G101" s="120"/>
      <c r="H101" s="12"/>
      <c r="I101" s="12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</row>
    <row r="102" spans="1:52" x14ac:dyDescent="0.25">
      <c r="A102" s="13"/>
      <c r="B102" s="12"/>
      <c r="C102" s="85"/>
      <c r="D102" s="14"/>
      <c r="E102" s="169"/>
      <c r="F102" s="12"/>
      <c r="G102" s="120"/>
      <c r="H102" s="12"/>
      <c r="I102" s="12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5"/>
      <c r="AM102" s="85"/>
      <c r="AN102" s="85"/>
      <c r="AO102" s="85"/>
      <c r="AP102" s="85"/>
      <c r="AQ102" s="85"/>
      <c r="AR102" s="85"/>
      <c r="AS102" s="85"/>
      <c r="AT102" s="85"/>
      <c r="AU102" s="85"/>
      <c r="AV102" s="85"/>
      <c r="AW102" s="85"/>
      <c r="AX102" s="85"/>
      <c r="AY102" s="85"/>
      <c r="AZ102" s="85"/>
    </row>
    <row r="103" spans="1:52" x14ac:dyDescent="0.25">
      <c r="A103" s="13"/>
      <c r="B103" s="12"/>
      <c r="C103" s="85"/>
      <c r="D103" s="14"/>
      <c r="E103" s="169"/>
      <c r="F103" s="12"/>
      <c r="G103" s="120"/>
      <c r="H103" s="12"/>
      <c r="I103" s="12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85"/>
      <c r="AY103" s="85"/>
      <c r="AZ103" s="85"/>
    </row>
    <row r="104" spans="1:52" x14ac:dyDescent="0.25">
      <c r="A104" s="13"/>
      <c r="B104" s="12"/>
      <c r="C104" s="85"/>
      <c r="D104" s="14"/>
      <c r="E104" s="169"/>
      <c r="F104" s="12"/>
      <c r="G104" s="120"/>
      <c r="H104" s="12"/>
      <c r="I104" s="12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85"/>
      <c r="AN104" s="85"/>
      <c r="AO104" s="85"/>
      <c r="AP104" s="85"/>
      <c r="AQ104" s="85"/>
      <c r="AR104" s="85"/>
      <c r="AS104" s="85"/>
      <c r="AT104" s="85"/>
      <c r="AU104" s="85"/>
      <c r="AV104" s="85"/>
      <c r="AW104" s="85"/>
      <c r="AX104" s="85"/>
      <c r="AY104" s="85"/>
      <c r="AZ104" s="85"/>
    </row>
    <row r="105" spans="1:52" x14ac:dyDescent="0.25">
      <c r="A105" s="13"/>
      <c r="B105" s="12"/>
      <c r="C105" s="85"/>
      <c r="D105" s="14"/>
      <c r="E105" s="169"/>
      <c r="F105" s="12"/>
      <c r="G105" s="120"/>
      <c r="H105" s="12"/>
      <c r="I105" s="12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5"/>
      <c r="AM105" s="85"/>
      <c r="AN105" s="85"/>
      <c r="AO105" s="85"/>
      <c r="AP105" s="85"/>
      <c r="AQ105" s="85"/>
      <c r="AR105" s="85"/>
      <c r="AS105" s="85"/>
      <c r="AT105" s="85"/>
      <c r="AU105" s="85"/>
      <c r="AV105" s="85"/>
      <c r="AW105" s="85"/>
      <c r="AX105" s="85"/>
      <c r="AY105" s="85"/>
      <c r="AZ105" s="85"/>
    </row>
    <row r="106" spans="1:52" x14ac:dyDescent="0.25">
      <c r="A106" s="13"/>
      <c r="B106" s="12"/>
      <c r="C106" s="85"/>
      <c r="D106" s="14"/>
      <c r="E106" s="169"/>
      <c r="F106" s="12"/>
      <c r="G106" s="120"/>
      <c r="H106" s="12"/>
      <c r="I106" s="12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5"/>
      <c r="AM106" s="85"/>
      <c r="AN106" s="85"/>
      <c r="AO106" s="85"/>
      <c r="AP106" s="85"/>
      <c r="AQ106" s="85"/>
      <c r="AR106" s="85"/>
      <c r="AS106" s="85"/>
      <c r="AT106" s="85"/>
      <c r="AU106" s="85"/>
      <c r="AV106" s="85"/>
      <c r="AW106" s="85"/>
      <c r="AX106" s="85"/>
      <c r="AY106" s="85"/>
      <c r="AZ106" s="85"/>
    </row>
    <row r="107" spans="1:52" x14ac:dyDescent="0.25">
      <c r="A107" s="13"/>
      <c r="B107" s="12"/>
      <c r="C107" s="85"/>
      <c r="D107" s="14"/>
      <c r="E107" s="169"/>
      <c r="F107" s="12"/>
      <c r="G107" s="120"/>
      <c r="H107" s="12"/>
      <c r="I107" s="12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5"/>
      <c r="AM107" s="85"/>
      <c r="AN107" s="85"/>
      <c r="AO107" s="85"/>
      <c r="AP107" s="85"/>
      <c r="AQ107" s="85"/>
      <c r="AR107" s="85"/>
      <c r="AS107" s="85"/>
      <c r="AT107" s="85"/>
      <c r="AU107" s="85"/>
      <c r="AV107" s="85"/>
      <c r="AW107" s="85"/>
      <c r="AX107" s="85"/>
      <c r="AY107" s="85"/>
      <c r="AZ107" s="85"/>
    </row>
    <row r="108" spans="1:52" x14ac:dyDescent="0.25">
      <c r="A108" s="13"/>
      <c r="B108" s="12"/>
      <c r="C108" s="85"/>
      <c r="D108" s="14"/>
      <c r="E108" s="169"/>
      <c r="F108" s="12"/>
      <c r="G108" s="120"/>
      <c r="H108" s="12"/>
      <c r="I108" s="12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5"/>
      <c r="AM108" s="85"/>
      <c r="AN108" s="85"/>
      <c r="AO108" s="85"/>
      <c r="AP108" s="85"/>
      <c r="AQ108" s="85"/>
      <c r="AR108" s="85"/>
      <c r="AS108" s="85"/>
      <c r="AT108" s="85"/>
      <c r="AU108" s="85"/>
      <c r="AV108" s="85"/>
      <c r="AW108" s="85"/>
      <c r="AX108" s="85"/>
      <c r="AY108" s="85"/>
      <c r="AZ108" s="85"/>
    </row>
    <row r="109" spans="1:52" x14ac:dyDescent="0.25">
      <c r="A109" s="13"/>
      <c r="B109" s="12"/>
      <c r="C109" s="85"/>
      <c r="D109" s="14"/>
      <c r="E109" s="169"/>
      <c r="F109" s="12"/>
      <c r="G109" s="120"/>
      <c r="H109" s="12"/>
      <c r="I109" s="12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5"/>
      <c r="AM109" s="85"/>
      <c r="AN109" s="85"/>
      <c r="AO109" s="85"/>
      <c r="AP109" s="85"/>
      <c r="AQ109" s="85"/>
      <c r="AR109" s="85"/>
      <c r="AS109" s="85"/>
      <c r="AT109" s="85"/>
      <c r="AU109" s="85"/>
      <c r="AV109" s="85"/>
      <c r="AW109" s="85"/>
      <c r="AX109" s="85"/>
      <c r="AY109" s="85"/>
      <c r="AZ109" s="85"/>
    </row>
    <row r="110" spans="1:52" x14ac:dyDescent="0.25">
      <c r="A110" s="13"/>
      <c r="B110" s="12"/>
      <c r="C110" s="85"/>
      <c r="D110" s="14"/>
      <c r="E110" s="169"/>
      <c r="F110" s="12"/>
      <c r="G110" s="120"/>
      <c r="H110" s="12"/>
      <c r="I110" s="12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85"/>
      <c r="AN110" s="85"/>
      <c r="AO110" s="85"/>
      <c r="AP110" s="85"/>
      <c r="AQ110" s="85"/>
      <c r="AR110" s="85"/>
      <c r="AS110" s="85"/>
      <c r="AT110" s="85"/>
      <c r="AU110" s="85"/>
      <c r="AV110" s="85"/>
      <c r="AW110" s="85"/>
      <c r="AX110" s="85"/>
      <c r="AY110" s="85"/>
      <c r="AZ110" s="85"/>
    </row>
    <row r="111" spans="1:52" x14ac:dyDescent="0.25">
      <c r="A111" s="13"/>
      <c r="B111" s="12"/>
      <c r="C111" s="85"/>
      <c r="D111" s="14"/>
      <c r="E111" s="169"/>
      <c r="F111" s="12"/>
      <c r="G111" s="120"/>
      <c r="H111" s="12"/>
      <c r="I111" s="12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85"/>
      <c r="AN111" s="85"/>
      <c r="AO111" s="85"/>
      <c r="AP111" s="85"/>
      <c r="AQ111" s="85"/>
      <c r="AR111" s="85"/>
      <c r="AS111" s="85"/>
      <c r="AT111" s="85"/>
      <c r="AU111" s="85"/>
      <c r="AV111" s="85"/>
      <c r="AW111" s="85"/>
      <c r="AX111" s="85"/>
      <c r="AY111" s="85"/>
      <c r="AZ111" s="85"/>
    </row>
    <row r="112" spans="1:52" x14ac:dyDescent="0.25">
      <c r="A112" s="13"/>
      <c r="B112" s="12"/>
      <c r="C112" s="85"/>
      <c r="D112" s="14"/>
      <c r="E112" s="169"/>
      <c r="F112" s="12"/>
      <c r="G112" s="120"/>
      <c r="H112" s="12"/>
      <c r="I112" s="12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5"/>
      <c r="AM112" s="85"/>
      <c r="AN112" s="85"/>
      <c r="AO112" s="85"/>
      <c r="AP112" s="85"/>
      <c r="AQ112" s="85"/>
      <c r="AR112" s="85"/>
      <c r="AS112" s="85"/>
      <c r="AT112" s="85"/>
      <c r="AU112" s="85"/>
      <c r="AV112" s="85"/>
      <c r="AW112" s="85"/>
      <c r="AX112" s="85"/>
      <c r="AY112" s="85"/>
      <c r="AZ112" s="85"/>
    </row>
    <row r="113" spans="1:52" x14ac:dyDescent="0.25">
      <c r="A113" s="13"/>
      <c r="B113" s="12"/>
      <c r="C113" s="85"/>
      <c r="D113" s="14"/>
      <c r="E113" s="169"/>
      <c r="F113" s="12"/>
      <c r="G113" s="120"/>
      <c r="H113" s="12"/>
      <c r="I113" s="12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5"/>
      <c r="AM113" s="85"/>
      <c r="AN113" s="85"/>
      <c r="AO113" s="85"/>
      <c r="AP113" s="85"/>
      <c r="AQ113" s="85"/>
      <c r="AR113" s="85"/>
      <c r="AS113" s="85"/>
      <c r="AT113" s="85"/>
      <c r="AU113" s="85"/>
      <c r="AV113" s="85"/>
      <c r="AW113" s="85"/>
      <c r="AX113" s="85"/>
      <c r="AY113" s="85"/>
      <c r="AZ113" s="85"/>
    </row>
    <row r="114" spans="1:52" x14ac:dyDescent="0.25">
      <c r="A114" s="13"/>
      <c r="B114" s="12"/>
      <c r="C114" s="85"/>
      <c r="D114" s="14"/>
      <c r="E114" s="169"/>
      <c r="F114" s="12"/>
      <c r="G114" s="120"/>
      <c r="H114" s="12"/>
      <c r="I114" s="12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5"/>
      <c r="AM114" s="85"/>
      <c r="AN114" s="85"/>
      <c r="AO114" s="85"/>
      <c r="AP114" s="85"/>
      <c r="AQ114" s="85"/>
      <c r="AR114" s="85"/>
      <c r="AS114" s="85"/>
      <c r="AT114" s="85"/>
      <c r="AU114" s="85"/>
      <c r="AV114" s="85"/>
      <c r="AW114" s="85"/>
      <c r="AX114" s="85"/>
      <c r="AY114" s="85"/>
      <c r="AZ114" s="85"/>
    </row>
    <row r="115" spans="1:52" x14ac:dyDescent="0.25">
      <c r="A115" s="13"/>
      <c r="B115" s="12"/>
      <c r="C115" s="85"/>
      <c r="D115" s="14"/>
      <c r="E115" s="169"/>
      <c r="F115" s="12"/>
      <c r="G115" s="120"/>
      <c r="H115" s="12"/>
      <c r="I115" s="12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5"/>
      <c r="AM115" s="85"/>
      <c r="AN115" s="85"/>
      <c r="AO115" s="85"/>
      <c r="AP115" s="85"/>
      <c r="AQ115" s="85"/>
      <c r="AR115" s="85"/>
      <c r="AS115" s="85"/>
      <c r="AT115" s="85"/>
      <c r="AU115" s="85"/>
      <c r="AV115" s="85"/>
      <c r="AW115" s="85"/>
      <c r="AX115" s="85"/>
      <c r="AY115" s="85"/>
      <c r="AZ115" s="85"/>
    </row>
    <row r="116" spans="1:52" x14ac:dyDescent="0.25">
      <c r="A116" s="13"/>
      <c r="B116" s="12"/>
      <c r="C116" s="85"/>
      <c r="D116" s="14"/>
      <c r="E116" s="169"/>
      <c r="F116" s="12"/>
      <c r="G116" s="120"/>
      <c r="H116" s="12"/>
      <c r="I116" s="12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5"/>
      <c r="AM116" s="85"/>
      <c r="AN116" s="85"/>
      <c r="AO116" s="85"/>
      <c r="AP116" s="85"/>
      <c r="AQ116" s="85"/>
      <c r="AR116" s="85"/>
      <c r="AS116" s="85"/>
      <c r="AT116" s="85"/>
      <c r="AU116" s="85"/>
      <c r="AV116" s="85"/>
      <c r="AW116" s="85"/>
      <c r="AX116" s="85"/>
      <c r="AY116" s="85"/>
      <c r="AZ116" s="85"/>
    </row>
    <row r="117" spans="1:52" x14ac:dyDescent="0.25">
      <c r="A117" s="13"/>
      <c r="B117" s="12"/>
      <c r="C117" s="85"/>
      <c r="D117" s="14"/>
      <c r="E117" s="169"/>
      <c r="F117" s="12"/>
      <c r="G117" s="120"/>
      <c r="H117" s="12"/>
      <c r="I117" s="12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5"/>
      <c r="AM117" s="85"/>
      <c r="AN117" s="85"/>
      <c r="AO117" s="85"/>
      <c r="AP117" s="85"/>
      <c r="AQ117" s="85"/>
      <c r="AR117" s="85"/>
      <c r="AS117" s="85"/>
      <c r="AT117" s="85"/>
      <c r="AU117" s="85"/>
      <c r="AV117" s="85"/>
      <c r="AW117" s="85"/>
      <c r="AX117" s="85"/>
      <c r="AY117" s="85"/>
      <c r="AZ117" s="85"/>
    </row>
    <row r="118" spans="1:52" x14ac:dyDescent="0.25">
      <c r="A118" s="13"/>
      <c r="B118" s="12"/>
      <c r="C118" s="85"/>
      <c r="D118" s="14"/>
      <c r="E118" s="169"/>
      <c r="F118" s="12"/>
      <c r="G118" s="120"/>
      <c r="H118" s="12"/>
      <c r="I118" s="12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5"/>
      <c r="AM118" s="85"/>
      <c r="AN118" s="85"/>
      <c r="AO118" s="85"/>
      <c r="AP118" s="85"/>
      <c r="AQ118" s="85"/>
      <c r="AR118" s="85"/>
      <c r="AS118" s="85"/>
      <c r="AT118" s="85"/>
      <c r="AU118" s="85"/>
      <c r="AV118" s="85"/>
      <c r="AW118" s="85"/>
      <c r="AX118" s="85"/>
      <c r="AY118" s="85"/>
      <c r="AZ118" s="85"/>
    </row>
    <row r="119" spans="1:52" x14ac:dyDescent="0.25">
      <c r="A119" s="13"/>
      <c r="B119" s="12"/>
      <c r="C119" s="85"/>
      <c r="D119" s="14"/>
      <c r="E119" s="169"/>
      <c r="F119" s="12"/>
      <c r="G119" s="120"/>
      <c r="H119" s="12"/>
      <c r="I119" s="12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5"/>
      <c r="AM119" s="85"/>
      <c r="AN119" s="85"/>
      <c r="AO119" s="85"/>
      <c r="AP119" s="85"/>
      <c r="AQ119" s="85"/>
      <c r="AR119" s="85"/>
      <c r="AS119" s="85"/>
      <c r="AT119" s="85"/>
      <c r="AU119" s="85"/>
      <c r="AV119" s="85"/>
      <c r="AW119" s="85"/>
      <c r="AX119" s="85"/>
      <c r="AY119" s="85"/>
      <c r="AZ119" s="85"/>
    </row>
    <row r="120" spans="1:52" x14ac:dyDescent="0.25">
      <c r="A120" s="13"/>
      <c r="B120" s="12"/>
      <c r="C120" s="85"/>
      <c r="D120" s="14"/>
      <c r="E120" s="169"/>
      <c r="F120" s="12"/>
      <c r="G120" s="120"/>
      <c r="H120" s="12"/>
      <c r="I120" s="12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5"/>
      <c r="AM120" s="85"/>
      <c r="AN120" s="85"/>
      <c r="AO120" s="85"/>
      <c r="AP120" s="85"/>
      <c r="AQ120" s="85"/>
      <c r="AR120" s="85"/>
      <c r="AS120" s="85"/>
      <c r="AT120" s="85"/>
      <c r="AU120" s="85"/>
      <c r="AV120" s="85"/>
      <c r="AW120" s="85"/>
      <c r="AX120" s="85"/>
      <c r="AY120" s="85"/>
      <c r="AZ120" s="85"/>
    </row>
    <row r="121" spans="1:52" x14ac:dyDescent="0.25">
      <c r="A121" s="13"/>
      <c r="B121" s="12"/>
      <c r="C121" s="85"/>
      <c r="D121" s="14"/>
      <c r="E121" s="169"/>
      <c r="F121" s="12"/>
      <c r="G121" s="120"/>
      <c r="H121" s="12"/>
      <c r="I121" s="12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5"/>
      <c r="AM121" s="85"/>
      <c r="AN121" s="85"/>
      <c r="AO121" s="85"/>
      <c r="AP121" s="85"/>
      <c r="AQ121" s="85"/>
      <c r="AR121" s="85"/>
      <c r="AS121" s="85"/>
      <c r="AT121" s="85"/>
      <c r="AU121" s="85"/>
      <c r="AV121" s="85"/>
      <c r="AW121" s="85"/>
      <c r="AX121" s="85"/>
      <c r="AY121" s="85"/>
      <c r="AZ121" s="85"/>
    </row>
    <row r="122" spans="1:52" x14ac:dyDescent="0.25">
      <c r="A122" s="13"/>
      <c r="B122" s="12"/>
      <c r="C122" s="85"/>
      <c r="D122" s="14"/>
      <c r="E122" s="169"/>
      <c r="F122" s="12"/>
      <c r="G122" s="120"/>
      <c r="H122" s="12"/>
      <c r="I122" s="12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5"/>
      <c r="AM122" s="85"/>
      <c r="AN122" s="85"/>
      <c r="AO122" s="85"/>
      <c r="AP122" s="85"/>
      <c r="AQ122" s="85"/>
      <c r="AR122" s="85"/>
      <c r="AS122" s="85"/>
      <c r="AT122" s="85"/>
      <c r="AU122" s="85"/>
      <c r="AV122" s="85"/>
      <c r="AW122" s="85"/>
      <c r="AX122" s="85"/>
      <c r="AY122" s="85"/>
      <c r="AZ122" s="85"/>
    </row>
    <row r="123" spans="1:52" x14ac:dyDescent="0.25">
      <c r="A123" s="13"/>
      <c r="B123" s="12"/>
      <c r="C123" s="85"/>
      <c r="D123" s="14"/>
      <c r="E123" s="169"/>
      <c r="F123" s="12"/>
      <c r="G123" s="120"/>
      <c r="H123" s="12"/>
      <c r="I123" s="12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5"/>
      <c r="AM123" s="85"/>
      <c r="AN123" s="85"/>
      <c r="AO123" s="85"/>
      <c r="AP123" s="85"/>
      <c r="AQ123" s="85"/>
      <c r="AR123" s="85"/>
      <c r="AS123" s="85"/>
      <c r="AT123" s="85"/>
      <c r="AU123" s="85"/>
      <c r="AV123" s="85"/>
      <c r="AW123" s="85"/>
      <c r="AX123" s="85"/>
      <c r="AY123" s="85"/>
      <c r="AZ123" s="85"/>
    </row>
    <row r="124" spans="1:52" x14ac:dyDescent="0.25">
      <c r="A124" s="13"/>
      <c r="B124" s="12"/>
      <c r="C124" s="85"/>
      <c r="D124" s="14"/>
      <c r="E124" s="169"/>
      <c r="F124" s="12"/>
      <c r="G124" s="120"/>
      <c r="H124" s="12"/>
      <c r="I124" s="12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5"/>
      <c r="AM124" s="85"/>
      <c r="AN124" s="85"/>
      <c r="AO124" s="85"/>
      <c r="AP124" s="85"/>
      <c r="AQ124" s="85"/>
      <c r="AR124" s="85"/>
      <c r="AS124" s="85"/>
      <c r="AT124" s="85"/>
      <c r="AU124" s="85"/>
      <c r="AV124" s="85"/>
      <c r="AW124" s="85"/>
      <c r="AX124" s="85"/>
      <c r="AY124" s="85"/>
      <c r="AZ124" s="85"/>
    </row>
    <row r="125" spans="1:52" x14ac:dyDescent="0.25">
      <c r="A125" s="13"/>
      <c r="B125" s="12"/>
      <c r="C125" s="85"/>
      <c r="D125" s="14"/>
      <c r="E125" s="169"/>
      <c r="F125" s="12"/>
      <c r="G125" s="120"/>
      <c r="H125" s="12"/>
      <c r="I125" s="12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5"/>
      <c r="AM125" s="85"/>
      <c r="AN125" s="85"/>
      <c r="AO125" s="85"/>
      <c r="AP125" s="85"/>
      <c r="AQ125" s="85"/>
      <c r="AR125" s="85"/>
      <c r="AS125" s="85"/>
      <c r="AT125" s="85"/>
      <c r="AU125" s="85"/>
      <c r="AV125" s="85"/>
      <c r="AW125" s="85"/>
      <c r="AX125" s="85"/>
      <c r="AY125" s="85"/>
      <c r="AZ125" s="85"/>
    </row>
    <row r="126" spans="1:52" x14ac:dyDescent="0.25">
      <c r="A126" s="13"/>
      <c r="B126" s="12"/>
      <c r="C126" s="85"/>
      <c r="D126" s="14"/>
      <c r="E126" s="169"/>
      <c r="F126" s="12"/>
      <c r="G126" s="120"/>
      <c r="H126" s="12"/>
      <c r="I126" s="12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5"/>
      <c r="AM126" s="85"/>
      <c r="AN126" s="85"/>
      <c r="AO126" s="85"/>
      <c r="AP126" s="85"/>
      <c r="AQ126" s="85"/>
      <c r="AR126" s="85"/>
      <c r="AS126" s="85"/>
      <c r="AT126" s="85"/>
      <c r="AU126" s="85"/>
      <c r="AV126" s="85"/>
      <c r="AW126" s="85"/>
      <c r="AX126" s="85"/>
      <c r="AY126" s="85"/>
      <c r="AZ126" s="85"/>
    </row>
    <row r="127" spans="1:52" x14ac:dyDescent="0.25">
      <c r="A127" s="13"/>
      <c r="B127" s="12"/>
      <c r="C127" s="85"/>
      <c r="D127" s="14"/>
      <c r="E127" s="169"/>
      <c r="F127" s="12"/>
      <c r="G127" s="120"/>
      <c r="H127" s="12"/>
      <c r="I127" s="12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5"/>
      <c r="AM127" s="85"/>
      <c r="AN127" s="85"/>
      <c r="AO127" s="85"/>
      <c r="AP127" s="85"/>
      <c r="AQ127" s="85"/>
      <c r="AR127" s="85"/>
      <c r="AS127" s="85"/>
      <c r="AT127" s="85"/>
      <c r="AU127" s="85"/>
      <c r="AV127" s="85"/>
      <c r="AW127" s="85"/>
      <c r="AX127" s="85"/>
      <c r="AY127" s="85"/>
      <c r="AZ127" s="85"/>
    </row>
    <row r="128" spans="1:52" x14ac:dyDescent="0.25">
      <c r="A128" s="13"/>
      <c r="B128" s="12"/>
      <c r="C128" s="85"/>
      <c r="D128" s="14"/>
      <c r="E128" s="169"/>
      <c r="F128" s="12"/>
      <c r="G128" s="120"/>
      <c r="H128" s="12"/>
      <c r="I128" s="12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5"/>
      <c r="AM128" s="85"/>
      <c r="AN128" s="85"/>
      <c r="AO128" s="85"/>
      <c r="AP128" s="85"/>
      <c r="AQ128" s="85"/>
      <c r="AR128" s="85"/>
      <c r="AS128" s="85"/>
      <c r="AT128" s="85"/>
      <c r="AU128" s="85"/>
      <c r="AV128" s="85"/>
      <c r="AW128" s="85"/>
      <c r="AX128" s="85"/>
      <c r="AY128" s="85"/>
      <c r="AZ128" s="85"/>
    </row>
    <row r="129" spans="1:52" x14ac:dyDescent="0.25">
      <c r="A129" s="13"/>
      <c r="B129" s="12"/>
      <c r="C129" s="85"/>
      <c r="D129" s="14"/>
      <c r="E129" s="169"/>
      <c r="F129" s="12"/>
      <c r="G129" s="120"/>
      <c r="H129" s="12"/>
      <c r="I129" s="12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5"/>
      <c r="AM129" s="85"/>
      <c r="AN129" s="85"/>
      <c r="AO129" s="85"/>
      <c r="AP129" s="85"/>
      <c r="AQ129" s="85"/>
      <c r="AR129" s="85"/>
      <c r="AS129" s="85"/>
      <c r="AT129" s="85"/>
      <c r="AU129" s="85"/>
      <c r="AV129" s="85"/>
      <c r="AW129" s="85"/>
      <c r="AX129" s="85"/>
      <c r="AY129" s="85"/>
      <c r="AZ129" s="85"/>
    </row>
    <row r="130" spans="1:52" x14ac:dyDescent="0.25">
      <c r="A130" s="13"/>
      <c r="B130" s="12"/>
      <c r="C130" s="85"/>
      <c r="D130" s="14"/>
      <c r="E130" s="169"/>
      <c r="F130" s="12"/>
      <c r="G130" s="120"/>
      <c r="H130" s="12"/>
      <c r="I130" s="12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5"/>
      <c r="AM130" s="85"/>
      <c r="AN130" s="85"/>
      <c r="AO130" s="85"/>
      <c r="AP130" s="85"/>
      <c r="AQ130" s="85"/>
      <c r="AR130" s="85"/>
      <c r="AS130" s="85"/>
      <c r="AT130" s="85"/>
      <c r="AU130" s="85"/>
      <c r="AV130" s="85"/>
      <c r="AW130" s="85"/>
      <c r="AX130" s="85"/>
      <c r="AY130" s="85"/>
      <c r="AZ130" s="85"/>
    </row>
    <row r="131" spans="1:52" x14ac:dyDescent="0.25">
      <c r="A131" s="13"/>
      <c r="B131" s="12"/>
      <c r="C131" s="85"/>
      <c r="D131" s="14"/>
      <c r="E131" s="169"/>
      <c r="F131" s="12"/>
      <c r="G131" s="120"/>
      <c r="H131" s="12"/>
      <c r="I131" s="12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5"/>
      <c r="AM131" s="85"/>
      <c r="AN131" s="85"/>
      <c r="AO131" s="85"/>
      <c r="AP131" s="85"/>
      <c r="AQ131" s="85"/>
      <c r="AR131" s="85"/>
      <c r="AS131" s="85"/>
      <c r="AT131" s="85"/>
      <c r="AU131" s="85"/>
      <c r="AV131" s="85"/>
      <c r="AW131" s="85"/>
      <c r="AX131" s="85"/>
      <c r="AY131" s="85"/>
      <c r="AZ131" s="85"/>
    </row>
    <row r="132" spans="1:52" x14ac:dyDescent="0.25">
      <c r="A132" s="13"/>
      <c r="B132" s="12"/>
      <c r="C132" s="85"/>
      <c r="D132" s="14"/>
      <c r="E132" s="169"/>
      <c r="F132" s="12"/>
      <c r="G132" s="120"/>
      <c r="H132" s="12"/>
      <c r="I132" s="12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85"/>
      <c r="AP132" s="85"/>
      <c r="AQ132" s="85"/>
      <c r="AR132" s="85"/>
      <c r="AS132" s="85"/>
      <c r="AT132" s="85"/>
      <c r="AU132" s="85"/>
      <c r="AV132" s="85"/>
      <c r="AW132" s="85"/>
      <c r="AX132" s="85"/>
      <c r="AY132" s="85"/>
      <c r="AZ132" s="85"/>
    </row>
    <row r="133" spans="1:52" x14ac:dyDescent="0.25">
      <c r="A133" s="13"/>
      <c r="B133" s="12"/>
      <c r="C133" s="85"/>
      <c r="D133" s="14"/>
      <c r="E133" s="169"/>
      <c r="F133" s="12"/>
      <c r="G133" s="120"/>
      <c r="H133" s="12"/>
      <c r="I133" s="12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85"/>
      <c r="AN133" s="85"/>
      <c r="AO133" s="85"/>
      <c r="AP133" s="85"/>
      <c r="AQ133" s="85"/>
      <c r="AR133" s="85"/>
      <c r="AS133" s="85"/>
      <c r="AT133" s="85"/>
      <c r="AU133" s="85"/>
      <c r="AV133" s="85"/>
      <c r="AW133" s="85"/>
      <c r="AX133" s="85"/>
      <c r="AY133" s="85"/>
      <c r="AZ133" s="85"/>
    </row>
    <row r="134" spans="1:52" x14ac:dyDescent="0.25">
      <c r="A134" s="13"/>
      <c r="B134" s="12"/>
      <c r="C134" s="85"/>
      <c r="D134" s="14"/>
      <c r="E134" s="169"/>
      <c r="F134" s="12"/>
      <c r="G134" s="120"/>
      <c r="H134" s="12"/>
      <c r="I134" s="12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5"/>
      <c r="AM134" s="85"/>
      <c r="AN134" s="85"/>
      <c r="AO134" s="85"/>
      <c r="AP134" s="85"/>
      <c r="AQ134" s="85"/>
      <c r="AR134" s="85"/>
      <c r="AS134" s="85"/>
      <c r="AT134" s="85"/>
      <c r="AU134" s="85"/>
      <c r="AV134" s="85"/>
      <c r="AW134" s="85"/>
      <c r="AX134" s="85"/>
      <c r="AY134" s="85"/>
      <c r="AZ134" s="85"/>
    </row>
    <row r="135" spans="1:52" x14ac:dyDescent="0.25">
      <c r="A135" s="13"/>
      <c r="B135" s="12"/>
      <c r="C135" s="85"/>
      <c r="D135" s="14"/>
      <c r="E135" s="169"/>
      <c r="F135" s="12"/>
      <c r="G135" s="120"/>
      <c r="H135" s="12"/>
      <c r="I135" s="12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5"/>
      <c r="AM135" s="85"/>
      <c r="AN135" s="85"/>
      <c r="AO135" s="85"/>
      <c r="AP135" s="85"/>
      <c r="AQ135" s="85"/>
      <c r="AR135" s="85"/>
      <c r="AS135" s="85"/>
      <c r="AT135" s="85"/>
      <c r="AU135" s="85"/>
      <c r="AV135" s="85"/>
      <c r="AW135" s="85"/>
      <c r="AX135" s="85"/>
      <c r="AY135" s="85"/>
      <c r="AZ135" s="85"/>
    </row>
    <row r="136" spans="1:52" x14ac:dyDescent="0.25">
      <c r="A136" s="13"/>
      <c r="B136" s="12"/>
      <c r="C136" s="85"/>
      <c r="D136" s="14"/>
      <c r="E136" s="169"/>
      <c r="F136" s="12"/>
      <c r="G136" s="120"/>
      <c r="H136" s="12"/>
      <c r="I136" s="12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5"/>
      <c r="AM136" s="85"/>
      <c r="AN136" s="85"/>
      <c r="AO136" s="85"/>
      <c r="AP136" s="85"/>
      <c r="AQ136" s="85"/>
      <c r="AR136" s="85"/>
      <c r="AS136" s="85"/>
      <c r="AT136" s="85"/>
      <c r="AU136" s="85"/>
      <c r="AV136" s="85"/>
      <c r="AW136" s="85"/>
      <c r="AX136" s="85"/>
      <c r="AY136" s="85"/>
      <c r="AZ136" s="85"/>
    </row>
    <row r="137" spans="1:52" x14ac:dyDescent="0.25">
      <c r="A137" s="13"/>
      <c r="B137" s="12"/>
      <c r="C137" s="85"/>
      <c r="D137" s="14"/>
      <c r="E137" s="169"/>
      <c r="F137" s="12"/>
      <c r="G137" s="120"/>
      <c r="H137" s="12"/>
      <c r="I137" s="12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5"/>
      <c r="AM137" s="85"/>
      <c r="AN137" s="85"/>
      <c r="AO137" s="85"/>
      <c r="AP137" s="85"/>
      <c r="AQ137" s="85"/>
      <c r="AR137" s="85"/>
      <c r="AS137" s="85"/>
      <c r="AT137" s="85"/>
      <c r="AU137" s="85"/>
      <c r="AV137" s="85"/>
      <c r="AW137" s="85"/>
      <c r="AX137" s="85"/>
      <c r="AY137" s="85"/>
      <c r="AZ137" s="85"/>
    </row>
    <row r="138" spans="1:52" x14ac:dyDescent="0.25">
      <c r="A138" s="13"/>
      <c r="B138" s="12"/>
      <c r="C138" s="85"/>
      <c r="D138" s="14"/>
      <c r="E138" s="169"/>
      <c r="F138" s="12"/>
      <c r="G138" s="120"/>
      <c r="H138" s="12"/>
      <c r="I138" s="12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5"/>
      <c r="AM138" s="85"/>
      <c r="AN138" s="85"/>
      <c r="AO138" s="85"/>
      <c r="AP138" s="85"/>
      <c r="AQ138" s="85"/>
      <c r="AR138" s="85"/>
      <c r="AS138" s="85"/>
      <c r="AT138" s="85"/>
      <c r="AU138" s="85"/>
      <c r="AV138" s="85"/>
      <c r="AW138" s="85"/>
      <c r="AX138" s="85"/>
      <c r="AY138" s="85"/>
      <c r="AZ138" s="85"/>
    </row>
    <row r="139" spans="1:52" x14ac:dyDescent="0.25">
      <c r="A139" s="13"/>
      <c r="B139" s="12"/>
      <c r="C139" s="85"/>
      <c r="D139" s="14"/>
      <c r="E139" s="169"/>
      <c r="F139" s="12"/>
      <c r="G139" s="120"/>
      <c r="H139" s="12"/>
      <c r="I139" s="12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5"/>
      <c r="AM139" s="85"/>
      <c r="AN139" s="85"/>
      <c r="AO139" s="85"/>
      <c r="AP139" s="85"/>
      <c r="AQ139" s="85"/>
      <c r="AR139" s="85"/>
      <c r="AS139" s="85"/>
      <c r="AT139" s="85"/>
      <c r="AU139" s="85"/>
      <c r="AV139" s="85"/>
      <c r="AW139" s="85"/>
      <c r="AX139" s="85"/>
      <c r="AY139" s="85"/>
      <c r="AZ139" s="85"/>
    </row>
    <row r="140" spans="1:52" x14ac:dyDescent="0.25">
      <c r="A140" s="13"/>
      <c r="B140" s="12"/>
      <c r="C140" s="85"/>
      <c r="D140" s="14"/>
      <c r="E140" s="169"/>
      <c r="F140" s="12"/>
      <c r="G140" s="120"/>
      <c r="H140" s="12"/>
      <c r="I140" s="12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5"/>
      <c r="AM140" s="85"/>
      <c r="AN140" s="85"/>
      <c r="AO140" s="85"/>
      <c r="AP140" s="85"/>
      <c r="AQ140" s="85"/>
      <c r="AR140" s="85"/>
      <c r="AS140" s="85"/>
      <c r="AT140" s="85"/>
      <c r="AU140" s="85"/>
      <c r="AV140" s="85"/>
      <c r="AW140" s="85"/>
      <c r="AX140" s="85"/>
      <c r="AY140" s="85"/>
      <c r="AZ140" s="85"/>
    </row>
    <row r="141" spans="1:52" x14ac:dyDescent="0.25">
      <c r="A141" s="13"/>
      <c r="B141" s="12"/>
      <c r="C141" s="85"/>
      <c r="D141" s="14"/>
      <c r="E141" s="169"/>
      <c r="F141" s="12"/>
      <c r="G141" s="120"/>
      <c r="H141" s="12"/>
      <c r="I141" s="12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5"/>
      <c r="AM141" s="85"/>
      <c r="AN141" s="85"/>
      <c r="AO141" s="85"/>
      <c r="AP141" s="85"/>
      <c r="AQ141" s="85"/>
      <c r="AR141" s="85"/>
      <c r="AS141" s="85"/>
      <c r="AT141" s="85"/>
      <c r="AU141" s="85"/>
      <c r="AV141" s="85"/>
      <c r="AW141" s="85"/>
      <c r="AX141" s="85"/>
      <c r="AY141" s="85"/>
      <c r="AZ141" s="85"/>
    </row>
    <row r="142" spans="1:52" x14ac:dyDescent="0.25">
      <c r="A142" s="13"/>
      <c r="B142" s="12"/>
      <c r="C142" s="85"/>
      <c r="D142" s="14"/>
      <c r="E142" s="169"/>
      <c r="F142" s="12"/>
      <c r="G142" s="120"/>
      <c r="H142" s="12"/>
      <c r="I142" s="12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  <c r="AU142" s="85"/>
      <c r="AV142" s="85"/>
      <c r="AW142" s="85"/>
      <c r="AX142" s="85"/>
      <c r="AY142" s="85"/>
      <c r="AZ142" s="85"/>
    </row>
    <row r="143" spans="1:52" x14ac:dyDescent="0.25">
      <c r="A143" s="13"/>
      <c r="B143" s="12"/>
      <c r="C143" s="85"/>
      <c r="D143" s="14"/>
      <c r="E143" s="169"/>
      <c r="F143" s="12"/>
      <c r="G143" s="120"/>
      <c r="H143" s="12"/>
      <c r="I143" s="12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85"/>
      <c r="AN143" s="85"/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</row>
    <row r="144" spans="1:52" x14ac:dyDescent="0.25">
      <c r="A144" s="13"/>
      <c r="B144" s="12"/>
      <c r="C144" s="85"/>
      <c r="D144" s="14"/>
      <c r="E144" s="169"/>
      <c r="F144" s="12"/>
      <c r="G144" s="120"/>
      <c r="H144" s="12"/>
      <c r="I144" s="12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5"/>
      <c r="AM144" s="85"/>
      <c r="AN144" s="85"/>
      <c r="AO144" s="85"/>
      <c r="AP144" s="85"/>
      <c r="AQ144" s="85"/>
      <c r="AR144" s="85"/>
      <c r="AS144" s="85"/>
      <c r="AT144" s="85"/>
      <c r="AU144" s="85"/>
      <c r="AV144" s="85"/>
      <c r="AW144" s="85"/>
      <c r="AX144" s="85"/>
      <c r="AY144" s="85"/>
      <c r="AZ144" s="85"/>
    </row>
    <row r="145" spans="1:52" x14ac:dyDescent="0.25">
      <c r="A145" s="13"/>
      <c r="B145" s="12"/>
      <c r="C145" s="85"/>
      <c r="D145" s="14"/>
      <c r="E145" s="169"/>
      <c r="F145" s="12"/>
      <c r="G145" s="120"/>
      <c r="H145" s="12"/>
      <c r="I145" s="12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  <c r="AU145" s="85"/>
      <c r="AV145" s="85"/>
      <c r="AW145" s="85"/>
      <c r="AX145" s="85"/>
      <c r="AY145" s="85"/>
      <c r="AZ145" s="85"/>
    </row>
    <row r="146" spans="1:52" x14ac:dyDescent="0.25">
      <c r="A146" s="13"/>
      <c r="B146" s="12"/>
      <c r="C146" s="85"/>
      <c r="D146" s="14"/>
      <c r="E146" s="169"/>
      <c r="F146" s="12"/>
      <c r="G146" s="120"/>
      <c r="H146" s="12"/>
      <c r="I146" s="12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5"/>
      <c r="AM146" s="85"/>
      <c r="AN146" s="85"/>
      <c r="AO146" s="85"/>
      <c r="AP146" s="85"/>
      <c r="AQ146" s="85"/>
      <c r="AR146" s="85"/>
      <c r="AS146" s="85"/>
      <c r="AT146" s="85"/>
      <c r="AU146" s="85"/>
      <c r="AV146" s="85"/>
      <c r="AW146" s="85"/>
      <c r="AX146" s="85"/>
      <c r="AY146" s="85"/>
      <c r="AZ146" s="85"/>
    </row>
    <row r="147" spans="1:52" x14ac:dyDescent="0.25">
      <c r="A147" s="13"/>
      <c r="B147" s="12"/>
      <c r="C147" s="85"/>
      <c r="D147" s="14"/>
      <c r="E147" s="169"/>
      <c r="F147" s="12"/>
      <c r="G147" s="120"/>
      <c r="H147" s="12"/>
      <c r="I147" s="12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5"/>
      <c r="AM147" s="85"/>
      <c r="AN147" s="85"/>
      <c r="AO147" s="85"/>
      <c r="AP147" s="85"/>
      <c r="AQ147" s="85"/>
      <c r="AR147" s="85"/>
      <c r="AS147" s="85"/>
      <c r="AT147" s="85"/>
      <c r="AU147" s="85"/>
      <c r="AV147" s="85"/>
      <c r="AW147" s="85"/>
      <c r="AX147" s="85"/>
      <c r="AY147" s="85"/>
      <c r="AZ147" s="85"/>
    </row>
    <row r="148" spans="1:52" x14ac:dyDescent="0.25">
      <c r="A148" s="13"/>
      <c r="B148" s="12"/>
      <c r="C148" s="85"/>
      <c r="D148" s="14"/>
      <c r="E148" s="169"/>
      <c r="F148" s="12"/>
      <c r="G148" s="120"/>
      <c r="H148" s="12"/>
      <c r="I148" s="12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5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</row>
    <row r="149" spans="1:52" x14ac:dyDescent="0.25">
      <c r="A149" s="13"/>
      <c r="B149" s="12"/>
      <c r="C149" s="85"/>
      <c r="D149" s="14"/>
      <c r="E149" s="169"/>
      <c r="F149" s="12"/>
      <c r="G149" s="120"/>
      <c r="H149" s="12"/>
      <c r="I149" s="12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5"/>
      <c r="AM149" s="85"/>
      <c r="AN149" s="85"/>
      <c r="AO149" s="85"/>
      <c r="AP149" s="85"/>
      <c r="AQ149" s="85"/>
      <c r="AR149" s="85"/>
      <c r="AS149" s="85"/>
      <c r="AT149" s="85"/>
      <c r="AU149" s="85"/>
      <c r="AV149" s="85"/>
      <c r="AW149" s="85"/>
      <c r="AX149" s="85"/>
      <c r="AY149" s="85"/>
      <c r="AZ149" s="85"/>
    </row>
    <row r="150" spans="1:52" x14ac:dyDescent="0.25">
      <c r="A150" s="13"/>
      <c r="B150" s="12"/>
      <c r="C150" s="85"/>
      <c r="D150" s="14"/>
      <c r="E150" s="169"/>
      <c r="F150" s="12"/>
      <c r="G150" s="120"/>
      <c r="H150" s="12"/>
      <c r="I150" s="12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5"/>
      <c r="AM150" s="85"/>
      <c r="AN150" s="85"/>
      <c r="AO150" s="85"/>
      <c r="AP150" s="85"/>
      <c r="AQ150" s="85"/>
      <c r="AR150" s="85"/>
      <c r="AS150" s="85"/>
      <c r="AT150" s="85"/>
      <c r="AU150" s="85"/>
      <c r="AV150" s="85"/>
      <c r="AW150" s="85"/>
      <c r="AX150" s="85"/>
      <c r="AY150" s="85"/>
      <c r="AZ150" s="85"/>
    </row>
    <row r="151" spans="1:52" x14ac:dyDescent="0.25">
      <c r="A151" s="13"/>
      <c r="B151" s="12"/>
      <c r="C151" s="85"/>
      <c r="D151" s="14"/>
      <c r="E151" s="169"/>
      <c r="F151" s="12"/>
      <c r="G151" s="120"/>
      <c r="H151" s="12"/>
      <c r="I151" s="12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5"/>
      <c r="AM151" s="85"/>
      <c r="AN151" s="85"/>
      <c r="AO151" s="85"/>
      <c r="AP151" s="85"/>
      <c r="AQ151" s="85"/>
      <c r="AR151" s="85"/>
      <c r="AS151" s="85"/>
      <c r="AT151" s="85"/>
      <c r="AU151" s="85"/>
      <c r="AV151" s="85"/>
      <c r="AW151" s="85"/>
      <c r="AX151" s="85"/>
      <c r="AY151" s="85"/>
      <c r="AZ151" s="85"/>
    </row>
    <row r="152" spans="1:52" x14ac:dyDescent="0.25">
      <c r="A152" s="90"/>
      <c r="B152" s="73"/>
      <c r="C152" s="73"/>
      <c r="D152" s="91"/>
      <c r="E152" s="171"/>
      <c r="F152" s="73"/>
      <c r="G152" s="73"/>
      <c r="H152" s="73"/>
      <c r="I152" s="73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5"/>
      <c r="AM152" s="85"/>
      <c r="AN152" s="85"/>
      <c r="AO152" s="85"/>
      <c r="AP152" s="85"/>
      <c r="AQ152" s="85"/>
      <c r="AR152" s="85"/>
      <c r="AS152" s="85"/>
      <c r="AT152" s="85"/>
      <c r="AU152" s="85"/>
      <c r="AV152" s="85"/>
      <c r="AW152" s="85"/>
      <c r="AX152" s="85"/>
      <c r="AY152" s="85"/>
      <c r="AZ152" s="85"/>
    </row>
    <row r="153" spans="1:52" x14ac:dyDescent="0.25">
      <c r="A153" s="13"/>
      <c r="B153" s="12"/>
      <c r="C153" s="12"/>
      <c r="D153" s="14"/>
      <c r="E153" s="169"/>
      <c r="F153" s="12"/>
      <c r="G153" s="12"/>
      <c r="H153" s="12"/>
      <c r="I153" s="12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5"/>
      <c r="AM153" s="85"/>
      <c r="AN153" s="85"/>
      <c r="AO153" s="85"/>
      <c r="AP153" s="85"/>
      <c r="AQ153" s="85"/>
      <c r="AR153" s="85"/>
      <c r="AS153" s="85"/>
      <c r="AT153" s="85"/>
      <c r="AU153" s="85"/>
      <c r="AV153" s="85"/>
      <c r="AW153" s="85"/>
      <c r="AX153" s="85"/>
      <c r="AY153" s="85"/>
      <c r="AZ153" s="85"/>
    </row>
    <row r="154" spans="1:52" x14ac:dyDescent="0.25">
      <c r="A154" s="13"/>
      <c r="B154" s="12"/>
      <c r="C154" s="12"/>
      <c r="D154" s="14"/>
      <c r="E154" s="169"/>
      <c r="F154" s="12"/>
      <c r="G154" s="12"/>
      <c r="H154" s="12"/>
      <c r="I154" s="12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5"/>
      <c r="AM154" s="85"/>
      <c r="AN154" s="85"/>
      <c r="AO154" s="85"/>
      <c r="AP154" s="85"/>
      <c r="AQ154" s="85"/>
      <c r="AR154" s="85"/>
      <c r="AS154" s="85"/>
      <c r="AT154" s="85"/>
      <c r="AU154" s="85"/>
      <c r="AV154" s="85"/>
      <c r="AW154" s="85"/>
      <c r="AX154" s="85"/>
      <c r="AY154" s="85"/>
      <c r="AZ154" s="85"/>
    </row>
    <row r="155" spans="1:52" x14ac:dyDescent="0.25">
      <c r="A155" s="13"/>
      <c r="B155" s="12"/>
      <c r="C155" s="12"/>
      <c r="D155" s="14"/>
      <c r="E155" s="169"/>
      <c r="F155" s="12"/>
      <c r="G155" s="12"/>
      <c r="H155" s="12"/>
      <c r="I155" s="12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5"/>
      <c r="AM155" s="85"/>
      <c r="AN155" s="85"/>
      <c r="AO155" s="85"/>
      <c r="AP155" s="85"/>
      <c r="AQ155" s="85"/>
      <c r="AR155" s="85"/>
      <c r="AS155" s="85"/>
      <c r="AT155" s="85"/>
      <c r="AU155" s="85"/>
      <c r="AV155" s="85"/>
      <c r="AW155" s="85"/>
      <c r="AX155" s="85"/>
      <c r="AY155" s="85"/>
      <c r="AZ155" s="85"/>
    </row>
    <row r="156" spans="1:52" x14ac:dyDescent="0.25">
      <c r="A156" s="13"/>
      <c r="B156" s="12"/>
      <c r="C156" s="12"/>
      <c r="D156" s="14"/>
      <c r="E156" s="169"/>
      <c r="F156" s="12"/>
      <c r="G156" s="12"/>
      <c r="H156" s="12"/>
      <c r="I156" s="12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5"/>
      <c r="AM156" s="85"/>
      <c r="AN156" s="85"/>
      <c r="AO156" s="85"/>
      <c r="AP156" s="85"/>
      <c r="AQ156" s="85"/>
      <c r="AR156" s="85"/>
      <c r="AS156" s="85"/>
      <c r="AT156" s="85"/>
      <c r="AU156" s="85"/>
      <c r="AV156" s="85"/>
      <c r="AW156" s="85"/>
      <c r="AX156" s="85"/>
      <c r="AY156" s="85"/>
      <c r="AZ156" s="85"/>
    </row>
    <row r="157" spans="1:52" x14ac:dyDescent="0.25">
      <c r="A157" s="13"/>
      <c r="B157" s="12"/>
      <c r="C157" s="12"/>
      <c r="D157" s="14"/>
      <c r="E157" s="169"/>
      <c r="F157" s="12"/>
      <c r="G157" s="12"/>
      <c r="H157" s="12"/>
      <c r="I157" s="12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5"/>
      <c r="AM157" s="85"/>
      <c r="AN157" s="85"/>
      <c r="AO157" s="85"/>
      <c r="AP157" s="85"/>
      <c r="AQ157" s="85"/>
      <c r="AR157" s="85"/>
      <c r="AS157" s="85"/>
      <c r="AT157" s="85"/>
      <c r="AU157" s="85"/>
      <c r="AV157" s="85"/>
      <c r="AW157" s="85"/>
      <c r="AX157" s="85"/>
      <c r="AY157" s="85"/>
      <c r="AZ157" s="85"/>
    </row>
    <row r="158" spans="1:52" x14ac:dyDescent="0.25">
      <c r="A158" s="13"/>
      <c r="B158" s="12"/>
      <c r="C158" s="12"/>
      <c r="D158" s="14"/>
      <c r="E158" s="169"/>
      <c r="F158" s="12"/>
      <c r="G158" s="12"/>
      <c r="H158" s="12"/>
      <c r="I158" s="12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5"/>
      <c r="AM158" s="85"/>
      <c r="AN158" s="85"/>
      <c r="AO158" s="85"/>
      <c r="AP158" s="85"/>
      <c r="AQ158" s="85"/>
      <c r="AR158" s="85"/>
      <c r="AS158" s="85"/>
      <c r="AT158" s="85"/>
      <c r="AU158" s="85"/>
      <c r="AV158" s="85"/>
      <c r="AW158" s="85"/>
      <c r="AX158" s="85"/>
      <c r="AY158" s="85"/>
      <c r="AZ158" s="85"/>
    </row>
    <row r="159" spans="1:52" x14ac:dyDescent="0.25">
      <c r="A159" s="13"/>
      <c r="B159" s="12"/>
      <c r="C159" s="12"/>
      <c r="D159" s="14"/>
      <c r="E159" s="169"/>
      <c r="F159" s="12"/>
      <c r="G159" s="12"/>
      <c r="H159" s="12"/>
      <c r="I159" s="12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85"/>
      <c r="AN159" s="85"/>
      <c r="AO159" s="85"/>
      <c r="AP159" s="85"/>
      <c r="AQ159" s="85"/>
      <c r="AR159" s="85"/>
      <c r="AS159" s="85"/>
      <c r="AT159" s="85"/>
      <c r="AU159" s="85"/>
      <c r="AV159" s="85"/>
      <c r="AW159" s="85"/>
      <c r="AX159" s="85"/>
      <c r="AY159" s="85"/>
      <c r="AZ159" s="85"/>
    </row>
    <row r="160" spans="1:52" x14ac:dyDescent="0.25">
      <c r="A160" s="13"/>
      <c r="B160" s="12"/>
      <c r="C160" s="12"/>
      <c r="D160" s="14"/>
      <c r="E160" s="169"/>
      <c r="F160" s="12"/>
      <c r="G160" s="12"/>
      <c r="H160" s="12"/>
      <c r="I160" s="12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5"/>
      <c r="AM160" s="85"/>
      <c r="AN160" s="85"/>
      <c r="AO160" s="85"/>
      <c r="AP160" s="85"/>
      <c r="AQ160" s="85"/>
      <c r="AR160" s="85"/>
      <c r="AS160" s="85"/>
      <c r="AT160" s="85"/>
      <c r="AU160" s="85"/>
      <c r="AV160" s="85"/>
      <c r="AW160" s="85"/>
      <c r="AX160" s="85"/>
      <c r="AY160" s="85"/>
      <c r="AZ160" s="85"/>
    </row>
    <row r="161" spans="1:52" x14ac:dyDescent="0.25">
      <c r="A161" s="13"/>
      <c r="B161" s="12"/>
      <c r="C161" s="12"/>
      <c r="D161" s="14"/>
      <c r="E161" s="169"/>
      <c r="F161" s="12"/>
      <c r="G161" s="12"/>
      <c r="H161" s="12"/>
      <c r="I161" s="12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5"/>
      <c r="AM161" s="85"/>
      <c r="AN161" s="85"/>
      <c r="AO161" s="85"/>
      <c r="AP161" s="85"/>
      <c r="AQ161" s="85"/>
      <c r="AR161" s="85"/>
      <c r="AS161" s="85"/>
      <c r="AT161" s="85"/>
      <c r="AU161" s="85"/>
      <c r="AV161" s="85"/>
      <c r="AW161" s="85"/>
      <c r="AX161" s="85"/>
      <c r="AY161" s="85"/>
      <c r="AZ161" s="85"/>
    </row>
    <row r="162" spans="1:52" x14ac:dyDescent="0.25">
      <c r="A162" s="13"/>
      <c r="B162" s="12"/>
      <c r="C162" s="12"/>
      <c r="D162" s="14"/>
      <c r="E162" s="169"/>
      <c r="F162" s="12"/>
      <c r="G162" s="12"/>
      <c r="H162" s="12"/>
      <c r="I162" s="12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  <c r="AU162" s="85"/>
      <c r="AV162" s="85"/>
      <c r="AW162" s="85"/>
      <c r="AX162" s="85"/>
      <c r="AY162" s="85"/>
      <c r="AZ162" s="85"/>
    </row>
    <row r="163" spans="1:52" x14ac:dyDescent="0.25">
      <c r="A163" s="13"/>
      <c r="B163" s="12"/>
      <c r="C163" s="12"/>
      <c r="D163" s="14"/>
      <c r="E163" s="169"/>
      <c r="F163" s="12"/>
      <c r="G163" s="12"/>
      <c r="H163" s="12"/>
      <c r="I163" s="12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5"/>
      <c r="AZ163" s="85"/>
    </row>
    <row r="164" spans="1:52" x14ac:dyDescent="0.25">
      <c r="A164" s="13"/>
      <c r="B164" s="12"/>
      <c r="C164" s="12"/>
      <c r="D164" s="14"/>
      <c r="E164" s="169"/>
      <c r="F164" s="12"/>
      <c r="G164" s="12"/>
      <c r="H164" s="12"/>
      <c r="I164" s="12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5"/>
      <c r="AM164" s="85"/>
      <c r="AN164" s="85"/>
      <c r="AO164" s="85"/>
      <c r="AP164" s="85"/>
      <c r="AQ164" s="85"/>
      <c r="AR164" s="85"/>
      <c r="AS164" s="85"/>
      <c r="AT164" s="85"/>
      <c r="AU164" s="85"/>
      <c r="AV164" s="85"/>
      <c r="AW164" s="85"/>
      <c r="AX164" s="85"/>
      <c r="AY164" s="85"/>
      <c r="AZ164" s="85"/>
    </row>
    <row r="165" spans="1:52" x14ac:dyDescent="0.25">
      <c r="A165" s="13"/>
      <c r="B165" s="12"/>
      <c r="C165" s="12"/>
      <c r="D165" s="14"/>
      <c r="E165" s="169"/>
      <c r="F165" s="12"/>
      <c r="G165" s="12"/>
      <c r="H165" s="12"/>
      <c r="I165" s="12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5"/>
      <c r="AM165" s="85"/>
      <c r="AN165" s="85"/>
      <c r="AO165" s="85"/>
      <c r="AP165" s="85"/>
      <c r="AQ165" s="85"/>
      <c r="AR165" s="85"/>
      <c r="AS165" s="85"/>
      <c r="AT165" s="85"/>
      <c r="AU165" s="85"/>
      <c r="AV165" s="85"/>
      <c r="AW165" s="85"/>
      <c r="AX165" s="85"/>
      <c r="AY165" s="85"/>
      <c r="AZ165" s="85"/>
    </row>
    <row r="166" spans="1:52" x14ac:dyDescent="0.25">
      <c r="A166" s="13"/>
      <c r="B166" s="12"/>
      <c r="C166" s="12"/>
      <c r="D166" s="14"/>
      <c r="E166" s="169"/>
      <c r="F166" s="12"/>
      <c r="G166" s="12"/>
      <c r="H166" s="12"/>
      <c r="I166" s="12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5"/>
      <c r="AM166" s="85"/>
      <c r="AN166" s="85"/>
      <c r="AO166" s="85"/>
      <c r="AP166" s="85"/>
      <c r="AQ166" s="85"/>
      <c r="AR166" s="85"/>
      <c r="AS166" s="85"/>
      <c r="AT166" s="85"/>
      <c r="AU166" s="85"/>
      <c r="AV166" s="85"/>
      <c r="AW166" s="85"/>
      <c r="AX166" s="85"/>
      <c r="AY166" s="85"/>
      <c r="AZ166" s="85"/>
    </row>
    <row r="167" spans="1:52" x14ac:dyDescent="0.25">
      <c r="A167" s="13"/>
      <c r="B167" s="12"/>
      <c r="C167" s="12"/>
      <c r="D167" s="14"/>
      <c r="E167" s="169"/>
      <c r="F167" s="12"/>
      <c r="G167" s="12"/>
      <c r="H167" s="12"/>
      <c r="I167" s="12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5"/>
      <c r="AM167" s="85"/>
      <c r="AN167" s="85"/>
      <c r="AO167" s="85"/>
      <c r="AP167" s="85"/>
      <c r="AQ167" s="85"/>
      <c r="AR167" s="85"/>
      <c r="AS167" s="85"/>
      <c r="AT167" s="85"/>
      <c r="AU167" s="85"/>
      <c r="AV167" s="85"/>
      <c r="AW167" s="85"/>
      <c r="AX167" s="85"/>
      <c r="AY167" s="85"/>
      <c r="AZ167" s="85"/>
    </row>
    <row r="168" spans="1:52" x14ac:dyDescent="0.25">
      <c r="A168" s="13"/>
      <c r="B168" s="12"/>
      <c r="C168" s="12"/>
      <c r="D168" s="14"/>
      <c r="E168" s="169"/>
      <c r="F168" s="12"/>
      <c r="G168" s="12"/>
      <c r="H168" s="12"/>
      <c r="I168" s="12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</row>
    <row r="169" spans="1:52" x14ac:dyDescent="0.25">
      <c r="A169" s="13"/>
      <c r="B169" s="12"/>
      <c r="C169" s="12"/>
      <c r="D169" s="14"/>
      <c r="E169" s="169"/>
      <c r="F169" s="12"/>
      <c r="G169" s="12"/>
      <c r="H169" s="12"/>
      <c r="I169" s="12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  <c r="AU169" s="85"/>
      <c r="AV169" s="85"/>
      <c r="AW169" s="85"/>
      <c r="AX169" s="85"/>
      <c r="AY169" s="85"/>
      <c r="AZ169" s="85"/>
    </row>
    <row r="170" spans="1:52" x14ac:dyDescent="0.25">
      <c r="A170" s="13"/>
      <c r="B170" s="12"/>
      <c r="C170" s="12"/>
      <c r="D170" s="14"/>
      <c r="E170" s="169"/>
      <c r="F170" s="12"/>
      <c r="G170" s="12"/>
      <c r="H170" s="12"/>
      <c r="I170" s="12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5"/>
      <c r="AM170" s="85"/>
      <c r="AN170" s="85"/>
      <c r="AO170" s="85"/>
      <c r="AP170" s="85"/>
      <c r="AQ170" s="85"/>
      <c r="AR170" s="85"/>
      <c r="AS170" s="85"/>
      <c r="AT170" s="85"/>
      <c r="AU170" s="85"/>
      <c r="AV170" s="85"/>
      <c r="AW170" s="85"/>
      <c r="AX170" s="85"/>
      <c r="AY170" s="85"/>
      <c r="AZ170" s="85"/>
    </row>
    <row r="171" spans="1:52" x14ac:dyDescent="0.25">
      <c r="A171" s="13"/>
      <c r="B171" s="12"/>
      <c r="C171" s="12"/>
      <c r="D171" s="14"/>
      <c r="E171" s="169"/>
      <c r="F171" s="12"/>
      <c r="G171" s="12"/>
      <c r="H171" s="12"/>
      <c r="I171" s="12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5"/>
      <c r="AM171" s="85"/>
      <c r="AN171" s="85"/>
      <c r="AO171" s="85"/>
      <c r="AP171" s="85"/>
      <c r="AQ171" s="85"/>
      <c r="AR171" s="85"/>
      <c r="AS171" s="85"/>
      <c r="AT171" s="85"/>
      <c r="AU171" s="85"/>
      <c r="AV171" s="85"/>
      <c r="AW171" s="85"/>
      <c r="AX171" s="85"/>
      <c r="AY171" s="85"/>
      <c r="AZ171" s="85"/>
    </row>
    <row r="172" spans="1:52" x14ac:dyDescent="0.25">
      <c r="A172" s="13"/>
      <c r="B172" s="12"/>
      <c r="C172" s="12"/>
      <c r="D172" s="14"/>
      <c r="E172" s="169"/>
      <c r="F172" s="12"/>
      <c r="G172" s="12"/>
      <c r="H172" s="12"/>
      <c r="I172" s="12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5"/>
      <c r="AM172" s="85"/>
      <c r="AN172" s="85"/>
      <c r="AO172" s="85"/>
      <c r="AP172" s="85"/>
      <c r="AQ172" s="85"/>
      <c r="AR172" s="85"/>
      <c r="AS172" s="85"/>
      <c r="AT172" s="85"/>
      <c r="AU172" s="85"/>
      <c r="AV172" s="85"/>
      <c r="AW172" s="85"/>
      <c r="AX172" s="85"/>
      <c r="AY172" s="85"/>
      <c r="AZ172" s="85"/>
    </row>
    <row r="173" spans="1:52" x14ac:dyDescent="0.25">
      <c r="A173" s="13"/>
      <c r="B173" s="12"/>
      <c r="C173" s="12"/>
      <c r="D173" s="14"/>
      <c r="E173" s="169"/>
      <c r="F173" s="12"/>
      <c r="G173" s="12"/>
      <c r="H173" s="12"/>
      <c r="I173" s="12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5"/>
      <c r="AM173" s="85"/>
      <c r="AN173" s="85"/>
      <c r="AO173" s="85"/>
      <c r="AP173" s="85"/>
      <c r="AQ173" s="85"/>
      <c r="AR173" s="85"/>
      <c r="AS173" s="85"/>
      <c r="AT173" s="85"/>
      <c r="AU173" s="85"/>
      <c r="AV173" s="85"/>
      <c r="AW173" s="85"/>
      <c r="AX173" s="85"/>
      <c r="AY173" s="85"/>
      <c r="AZ173" s="85"/>
    </row>
    <row r="174" spans="1:52" x14ac:dyDescent="0.25">
      <c r="A174" s="13"/>
      <c r="B174" s="12"/>
      <c r="C174" s="12"/>
      <c r="D174" s="14"/>
      <c r="E174" s="169"/>
      <c r="F174" s="12"/>
      <c r="G174" s="12"/>
      <c r="H174" s="12"/>
      <c r="I174" s="12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5"/>
      <c r="AM174" s="85"/>
      <c r="AN174" s="85"/>
      <c r="AO174" s="85"/>
      <c r="AP174" s="85"/>
      <c r="AQ174" s="85"/>
      <c r="AR174" s="85"/>
      <c r="AS174" s="85"/>
      <c r="AT174" s="85"/>
      <c r="AU174" s="85"/>
      <c r="AV174" s="85"/>
      <c r="AW174" s="85"/>
      <c r="AX174" s="85"/>
      <c r="AY174" s="85"/>
      <c r="AZ174" s="85"/>
    </row>
    <row r="175" spans="1:52" x14ac:dyDescent="0.25">
      <c r="A175" s="13"/>
      <c r="B175" s="12"/>
      <c r="C175" s="12"/>
      <c r="D175" s="14"/>
      <c r="E175" s="169"/>
      <c r="F175" s="12"/>
      <c r="G175" s="12"/>
      <c r="H175" s="12"/>
      <c r="I175" s="12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  <c r="AL175" s="85"/>
      <c r="AM175" s="85"/>
      <c r="AN175" s="85"/>
      <c r="AO175" s="85"/>
      <c r="AP175" s="85"/>
      <c r="AQ175" s="85"/>
      <c r="AR175" s="85"/>
      <c r="AS175" s="85"/>
      <c r="AT175" s="85"/>
      <c r="AU175" s="85"/>
      <c r="AV175" s="85"/>
      <c r="AW175" s="85"/>
      <c r="AX175" s="85"/>
      <c r="AY175" s="85"/>
      <c r="AZ175" s="85"/>
    </row>
    <row r="176" spans="1:52" x14ac:dyDescent="0.25">
      <c r="A176" s="13"/>
      <c r="B176" s="12"/>
      <c r="C176" s="12"/>
      <c r="D176" s="14"/>
      <c r="E176" s="169"/>
      <c r="F176" s="12"/>
      <c r="G176" s="12"/>
      <c r="H176" s="12"/>
      <c r="I176" s="12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  <c r="AL176" s="85"/>
      <c r="AM176" s="85"/>
      <c r="AN176" s="85"/>
      <c r="AO176" s="85"/>
      <c r="AP176" s="85"/>
      <c r="AQ176" s="85"/>
      <c r="AR176" s="85"/>
      <c r="AS176" s="85"/>
      <c r="AT176" s="85"/>
      <c r="AU176" s="85"/>
      <c r="AV176" s="85"/>
      <c r="AW176" s="85"/>
      <c r="AX176" s="85"/>
      <c r="AY176" s="85"/>
      <c r="AZ176" s="85"/>
    </row>
    <row r="177" spans="1:52" x14ac:dyDescent="0.25">
      <c r="A177" s="13"/>
      <c r="B177" s="12"/>
      <c r="C177" s="12"/>
      <c r="D177" s="14"/>
      <c r="E177" s="169"/>
      <c r="F177" s="12"/>
      <c r="G177" s="12"/>
      <c r="H177" s="12"/>
      <c r="I177" s="12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85"/>
      <c r="AN177" s="85"/>
      <c r="AO177" s="85"/>
      <c r="AP177" s="85"/>
      <c r="AQ177" s="85"/>
      <c r="AR177" s="85"/>
      <c r="AS177" s="85"/>
      <c r="AT177" s="85"/>
      <c r="AU177" s="85"/>
      <c r="AV177" s="85"/>
      <c r="AW177" s="85"/>
      <c r="AX177" s="85"/>
      <c r="AY177" s="85"/>
      <c r="AZ177" s="85"/>
    </row>
    <row r="178" spans="1:52" x14ac:dyDescent="0.25">
      <c r="A178" s="13"/>
      <c r="B178" s="12"/>
      <c r="C178" s="12"/>
      <c r="D178" s="14"/>
      <c r="E178" s="169"/>
      <c r="F178" s="12"/>
      <c r="G178" s="12"/>
      <c r="H178" s="12"/>
      <c r="I178" s="12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  <c r="AL178" s="85"/>
      <c r="AM178" s="85"/>
      <c r="AN178" s="85"/>
      <c r="AO178" s="85"/>
      <c r="AP178" s="85"/>
      <c r="AQ178" s="85"/>
      <c r="AR178" s="85"/>
      <c r="AS178" s="85"/>
      <c r="AT178" s="85"/>
      <c r="AU178" s="85"/>
      <c r="AV178" s="85"/>
      <c r="AW178" s="85"/>
      <c r="AX178" s="85"/>
      <c r="AY178" s="85"/>
      <c r="AZ178" s="85"/>
    </row>
    <row r="179" spans="1:52" x14ac:dyDescent="0.25">
      <c r="A179" s="13"/>
      <c r="B179" s="12"/>
      <c r="C179" s="12"/>
      <c r="D179" s="14"/>
      <c r="E179" s="169"/>
      <c r="F179" s="12"/>
      <c r="G179" s="12"/>
      <c r="H179" s="12"/>
      <c r="I179" s="12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  <c r="AL179" s="85"/>
      <c r="AM179" s="85"/>
      <c r="AN179" s="85"/>
      <c r="AO179" s="85"/>
      <c r="AP179" s="85"/>
      <c r="AQ179" s="85"/>
      <c r="AR179" s="85"/>
      <c r="AS179" s="85"/>
      <c r="AT179" s="85"/>
      <c r="AU179" s="85"/>
      <c r="AV179" s="85"/>
      <c r="AW179" s="85"/>
      <c r="AX179" s="85"/>
      <c r="AY179" s="85"/>
      <c r="AZ179" s="85"/>
    </row>
    <row r="180" spans="1:52" x14ac:dyDescent="0.25">
      <c r="A180" s="13"/>
      <c r="B180" s="12"/>
      <c r="C180" s="12"/>
      <c r="D180" s="14"/>
      <c r="E180" s="169"/>
      <c r="F180" s="12"/>
      <c r="G180" s="12"/>
      <c r="H180" s="12"/>
      <c r="I180" s="12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  <c r="AL180" s="85"/>
      <c r="AM180" s="85"/>
      <c r="AN180" s="85"/>
      <c r="AO180" s="85"/>
      <c r="AP180" s="85"/>
      <c r="AQ180" s="85"/>
      <c r="AR180" s="85"/>
      <c r="AS180" s="85"/>
      <c r="AT180" s="85"/>
      <c r="AU180" s="85"/>
      <c r="AV180" s="85"/>
      <c r="AW180" s="85"/>
      <c r="AX180" s="85"/>
      <c r="AY180" s="85"/>
      <c r="AZ180" s="85"/>
    </row>
    <row r="181" spans="1:52" x14ac:dyDescent="0.25">
      <c r="A181" s="13"/>
      <c r="B181" s="12"/>
      <c r="C181" s="12"/>
      <c r="D181" s="14"/>
      <c r="E181" s="169"/>
      <c r="F181" s="12"/>
      <c r="G181" s="12"/>
      <c r="H181" s="12"/>
      <c r="I181" s="12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  <c r="AL181" s="85"/>
      <c r="AM181" s="85"/>
      <c r="AN181" s="85"/>
      <c r="AO181" s="85"/>
      <c r="AP181" s="85"/>
      <c r="AQ181" s="85"/>
      <c r="AR181" s="85"/>
      <c r="AS181" s="85"/>
      <c r="AT181" s="85"/>
      <c r="AU181" s="85"/>
      <c r="AV181" s="85"/>
      <c r="AW181" s="85"/>
      <c r="AX181" s="85"/>
      <c r="AY181" s="85"/>
      <c r="AZ181" s="85"/>
    </row>
    <row r="182" spans="1:52" x14ac:dyDescent="0.25">
      <c r="A182" s="13"/>
      <c r="B182" s="12"/>
      <c r="C182" s="12"/>
      <c r="D182" s="14"/>
      <c r="E182" s="169"/>
      <c r="F182" s="12"/>
      <c r="G182" s="12"/>
      <c r="H182" s="12"/>
      <c r="I182" s="12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  <c r="AL182" s="85"/>
      <c r="AM182" s="85"/>
      <c r="AN182" s="85"/>
      <c r="AO182" s="85"/>
      <c r="AP182" s="85"/>
      <c r="AQ182" s="85"/>
      <c r="AR182" s="85"/>
      <c r="AS182" s="85"/>
      <c r="AT182" s="85"/>
      <c r="AU182" s="85"/>
      <c r="AV182" s="85"/>
      <c r="AW182" s="85"/>
      <c r="AX182" s="85"/>
      <c r="AY182" s="85"/>
      <c r="AZ182" s="85"/>
    </row>
    <row r="183" spans="1:52" x14ac:dyDescent="0.25">
      <c r="A183" s="13"/>
      <c r="B183" s="12"/>
      <c r="C183" s="12"/>
      <c r="D183" s="14"/>
      <c r="E183" s="169"/>
      <c r="F183" s="12"/>
      <c r="G183" s="12"/>
      <c r="H183" s="12"/>
      <c r="I183" s="12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  <c r="AF183" s="85"/>
      <c r="AG183" s="85"/>
      <c r="AH183" s="85"/>
      <c r="AI183" s="85"/>
      <c r="AJ183" s="85"/>
      <c r="AK183" s="85"/>
      <c r="AL183" s="85"/>
      <c r="AM183" s="85"/>
      <c r="AN183" s="85"/>
      <c r="AO183" s="85"/>
      <c r="AP183" s="85"/>
      <c r="AQ183" s="85"/>
      <c r="AR183" s="85"/>
      <c r="AS183" s="85"/>
      <c r="AT183" s="85"/>
      <c r="AU183" s="85"/>
      <c r="AV183" s="85"/>
      <c r="AW183" s="85"/>
      <c r="AX183" s="85"/>
      <c r="AY183" s="85"/>
      <c r="AZ183" s="85"/>
    </row>
    <row r="184" spans="1:52" x14ac:dyDescent="0.25">
      <c r="A184" s="13"/>
      <c r="B184" s="12"/>
      <c r="C184" s="12"/>
      <c r="D184" s="14"/>
      <c r="E184" s="169"/>
      <c r="F184" s="12"/>
      <c r="G184" s="12"/>
      <c r="H184" s="12"/>
      <c r="I184" s="12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F184" s="85"/>
      <c r="AG184" s="85"/>
      <c r="AH184" s="85"/>
      <c r="AI184" s="85"/>
      <c r="AJ184" s="85"/>
      <c r="AK184" s="85"/>
      <c r="AL184" s="85"/>
      <c r="AM184" s="85"/>
      <c r="AN184" s="85"/>
      <c r="AO184" s="85"/>
      <c r="AP184" s="85"/>
      <c r="AQ184" s="85"/>
      <c r="AR184" s="85"/>
      <c r="AS184" s="85"/>
      <c r="AT184" s="85"/>
      <c r="AU184" s="85"/>
      <c r="AV184" s="85"/>
      <c r="AW184" s="85"/>
      <c r="AX184" s="85"/>
      <c r="AY184" s="85"/>
      <c r="AZ184" s="85"/>
    </row>
    <row r="185" spans="1:52" x14ac:dyDescent="0.25">
      <c r="A185" s="13"/>
      <c r="B185" s="12"/>
      <c r="C185" s="12"/>
      <c r="D185" s="14"/>
      <c r="E185" s="169"/>
      <c r="F185" s="12"/>
      <c r="G185" s="12"/>
      <c r="H185" s="12"/>
      <c r="I185" s="12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  <c r="AB185" s="85"/>
      <c r="AC185" s="85"/>
      <c r="AD185" s="85"/>
      <c r="AE185" s="85"/>
      <c r="AF185" s="85"/>
      <c r="AG185" s="85"/>
      <c r="AH185" s="85"/>
      <c r="AI185" s="85"/>
      <c r="AJ185" s="85"/>
      <c r="AK185" s="85"/>
      <c r="AL185" s="85"/>
      <c r="AM185" s="85"/>
      <c r="AN185" s="85"/>
      <c r="AO185" s="85"/>
      <c r="AP185" s="85"/>
      <c r="AQ185" s="85"/>
      <c r="AR185" s="85"/>
      <c r="AS185" s="85"/>
      <c r="AT185" s="85"/>
      <c r="AU185" s="85"/>
      <c r="AV185" s="85"/>
      <c r="AW185" s="85"/>
      <c r="AX185" s="85"/>
      <c r="AY185" s="85"/>
      <c r="AZ185" s="85"/>
    </row>
    <row r="186" spans="1:52" x14ac:dyDescent="0.25">
      <c r="A186" s="13"/>
      <c r="B186" s="12"/>
      <c r="C186" s="12"/>
      <c r="D186" s="14"/>
      <c r="E186" s="169"/>
      <c r="F186" s="12"/>
      <c r="G186" s="12"/>
      <c r="H186" s="12"/>
      <c r="I186" s="12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  <c r="AB186" s="85"/>
      <c r="AC186" s="85"/>
      <c r="AD186" s="85"/>
      <c r="AE186" s="85"/>
      <c r="AF186" s="85"/>
      <c r="AG186" s="85"/>
      <c r="AH186" s="85"/>
      <c r="AI186" s="85"/>
      <c r="AJ186" s="85"/>
      <c r="AK186" s="85"/>
      <c r="AL186" s="85"/>
      <c r="AM186" s="85"/>
      <c r="AN186" s="85"/>
      <c r="AO186" s="85"/>
      <c r="AP186" s="85"/>
      <c r="AQ186" s="85"/>
      <c r="AR186" s="85"/>
      <c r="AS186" s="85"/>
      <c r="AT186" s="85"/>
      <c r="AU186" s="85"/>
      <c r="AV186" s="85"/>
      <c r="AW186" s="85"/>
      <c r="AX186" s="85"/>
      <c r="AY186" s="85"/>
      <c r="AZ186" s="85"/>
    </row>
    <row r="187" spans="1:52" x14ac:dyDescent="0.25">
      <c r="A187" s="13"/>
      <c r="B187" s="12"/>
      <c r="C187" s="12"/>
      <c r="D187" s="14"/>
      <c r="E187" s="169"/>
      <c r="F187" s="12"/>
      <c r="G187" s="12"/>
      <c r="H187" s="12"/>
      <c r="I187" s="12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  <c r="AB187" s="85"/>
      <c r="AC187" s="85"/>
      <c r="AD187" s="85"/>
      <c r="AE187" s="85"/>
      <c r="AF187" s="85"/>
      <c r="AG187" s="85"/>
      <c r="AH187" s="85"/>
      <c r="AI187" s="85"/>
      <c r="AJ187" s="85"/>
      <c r="AK187" s="85"/>
      <c r="AL187" s="85"/>
      <c r="AM187" s="85"/>
      <c r="AN187" s="85"/>
      <c r="AO187" s="85"/>
      <c r="AP187" s="85"/>
      <c r="AQ187" s="85"/>
      <c r="AR187" s="85"/>
      <c r="AS187" s="85"/>
      <c r="AT187" s="85"/>
      <c r="AU187" s="85"/>
      <c r="AV187" s="85"/>
      <c r="AW187" s="85"/>
      <c r="AX187" s="85"/>
      <c r="AY187" s="85"/>
      <c r="AZ187" s="85"/>
    </row>
    <row r="188" spans="1:52" x14ac:dyDescent="0.25">
      <c r="A188" s="13"/>
      <c r="B188" s="12"/>
      <c r="C188" s="12"/>
      <c r="D188" s="14"/>
      <c r="E188" s="169"/>
      <c r="F188" s="12"/>
      <c r="G188" s="12"/>
      <c r="H188" s="12"/>
      <c r="I188" s="12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  <c r="AB188" s="85"/>
      <c r="AC188" s="85"/>
      <c r="AD188" s="85"/>
      <c r="AE188" s="85"/>
      <c r="AF188" s="85"/>
      <c r="AG188" s="85"/>
      <c r="AH188" s="85"/>
      <c r="AI188" s="85"/>
      <c r="AJ188" s="85"/>
      <c r="AK188" s="85"/>
      <c r="AL188" s="85"/>
      <c r="AM188" s="85"/>
      <c r="AN188" s="85"/>
      <c r="AO188" s="85"/>
      <c r="AP188" s="85"/>
      <c r="AQ188" s="85"/>
      <c r="AR188" s="85"/>
      <c r="AS188" s="85"/>
      <c r="AT188" s="85"/>
      <c r="AU188" s="85"/>
      <c r="AV188" s="85"/>
      <c r="AW188" s="85"/>
      <c r="AX188" s="85"/>
      <c r="AY188" s="85"/>
      <c r="AZ188" s="85"/>
    </row>
    <row r="189" spans="1:52" x14ac:dyDescent="0.25">
      <c r="A189" s="13"/>
      <c r="B189" s="12"/>
      <c r="C189" s="12"/>
      <c r="D189" s="14"/>
      <c r="E189" s="169"/>
      <c r="F189" s="12"/>
      <c r="G189" s="12"/>
      <c r="H189" s="12"/>
      <c r="I189" s="12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  <c r="AB189" s="85"/>
      <c r="AC189" s="85"/>
      <c r="AD189" s="85"/>
      <c r="AE189" s="85"/>
      <c r="AF189" s="85"/>
      <c r="AG189" s="85"/>
      <c r="AH189" s="85"/>
      <c r="AI189" s="85"/>
      <c r="AJ189" s="85"/>
      <c r="AK189" s="85"/>
      <c r="AL189" s="85"/>
      <c r="AM189" s="85"/>
      <c r="AN189" s="85"/>
      <c r="AO189" s="85"/>
      <c r="AP189" s="85"/>
      <c r="AQ189" s="85"/>
      <c r="AR189" s="85"/>
      <c r="AS189" s="85"/>
      <c r="AT189" s="85"/>
      <c r="AU189" s="85"/>
      <c r="AV189" s="85"/>
      <c r="AW189" s="85"/>
      <c r="AX189" s="85"/>
      <c r="AY189" s="85"/>
      <c r="AZ189" s="85"/>
    </row>
    <row r="190" spans="1:52" x14ac:dyDescent="0.25">
      <c r="A190" s="13"/>
      <c r="B190" s="12"/>
      <c r="C190" s="12"/>
      <c r="D190" s="14"/>
      <c r="E190" s="169"/>
      <c r="F190" s="12"/>
      <c r="G190" s="12"/>
      <c r="H190" s="12"/>
      <c r="I190" s="12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5"/>
      <c r="AC190" s="85"/>
      <c r="AD190" s="85"/>
      <c r="AE190" s="85"/>
      <c r="AF190" s="85"/>
      <c r="AG190" s="85"/>
      <c r="AH190" s="85"/>
      <c r="AI190" s="85"/>
      <c r="AJ190" s="85"/>
      <c r="AK190" s="85"/>
      <c r="AL190" s="85"/>
      <c r="AM190" s="85"/>
      <c r="AN190" s="85"/>
      <c r="AO190" s="85"/>
      <c r="AP190" s="85"/>
      <c r="AQ190" s="85"/>
      <c r="AR190" s="85"/>
      <c r="AS190" s="85"/>
      <c r="AT190" s="85"/>
      <c r="AU190" s="85"/>
      <c r="AV190" s="85"/>
      <c r="AW190" s="85"/>
      <c r="AX190" s="85"/>
      <c r="AY190" s="85"/>
      <c r="AZ190" s="85"/>
    </row>
    <row r="191" spans="1:52" x14ac:dyDescent="0.25">
      <c r="A191" s="13"/>
      <c r="B191" s="12"/>
      <c r="C191" s="12"/>
      <c r="D191" s="14"/>
      <c r="E191" s="169"/>
      <c r="F191" s="12"/>
      <c r="G191" s="12"/>
      <c r="H191" s="12"/>
      <c r="I191" s="12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  <c r="AF191" s="85"/>
      <c r="AG191" s="85"/>
      <c r="AH191" s="85"/>
      <c r="AI191" s="85"/>
      <c r="AJ191" s="85"/>
      <c r="AK191" s="85"/>
      <c r="AL191" s="85"/>
      <c r="AM191" s="85"/>
      <c r="AN191" s="85"/>
      <c r="AO191" s="85"/>
      <c r="AP191" s="85"/>
      <c r="AQ191" s="85"/>
      <c r="AR191" s="85"/>
      <c r="AS191" s="85"/>
      <c r="AT191" s="85"/>
      <c r="AU191" s="85"/>
      <c r="AV191" s="85"/>
      <c r="AW191" s="85"/>
      <c r="AX191" s="85"/>
      <c r="AY191" s="85"/>
      <c r="AZ191" s="85"/>
    </row>
    <row r="192" spans="1:52" x14ac:dyDescent="0.25">
      <c r="A192" s="13"/>
      <c r="B192" s="12"/>
      <c r="C192" s="12"/>
      <c r="D192" s="14"/>
      <c r="E192" s="169"/>
      <c r="F192" s="12"/>
      <c r="G192" s="12"/>
      <c r="H192" s="12"/>
      <c r="I192" s="12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F192" s="85"/>
      <c r="AG192" s="85"/>
      <c r="AH192" s="85"/>
      <c r="AI192" s="85"/>
      <c r="AJ192" s="85"/>
      <c r="AK192" s="85"/>
      <c r="AL192" s="85"/>
      <c r="AM192" s="85"/>
      <c r="AN192" s="85"/>
      <c r="AO192" s="85"/>
      <c r="AP192" s="85"/>
      <c r="AQ192" s="85"/>
      <c r="AR192" s="85"/>
      <c r="AS192" s="85"/>
      <c r="AT192" s="85"/>
      <c r="AU192" s="85"/>
      <c r="AV192" s="85"/>
      <c r="AW192" s="85"/>
      <c r="AX192" s="85"/>
      <c r="AY192" s="85"/>
      <c r="AZ192" s="85"/>
    </row>
    <row r="193" spans="1:52" x14ac:dyDescent="0.25">
      <c r="A193" s="13"/>
      <c r="B193" s="12"/>
      <c r="C193" s="12"/>
      <c r="D193" s="14"/>
      <c r="E193" s="169"/>
      <c r="F193" s="12"/>
      <c r="G193" s="12"/>
      <c r="H193" s="12"/>
      <c r="I193" s="12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F193" s="85"/>
      <c r="AG193" s="85"/>
      <c r="AH193" s="85"/>
      <c r="AI193" s="85"/>
      <c r="AJ193" s="85"/>
      <c r="AK193" s="85"/>
      <c r="AL193" s="85"/>
      <c r="AM193" s="85"/>
      <c r="AN193" s="85"/>
      <c r="AO193" s="85"/>
      <c r="AP193" s="85"/>
      <c r="AQ193" s="85"/>
      <c r="AR193" s="85"/>
      <c r="AS193" s="85"/>
      <c r="AT193" s="85"/>
      <c r="AU193" s="85"/>
      <c r="AV193" s="85"/>
      <c r="AW193" s="85"/>
      <c r="AX193" s="85"/>
      <c r="AY193" s="85"/>
      <c r="AZ193" s="85"/>
    </row>
    <row r="194" spans="1:52" x14ac:dyDescent="0.25">
      <c r="A194" s="13"/>
      <c r="B194" s="12"/>
      <c r="C194" s="12"/>
      <c r="D194" s="14"/>
      <c r="E194" s="169"/>
      <c r="F194" s="12"/>
      <c r="G194" s="12"/>
      <c r="H194" s="12"/>
      <c r="I194" s="12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F194" s="85"/>
      <c r="AG194" s="85"/>
      <c r="AH194" s="85"/>
      <c r="AI194" s="85"/>
      <c r="AJ194" s="85"/>
      <c r="AK194" s="85"/>
      <c r="AL194" s="85"/>
      <c r="AM194" s="85"/>
      <c r="AN194" s="85"/>
      <c r="AO194" s="85"/>
      <c r="AP194" s="85"/>
      <c r="AQ194" s="85"/>
      <c r="AR194" s="85"/>
      <c r="AS194" s="85"/>
      <c r="AT194" s="85"/>
      <c r="AU194" s="85"/>
      <c r="AV194" s="85"/>
      <c r="AW194" s="85"/>
      <c r="AX194" s="85"/>
      <c r="AY194" s="85"/>
      <c r="AZ194" s="85"/>
    </row>
    <row r="195" spans="1:52" x14ac:dyDescent="0.25">
      <c r="A195" s="13"/>
      <c r="B195" s="12"/>
      <c r="C195" s="12"/>
      <c r="D195" s="14"/>
      <c r="E195" s="169"/>
      <c r="F195" s="12"/>
      <c r="G195" s="12"/>
      <c r="H195" s="12"/>
      <c r="I195" s="12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F195" s="85"/>
      <c r="AG195" s="85"/>
      <c r="AH195" s="85"/>
      <c r="AI195" s="85"/>
      <c r="AJ195" s="85"/>
      <c r="AK195" s="85"/>
      <c r="AL195" s="85"/>
      <c r="AM195" s="85"/>
      <c r="AN195" s="85"/>
      <c r="AO195" s="85"/>
      <c r="AP195" s="85"/>
      <c r="AQ195" s="85"/>
      <c r="AR195" s="85"/>
      <c r="AS195" s="85"/>
      <c r="AT195" s="85"/>
      <c r="AU195" s="85"/>
      <c r="AV195" s="85"/>
      <c r="AW195" s="85"/>
      <c r="AX195" s="85"/>
      <c r="AY195" s="85"/>
      <c r="AZ195" s="85"/>
    </row>
    <row r="196" spans="1:52" x14ac:dyDescent="0.25">
      <c r="A196" s="13"/>
      <c r="B196" s="12"/>
      <c r="C196" s="12"/>
      <c r="D196" s="14"/>
      <c r="E196" s="169"/>
      <c r="F196" s="12"/>
      <c r="G196" s="12"/>
      <c r="H196" s="12"/>
      <c r="I196" s="12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F196" s="85"/>
      <c r="AG196" s="85"/>
      <c r="AH196" s="85"/>
      <c r="AI196" s="85"/>
      <c r="AJ196" s="85"/>
      <c r="AK196" s="85"/>
      <c r="AL196" s="85"/>
      <c r="AM196" s="85"/>
      <c r="AN196" s="85"/>
      <c r="AO196" s="85"/>
      <c r="AP196" s="85"/>
      <c r="AQ196" s="85"/>
      <c r="AR196" s="85"/>
      <c r="AS196" s="85"/>
      <c r="AT196" s="85"/>
      <c r="AU196" s="85"/>
      <c r="AV196" s="85"/>
      <c r="AW196" s="85"/>
      <c r="AX196" s="85"/>
      <c r="AY196" s="85"/>
      <c r="AZ196" s="85"/>
    </row>
    <row r="197" spans="1:52" x14ac:dyDescent="0.25">
      <c r="A197" s="13"/>
      <c r="B197" s="12"/>
      <c r="C197" s="12"/>
      <c r="D197" s="14"/>
      <c r="E197" s="169"/>
      <c r="F197" s="12"/>
      <c r="G197" s="12"/>
      <c r="H197" s="12"/>
      <c r="I197" s="12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  <c r="AH197" s="85"/>
      <c r="AI197" s="85"/>
      <c r="AJ197" s="85"/>
      <c r="AK197" s="85"/>
      <c r="AL197" s="85"/>
      <c r="AM197" s="85"/>
      <c r="AN197" s="85"/>
      <c r="AO197" s="85"/>
      <c r="AP197" s="85"/>
      <c r="AQ197" s="85"/>
      <c r="AR197" s="85"/>
      <c r="AS197" s="85"/>
      <c r="AT197" s="85"/>
      <c r="AU197" s="85"/>
      <c r="AV197" s="85"/>
      <c r="AW197" s="85"/>
      <c r="AX197" s="85"/>
      <c r="AY197" s="85"/>
      <c r="AZ197" s="85"/>
    </row>
    <row r="198" spans="1:52" x14ac:dyDescent="0.25">
      <c r="A198" s="13"/>
      <c r="B198" s="12"/>
      <c r="C198" s="12"/>
      <c r="D198" s="14"/>
      <c r="E198" s="169"/>
      <c r="F198" s="12"/>
      <c r="G198" s="12"/>
      <c r="H198" s="12"/>
      <c r="I198" s="12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  <c r="AH198" s="85"/>
      <c r="AI198" s="85"/>
      <c r="AJ198" s="85"/>
      <c r="AK198" s="85"/>
      <c r="AL198" s="85"/>
      <c r="AM198" s="85"/>
      <c r="AN198" s="85"/>
      <c r="AO198" s="85"/>
      <c r="AP198" s="85"/>
      <c r="AQ198" s="85"/>
      <c r="AR198" s="85"/>
      <c r="AS198" s="85"/>
      <c r="AT198" s="85"/>
      <c r="AU198" s="85"/>
      <c r="AV198" s="85"/>
      <c r="AW198" s="85"/>
      <c r="AX198" s="85"/>
      <c r="AY198" s="85"/>
      <c r="AZ198" s="85"/>
    </row>
    <row r="199" spans="1:52" x14ac:dyDescent="0.25">
      <c r="A199" s="13"/>
      <c r="B199" s="12"/>
      <c r="C199" s="12"/>
      <c r="D199" s="14"/>
      <c r="E199" s="169"/>
      <c r="F199" s="12"/>
      <c r="G199" s="12"/>
      <c r="H199" s="12"/>
      <c r="I199" s="12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85"/>
      <c r="AG199" s="85"/>
      <c r="AH199" s="85"/>
      <c r="AI199" s="85"/>
      <c r="AJ199" s="85"/>
      <c r="AK199" s="85"/>
      <c r="AL199" s="85"/>
      <c r="AM199" s="85"/>
      <c r="AN199" s="85"/>
      <c r="AO199" s="85"/>
      <c r="AP199" s="85"/>
      <c r="AQ199" s="85"/>
      <c r="AR199" s="85"/>
      <c r="AS199" s="85"/>
      <c r="AT199" s="85"/>
      <c r="AU199" s="85"/>
      <c r="AV199" s="85"/>
      <c r="AW199" s="85"/>
      <c r="AX199" s="85"/>
      <c r="AY199" s="85"/>
      <c r="AZ199" s="85"/>
    </row>
    <row r="200" spans="1:52" x14ac:dyDescent="0.25">
      <c r="A200" s="13"/>
      <c r="B200" s="12"/>
      <c r="C200" s="12"/>
      <c r="D200" s="14"/>
      <c r="E200" s="169"/>
      <c r="F200" s="12"/>
      <c r="G200" s="12"/>
      <c r="H200" s="12"/>
      <c r="I200" s="12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5"/>
      <c r="AL200" s="85"/>
      <c r="AM200" s="85"/>
      <c r="AN200" s="85"/>
      <c r="AO200" s="85"/>
      <c r="AP200" s="85"/>
      <c r="AQ200" s="85"/>
      <c r="AR200" s="85"/>
      <c r="AS200" s="85"/>
      <c r="AT200" s="85"/>
      <c r="AU200" s="85"/>
      <c r="AV200" s="85"/>
      <c r="AW200" s="85"/>
      <c r="AX200" s="85"/>
      <c r="AY200" s="85"/>
      <c r="AZ200" s="85"/>
    </row>
    <row r="201" spans="1:52" x14ac:dyDescent="0.25">
      <c r="A201" s="13"/>
      <c r="B201" s="12"/>
      <c r="C201" s="12"/>
      <c r="D201" s="14"/>
      <c r="E201" s="169"/>
      <c r="F201" s="12"/>
      <c r="G201" s="12"/>
      <c r="H201" s="12"/>
      <c r="I201" s="12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85"/>
      <c r="AN201" s="85"/>
      <c r="AO201" s="85"/>
      <c r="AP201" s="85"/>
      <c r="AQ201" s="85"/>
      <c r="AR201" s="85"/>
      <c r="AS201" s="85"/>
      <c r="AT201" s="85"/>
      <c r="AU201" s="85"/>
      <c r="AV201" s="85"/>
      <c r="AW201" s="85"/>
      <c r="AX201" s="85"/>
      <c r="AY201" s="85"/>
      <c r="AZ201" s="85"/>
    </row>
    <row r="202" spans="1:52" x14ac:dyDescent="0.25">
      <c r="A202" s="13"/>
      <c r="B202" s="12"/>
      <c r="C202" s="12"/>
      <c r="D202" s="14"/>
      <c r="E202" s="169"/>
      <c r="F202" s="12"/>
      <c r="G202" s="12"/>
      <c r="H202" s="12"/>
      <c r="I202" s="12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  <c r="AK202" s="85"/>
      <c r="AL202" s="85"/>
      <c r="AM202" s="85"/>
      <c r="AN202" s="85"/>
      <c r="AO202" s="85"/>
      <c r="AP202" s="85"/>
      <c r="AQ202" s="85"/>
      <c r="AR202" s="85"/>
      <c r="AS202" s="85"/>
      <c r="AT202" s="85"/>
      <c r="AU202" s="85"/>
      <c r="AV202" s="85"/>
      <c r="AW202" s="85"/>
      <c r="AX202" s="85"/>
      <c r="AY202" s="85"/>
      <c r="AZ202" s="85"/>
    </row>
    <row r="203" spans="1:52" x14ac:dyDescent="0.25">
      <c r="A203" s="13"/>
      <c r="B203" s="12"/>
      <c r="C203" s="12"/>
      <c r="D203" s="14"/>
      <c r="E203" s="169"/>
      <c r="F203" s="12"/>
      <c r="G203" s="12"/>
      <c r="H203" s="12"/>
      <c r="I203" s="12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85"/>
      <c r="AG203" s="85"/>
      <c r="AH203" s="85"/>
      <c r="AI203" s="85"/>
      <c r="AJ203" s="85"/>
      <c r="AK203" s="85"/>
      <c r="AL203" s="85"/>
      <c r="AM203" s="85"/>
      <c r="AN203" s="85"/>
      <c r="AO203" s="85"/>
      <c r="AP203" s="85"/>
      <c r="AQ203" s="85"/>
      <c r="AR203" s="85"/>
      <c r="AS203" s="85"/>
      <c r="AT203" s="85"/>
      <c r="AU203" s="85"/>
      <c r="AV203" s="85"/>
      <c r="AW203" s="85"/>
      <c r="AX203" s="85"/>
      <c r="AY203" s="85"/>
      <c r="AZ203" s="85"/>
    </row>
    <row r="204" spans="1:52" x14ac:dyDescent="0.25">
      <c r="A204" s="13"/>
      <c r="B204" s="12"/>
      <c r="C204" s="12"/>
      <c r="D204" s="14"/>
      <c r="E204" s="169"/>
      <c r="F204" s="12"/>
      <c r="G204" s="12"/>
      <c r="H204" s="12"/>
      <c r="I204" s="12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F204" s="85"/>
      <c r="AG204" s="85"/>
      <c r="AH204" s="85"/>
      <c r="AI204" s="85"/>
      <c r="AJ204" s="85"/>
      <c r="AK204" s="85"/>
      <c r="AL204" s="85"/>
      <c r="AM204" s="85"/>
      <c r="AN204" s="85"/>
      <c r="AO204" s="85"/>
      <c r="AP204" s="85"/>
      <c r="AQ204" s="85"/>
      <c r="AR204" s="85"/>
      <c r="AS204" s="85"/>
      <c r="AT204" s="85"/>
      <c r="AU204" s="85"/>
      <c r="AV204" s="85"/>
      <c r="AW204" s="85"/>
      <c r="AX204" s="85"/>
      <c r="AY204" s="85"/>
      <c r="AZ204" s="85"/>
    </row>
    <row r="205" spans="1:52" x14ac:dyDescent="0.25">
      <c r="A205" s="13"/>
      <c r="B205" s="12"/>
      <c r="C205" s="12"/>
      <c r="D205" s="14"/>
      <c r="E205" s="169"/>
      <c r="F205" s="12"/>
      <c r="G205" s="12"/>
      <c r="H205" s="12"/>
      <c r="I205" s="12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F205" s="85"/>
      <c r="AG205" s="85"/>
      <c r="AH205" s="85"/>
      <c r="AI205" s="85"/>
      <c r="AJ205" s="85"/>
      <c r="AK205" s="85"/>
      <c r="AL205" s="85"/>
      <c r="AM205" s="85"/>
      <c r="AN205" s="85"/>
      <c r="AO205" s="85"/>
      <c r="AP205" s="85"/>
      <c r="AQ205" s="85"/>
      <c r="AR205" s="85"/>
      <c r="AS205" s="85"/>
      <c r="AT205" s="85"/>
      <c r="AU205" s="85"/>
      <c r="AV205" s="85"/>
      <c r="AW205" s="85"/>
      <c r="AX205" s="85"/>
      <c r="AY205" s="85"/>
      <c r="AZ205" s="85"/>
    </row>
    <row r="206" spans="1:52" x14ac:dyDescent="0.25">
      <c r="A206" s="13"/>
      <c r="B206" s="12"/>
      <c r="C206" s="12"/>
      <c r="D206" s="14"/>
      <c r="E206" s="169"/>
      <c r="F206" s="12"/>
      <c r="G206" s="12"/>
      <c r="H206" s="12"/>
      <c r="I206" s="12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F206" s="85"/>
      <c r="AG206" s="85"/>
      <c r="AH206" s="85"/>
      <c r="AI206" s="85"/>
      <c r="AJ206" s="85"/>
      <c r="AK206" s="85"/>
      <c r="AL206" s="85"/>
      <c r="AM206" s="85"/>
      <c r="AN206" s="85"/>
      <c r="AO206" s="85"/>
      <c r="AP206" s="85"/>
      <c r="AQ206" s="85"/>
      <c r="AR206" s="85"/>
      <c r="AS206" s="85"/>
      <c r="AT206" s="85"/>
      <c r="AU206" s="85"/>
      <c r="AV206" s="85"/>
      <c r="AW206" s="85"/>
      <c r="AX206" s="85"/>
      <c r="AY206" s="85"/>
      <c r="AZ206" s="85"/>
    </row>
    <row r="207" spans="1:52" x14ac:dyDescent="0.25">
      <c r="A207" s="13"/>
      <c r="B207" s="12"/>
      <c r="C207" s="12"/>
      <c r="D207" s="14"/>
      <c r="E207" s="169"/>
      <c r="F207" s="12"/>
      <c r="G207" s="12"/>
      <c r="H207" s="12"/>
      <c r="I207" s="12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85"/>
      <c r="AG207" s="85"/>
      <c r="AH207" s="85"/>
      <c r="AI207" s="85"/>
      <c r="AJ207" s="85"/>
      <c r="AK207" s="85"/>
      <c r="AL207" s="85"/>
      <c r="AM207" s="85"/>
      <c r="AN207" s="85"/>
      <c r="AO207" s="85"/>
      <c r="AP207" s="85"/>
      <c r="AQ207" s="85"/>
      <c r="AR207" s="85"/>
      <c r="AS207" s="85"/>
      <c r="AT207" s="85"/>
      <c r="AU207" s="85"/>
      <c r="AV207" s="85"/>
      <c r="AW207" s="85"/>
      <c r="AX207" s="85"/>
      <c r="AY207" s="85"/>
      <c r="AZ207" s="85"/>
    </row>
    <row r="208" spans="1:52" x14ac:dyDescent="0.25">
      <c r="A208" s="13"/>
      <c r="B208" s="12"/>
      <c r="C208" s="12"/>
      <c r="D208" s="14"/>
      <c r="E208" s="169"/>
      <c r="F208" s="12"/>
      <c r="G208" s="12"/>
      <c r="H208" s="12"/>
      <c r="I208" s="12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  <c r="AF208" s="85"/>
      <c r="AG208" s="85"/>
      <c r="AH208" s="85"/>
      <c r="AI208" s="85"/>
      <c r="AJ208" s="85"/>
      <c r="AK208" s="85"/>
      <c r="AL208" s="85"/>
      <c r="AM208" s="85"/>
      <c r="AN208" s="85"/>
      <c r="AO208" s="85"/>
      <c r="AP208" s="85"/>
      <c r="AQ208" s="85"/>
      <c r="AR208" s="85"/>
      <c r="AS208" s="85"/>
      <c r="AT208" s="85"/>
      <c r="AU208" s="85"/>
      <c r="AV208" s="85"/>
      <c r="AW208" s="85"/>
      <c r="AX208" s="85"/>
      <c r="AY208" s="85"/>
      <c r="AZ208" s="85"/>
    </row>
    <row r="209" spans="1:52" x14ac:dyDescent="0.25">
      <c r="A209" s="13"/>
      <c r="B209" s="12"/>
      <c r="C209" s="12"/>
      <c r="D209" s="14"/>
      <c r="E209" s="169"/>
      <c r="F209" s="12"/>
      <c r="G209" s="12"/>
      <c r="H209" s="12"/>
      <c r="I209" s="12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  <c r="AB209" s="85"/>
      <c r="AC209" s="85"/>
      <c r="AD209" s="85"/>
      <c r="AE209" s="85"/>
      <c r="AF209" s="85"/>
      <c r="AG209" s="85"/>
      <c r="AH209" s="85"/>
      <c r="AI209" s="85"/>
      <c r="AJ209" s="85"/>
      <c r="AK209" s="85"/>
      <c r="AL209" s="85"/>
      <c r="AM209" s="85"/>
      <c r="AN209" s="85"/>
      <c r="AO209" s="85"/>
      <c r="AP209" s="85"/>
      <c r="AQ209" s="85"/>
      <c r="AR209" s="85"/>
      <c r="AS209" s="85"/>
      <c r="AT209" s="85"/>
      <c r="AU209" s="85"/>
      <c r="AV209" s="85"/>
      <c r="AW209" s="85"/>
      <c r="AX209" s="85"/>
      <c r="AY209" s="85"/>
      <c r="AZ209" s="85"/>
    </row>
    <row r="210" spans="1:52" x14ac:dyDescent="0.25">
      <c r="A210" s="13"/>
      <c r="B210" s="12"/>
      <c r="C210" s="12"/>
      <c r="D210" s="14"/>
      <c r="E210" s="169"/>
      <c r="F210" s="12"/>
      <c r="G210" s="12"/>
      <c r="H210" s="12"/>
      <c r="I210" s="12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85"/>
      <c r="AE210" s="85"/>
      <c r="AF210" s="85"/>
      <c r="AG210" s="85"/>
      <c r="AH210" s="85"/>
      <c r="AI210" s="85"/>
      <c r="AJ210" s="85"/>
      <c r="AK210" s="85"/>
      <c r="AL210" s="85"/>
      <c r="AM210" s="85"/>
      <c r="AN210" s="85"/>
      <c r="AO210" s="85"/>
      <c r="AP210" s="85"/>
      <c r="AQ210" s="85"/>
      <c r="AR210" s="85"/>
      <c r="AS210" s="85"/>
      <c r="AT210" s="85"/>
      <c r="AU210" s="85"/>
      <c r="AV210" s="85"/>
      <c r="AW210" s="85"/>
      <c r="AX210" s="85"/>
      <c r="AY210" s="85"/>
      <c r="AZ210" s="85"/>
    </row>
    <row r="211" spans="1:52" x14ac:dyDescent="0.25">
      <c r="A211" s="13"/>
      <c r="B211" s="12"/>
      <c r="C211" s="12"/>
      <c r="D211" s="14"/>
      <c r="E211" s="169"/>
      <c r="F211" s="12"/>
      <c r="G211" s="12"/>
      <c r="H211" s="12"/>
      <c r="I211" s="12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  <c r="AB211" s="85"/>
      <c r="AC211" s="85"/>
      <c r="AD211" s="85"/>
      <c r="AE211" s="85"/>
      <c r="AF211" s="85"/>
      <c r="AG211" s="85"/>
      <c r="AH211" s="85"/>
      <c r="AI211" s="85"/>
      <c r="AJ211" s="85"/>
      <c r="AK211" s="85"/>
      <c r="AL211" s="85"/>
      <c r="AM211" s="85"/>
      <c r="AN211" s="85"/>
      <c r="AO211" s="85"/>
      <c r="AP211" s="85"/>
      <c r="AQ211" s="85"/>
      <c r="AR211" s="85"/>
      <c r="AS211" s="85"/>
      <c r="AT211" s="85"/>
      <c r="AU211" s="85"/>
      <c r="AV211" s="85"/>
      <c r="AW211" s="85"/>
      <c r="AX211" s="85"/>
      <c r="AY211" s="85"/>
      <c r="AZ211" s="85"/>
    </row>
    <row r="212" spans="1:52" x14ac:dyDescent="0.25">
      <c r="A212" s="13"/>
      <c r="B212" s="12"/>
      <c r="C212" s="12"/>
      <c r="D212" s="14"/>
      <c r="E212" s="169"/>
      <c r="F212" s="12"/>
      <c r="G212" s="12"/>
      <c r="H212" s="12"/>
      <c r="I212" s="12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85"/>
      <c r="AG212" s="85"/>
      <c r="AH212" s="85"/>
      <c r="AI212" s="85"/>
      <c r="AJ212" s="85"/>
      <c r="AK212" s="85"/>
      <c r="AL212" s="85"/>
      <c r="AM212" s="85"/>
      <c r="AN212" s="85"/>
      <c r="AO212" s="85"/>
      <c r="AP212" s="85"/>
      <c r="AQ212" s="85"/>
      <c r="AR212" s="85"/>
      <c r="AS212" s="85"/>
      <c r="AT212" s="85"/>
      <c r="AU212" s="85"/>
      <c r="AV212" s="85"/>
      <c r="AW212" s="85"/>
      <c r="AX212" s="85"/>
      <c r="AY212" s="85"/>
      <c r="AZ212" s="85"/>
    </row>
    <row r="213" spans="1:52" x14ac:dyDescent="0.25">
      <c r="A213" s="13"/>
      <c r="B213" s="12"/>
      <c r="C213" s="12"/>
      <c r="D213" s="14"/>
      <c r="E213" s="169"/>
      <c r="F213" s="12"/>
      <c r="G213" s="12"/>
      <c r="H213" s="12"/>
      <c r="I213" s="12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  <c r="AB213" s="85"/>
      <c r="AC213" s="85"/>
      <c r="AD213" s="85"/>
      <c r="AE213" s="85"/>
      <c r="AF213" s="85"/>
      <c r="AG213" s="85"/>
      <c r="AH213" s="85"/>
      <c r="AI213" s="85"/>
      <c r="AJ213" s="85"/>
      <c r="AK213" s="85"/>
      <c r="AL213" s="85"/>
      <c r="AM213" s="85"/>
      <c r="AN213" s="85"/>
      <c r="AO213" s="85"/>
      <c r="AP213" s="85"/>
      <c r="AQ213" s="85"/>
      <c r="AR213" s="85"/>
      <c r="AS213" s="85"/>
      <c r="AT213" s="85"/>
      <c r="AU213" s="85"/>
      <c r="AV213" s="85"/>
      <c r="AW213" s="85"/>
      <c r="AX213" s="85"/>
      <c r="AY213" s="85"/>
      <c r="AZ213" s="85"/>
    </row>
    <row r="214" spans="1:52" x14ac:dyDescent="0.25">
      <c r="A214" s="13"/>
      <c r="B214" s="12"/>
      <c r="C214" s="12"/>
      <c r="D214" s="14"/>
      <c r="E214" s="169"/>
      <c r="F214" s="12"/>
      <c r="G214" s="12"/>
      <c r="H214" s="12"/>
      <c r="I214" s="12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5"/>
      <c r="AC214" s="85"/>
      <c r="AD214" s="85"/>
      <c r="AE214" s="85"/>
      <c r="AF214" s="85"/>
      <c r="AG214" s="85"/>
      <c r="AH214" s="85"/>
      <c r="AI214" s="85"/>
      <c r="AJ214" s="85"/>
      <c r="AK214" s="85"/>
      <c r="AL214" s="85"/>
      <c r="AM214" s="85"/>
      <c r="AN214" s="85"/>
      <c r="AO214" s="85"/>
      <c r="AP214" s="85"/>
      <c r="AQ214" s="85"/>
      <c r="AR214" s="85"/>
      <c r="AS214" s="85"/>
      <c r="AT214" s="85"/>
      <c r="AU214" s="85"/>
      <c r="AV214" s="85"/>
      <c r="AW214" s="85"/>
      <c r="AX214" s="85"/>
      <c r="AY214" s="85"/>
      <c r="AZ214" s="85"/>
    </row>
    <row r="215" spans="1:52" x14ac:dyDescent="0.25">
      <c r="A215" s="13"/>
      <c r="B215" s="12"/>
      <c r="C215" s="12"/>
      <c r="D215" s="14"/>
      <c r="E215" s="169"/>
      <c r="F215" s="12"/>
      <c r="G215" s="12"/>
      <c r="H215" s="12"/>
      <c r="I215" s="12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  <c r="AC215" s="85"/>
      <c r="AD215" s="85"/>
      <c r="AE215" s="85"/>
      <c r="AF215" s="85"/>
      <c r="AG215" s="85"/>
      <c r="AH215" s="85"/>
      <c r="AI215" s="85"/>
      <c r="AJ215" s="85"/>
      <c r="AK215" s="85"/>
      <c r="AL215" s="85"/>
      <c r="AM215" s="85"/>
      <c r="AN215" s="85"/>
      <c r="AO215" s="85"/>
      <c r="AP215" s="85"/>
      <c r="AQ215" s="85"/>
      <c r="AR215" s="85"/>
      <c r="AS215" s="85"/>
      <c r="AT215" s="85"/>
      <c r="AU215" s="85"/>
      <c r="AV215" s="85"/>
      <c r="AW215" s="85"/>
      <c r="AX215" s="85"/>
      <c r="AY215" s="85"/>
      <c r="AZ215" s="85"/>
    </row>
    <row r="216" spans="1:52" x14ac:dyDescent="0.25">
      <c r="A216" s="13"/>
      <c r="B216" s="12"/>
      <c r="C216" s="12"/>
      <c r="D216" s="14"/>
      <c r="E216" s="169"/>
      <c r="F216" s="12"/>
      <c r="G216" s="12"/>
      <c r="H216" s="12"/>
      <c r="I216" s="12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  <c r="AB216" s="85"/>
      <c r="AC216" s="85"/>
      <c r="AD216" s="85"/>
      <c r="AE216" s="85"/>
      <c r="AF216" s="85"/>
      <c r="AG216" s="85"/>
      <c r="AH216" s="85"/>
      <c r="AI216" s="85"/>
      <c r="AJ216" s="85"/>
      <c r="AK216" s="85"/>
      <c r="AL216" s="85"/>
      <c r="AM216" s="85"/>
      <c r="AN216" s="85"/>
      <c r="AO216" s="85"/>
      <c r="AP216" s="85"/>
      <c r="AQ216" s="85"/>
      <c r="AR216" s="85"/>
      <c r="AS216" s="85"/>
      <c r="AT216" s="85"/>
      <c r="AU216" s="85"/>
      <c r="AV216" s="85"/>
      <c r="AW216" s="85"/>
      <c r="AX216" s="85"/>
      <c r="AY216" s="85"/>
      <c r="AZ216" s="85"/>
    </row>
    <row r="217" spans="1:52" x14ac:dyDescent="0.25">
      <c r="A217" s="13"/>
      <c r="B217" s="12"/>
      <c r="C217" s="12"/>
      <c r="D217" s="14"/>
      <c r="E217" s="169"/>
      <c r="F217" s="12"/>
      <c r="G217" s="12"/>
      <c r="H217" s="12"/>
      <c r="I217" s="12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  <c r="AB217" s="85"/>
      <c r="AC217" s="85"/>
      <c r="AD217" s="85"/>
      <c r="AE217" s="85"/>
      <c r="AF217" s="85"/>
      <c r="AG217" s="85"/>
      <c r="AH217" s="85"/>
      <c r="AI217" s="85"/>
      <c r="AJ217" s="85"/>
      <c r="AK217" s="85"/>
      <c r="AL217" s="85"/>
      <c r="AM217" s="85"/>
      <c r="AN217" s="85"/>
      <c r="AO217" s="85"/>
      <c r="AP217" s="85"/>
      <c r="AQ217" s="85"/>
      <c r="AR217" s="85"/>
      <c r="AS217" s="85"/>
      <c r="AT217" s="85"/>
      <c r="AU217" s="85"/>
      <c r="AV217" s="85"/>
      <c r="AW217" s="85"/>
      <c r="AX217" s="85"/>
      <c r="AY217" s="85"/>
      <c r="AZ217" s="85"/>
    </row>
    <row r="218" spans="1:52" x14ac:dyDescent="0.25">
      <c r="A218" s="13"/>
      <c r="B218" s="12"/>
      <c r="C218" s="12"/>
      <c r="D218" s="14"/>
      <c r="E218" s="169"/>
      <c r="F218" s="12"/>
      <c r="G218" s="12"/>
      <c r="H218" s="12"/>
      <c r="I218" s="12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F218" s="85"/>
      <c r="AG218" s="85"/>
      <c r="AH218" s="85"/>
      <c r="AI218" s="85"/>
      <c r="AJ218" s="85"/>
      <c r="AK218" s="85"/>
      <c r="AL218" s="85"/>
      <c r="AM218" s="85"/>
      <c r="AN218" s="85"/>
      <c r="AO218" s="85"/>
      <c r="AP218" s="85"/>
      <c r="AQ218" s="85"/>
      <c r="AR218" s="85"/>
      <c r="AS218" s="85"/>
      <c r="AT218" s="85"/>
      <c r="AU218" s="85"/>
      <c r="AV218" s="85"/>
      <c r="AW218" s="85"/>
      <c r="AX218" s="85"/>
      <c r="AY218" s="85"/>
      <c r="AZ218" s="85"/>
    </row>
    <row r="219" spans="1:52" x14ac:dyDescent="0.25">
      <c r="A219" s="13"/>
      <c r="B219" s="12"/>
      <c r="C219" s="12"/>
      <c r="D219" s="14"/>
      <c r="E219" s="169"/>
      <c r="F219" s="12"/>
      <c r="G219" s="12"/>
      <c r="H219" s="12"/>
      <c r="I219" s="12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  <c r="AH219" s="85"/>
      <c r="AI219" s="85"/>
      <c r="AJ219" s="85"/>
      <c r="AK219" s="85"/>
      <c r="AL219" s="85"/>
      <c r="AM219" s="85"/>
      <c r="AN219" s="85"/>
      <c r="AO219" s="85"/>
      <c r="AP219" s="85"/>
      <c r="AQ219" s="85"/>
      <c r="AR219" s="85"/>
      <c r="AS219" s="85"/>
      <c r="AT219" s="85"/>
      <c r="AU219" s="85"/>
      <c r="AV219" s="85"/>
      <c r="AW219" s="85"/>
      <c r="AX219" s="85"/>
      <c r="AY219" s="85"/>
      <c r="AZ219" s="85"/>
    </row>
    <row r="220" spans="1:52" x14ac:dyDescent="0.25">
      <c r="A220" s="13"/>
      <c r="B220" s="12"/>
      <c r="C220" s="12"/>
      <c r="D220" s="14"/>
      <c r="E220" s="169"/>
      <c r="F220" s="12"/>
      <c r="G220" s="12"/>
      <c r="H220" s="12"/>
      <c r="I220" s="12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85"/>
      <c r="AI220" s="85"/>
      <c r="AJ220" s="85"/>
      <c r="AK220" s="85"/>
      <c r="AL220" s="85"/>
      <c r="AM220" s="85"/>
      <c r="AN220" s="85"/>
      <c r="AO220" s="85"/>
      <c r="AP220" s="85"/>
      <c r="AQ220" s="85"/>
      <c r="AR220" s="85"/>
      <c r="AS220" s="85"/>
      <c r="AT220" s="85"/>
      <c r="AU220" s="85"/>
      <c r="AV220" s="85"/>
      <c r="AW220" s="85"/>
      <c r="AX220" s="85"/>
      <c r="AY220" s="85"/>
      <c r="AZ220" s="85"/>
    </row>
  </sheetData>
  <sheetProtection sort="0" autoFilter="0" pivotTables="0"/>
  <autoFilter ref="A3:I36">
    <filterColumn colId="0">
      <filters>
        <filter val="1"/>
        <filter val="10"/>
        <filter val="12"/>
        <filter val="13"/>
        <filter val="14"/>
        <filter val="15"/>
        <filter val="18"/>
        <filter val="2"/>
        <filter val="20"/>
        <filter val="24"/>
        <filter val="25"/>
        <filter val="27"/>
        <filter val="31"/>
        <filter val="32"/>
        <filter val="4"/>
        <filter val="5"/>
        <filter val="7"/>
        <filter val="8"/>
        <filter val="9"/>
      </filters>
    </filterColumn>
  </autoFilter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A78BFA"/>
  </sheetPr>
  <dimension ref="A1:AZ220"/>
  <sheetViews>
    <sheetView showGridLines="0" zoomScaleNormal="100" workbookViewId="0">
      <selection activeCell="B14" sqref="B14"/>
    </sheetView>
  </sheetViews>
  <sheetFormatPr defaultColWidth="0" defaultRowHeight="14.25" zeroHeight="1" x14ac:dyDescent="0.25"/>
  <cols>
    <col min="1" max="1" width="26.7109375" style="5" customWidth="1"/>
    <col min="2" max="3" width="18.7109375" style="5" customWidth="1"/>
    <col min="4" max="4" width="3.7109375" style="5" customWidth="1"/>
    <col min="5" max="5" width="34.7109375" style="5" customWidth="1"/>
    <col min="6" max="7" width="14.7109375" style="5" customWidth="1"/>
    <col min="8" max="8" width="3.28515625" style="5" customWidth="1"/>
    <col min="9" max="16384" width="9.140625" style="5" hidden="1"/>
  </cols>
  <sheetData>
    <row r="1" spans="1:52" ht="25.5" x14ac:dyDescent="0.25">
      <c r="A1" s="142" t="s">
        <v>136</v>
      </c>
      <c r="B1" s="143"/>
      <c r="C1" s="143"/>
      <c r="D1" s="143"/>
      <c r="E1" s="143"/>
      <c r="F1" s="143"/>
      <c r="G1" s="143"/>
      <c r="H1" s="123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</row>
    <row r="2" spans="1:52" x14ac:dyDescent="0.25">
      <c r="A2" s="123"/>
      <c r="B2" s="123"/>
      <c r="C2" s="123"/>
      <c r="D2" s="123"/>
      <c r="E2" s="123"/>
      <c r="F2" s="123"/>
      <c r="G2" s="123"/>
      <c r="H2" s="123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</row>
    <row r="3" spans="1:52" x14ac:dyDescent="0.25">
      <c r="A3" s="135" t="s">
        <v>1</v>
      </c>
      <c r="B3" s="135" t="s">
        <v>146</v>
      </c>
      <c r="C3" s="135" t="s">
        <v>147</v>
      </c>
      <c r="D3" s="123"/>
      <c r="E3" s="144" t="s">
        <v>77</v>
      </c>
      <c r="F3" s="144"/>
      <c r="G3" s="144"/>
      <c r="H3" s="123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</row>
    <row r="4" spans="1:52" x14ac:dyDescent="0.25">
      <c r="A4" s="124" t="s">
        <v>4</v>
      </c>
      <c r="B4" s="182">
        <f>SUMIFS(Despesas!$T:$T,Despesas!$A:$A,A4)</f>
        <v>0</v>
      </c>
      <c r="C4" s="182">
        <f>SUMIFS(Despesas!$S:$S,Despesas!$A:$A,A4)</f>
        <v>0</v>
      </c>
      <c r="D4" s="121"/>
      <c r="E4" s="135" t="s">
        <v>78</v>
      </c>
      <c r="F4" s="135" t="s">
        <v>79</v>
      </c>
      <c r="G4" s="135" t="s">
        <v>80</v>
      </c>
      <c r="H4" s="123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</row>
    <row r="5" spans="1:52" x14ac:dyDescent="0.25">
      <c r="A5" s="125" t="s">
        <v>13</v>
      </c>
      <c r="B5" s="183">
        <f>SUMIFS(Despesas!$T:$T,Despesas!$A:$A,A5)</f>
        <v>0</v>
      </c>
      <c r="C5" s="183">
        <f>SUMIFS(Despesas!$S:$S,Despesas!$A:$A,A5)</f>
        <v>0</v>
      </c>
      <c r="D5" s="122"/>
      <c r="E5" s="136" t="s">
        <v>148</v>
      </c>
      <c r="F5" s="136">
        <f>Config!B3</f>
        <v>0</v>
      </c>
      <c r="G5" s="136">
        <f>Config!C3</f>
        <v>0</v>
      </c>
      <c r="H5" s="122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</row>
    <row r="6" spans="1:52" x14ac:dyDescent="0.25">
      <c r="A6" s="126" t="s">
        <v>17</v>
      </c>
      <c r="B6" s="184">
        <f>SUMIFS(Despesas!$T:$T,Despesas!$A:$A,A6)</f>
        <v>0</v>
      </c>
      <c r="C6" s="184">
        <f>SUMIFS(Despesas!$S:$S,Despesas!$A:$A,A6)</f>
        <v>0</v>
      </c>
      <c r="D6" s="122"/>
      <c r="E6" s="136" t="s">
        <v>149</v>
      </c>
      <c r="F6" s="136">
        <f>Config!B4</f>
        <v>0</v>
      </c>
      <c r="G6" s="136">
        <f>Config!C4</f>
        <v>0</v>
      </c>
      <c r="H6" s="122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</row>
    <row r="7" spans="1:52" x14ac:dyDescent="0.25">
      <c r="A7" s="127" t="s">
        <v>27</v>
      </c>
      <c r="B7" s="185">
        <f>SUMIFS(Despesas!$T:$T,Despesas!$A:$A,A7)</f>
        <v>0</v>
      </c>
      <c r="C7" s="185">
        <f>SUMIFS(Despesas!$S:$S,Despesas!$A:$A,A7)</f>
        <v>0</v>
      </c>
      <c r="D7" s="122"/>
      <c r="E7" s="136" t="s">
        <v>150</v>
      </c>
      <c r="F7" s="136">
        <f>F5-F6</f>
        <v>0</v>
      </c>
      <c r="G7" s="136">
        <f>G5-G6</f>
        <v>0</v>
      </c>
      <c r="H7" s="122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</row>
    <row r="8" spans="1:52" x14ac:dyDescent="0.25">
      <c r="A8" s="128" t="s">
        <v>37</v>
      </c>
      <c r="B8" s="186">
        <f>SUMIFS(Despesas!$T:$T,Despesas!$A:$A,A8)</f>
        <v>0</v>
      </c>
      <c r="C8" s="186">
        <f>SUMIFS(Despesas!$S:$S,Despesas!$A:$A,A8)</f>
        <v>0</v>
      </c>
      <c r="D8" s="122"/>
      <c r="E8" s="136" t="s">
        <v>151</v>
      </c>
      <c r="F8" s="137">
        <f>IF(F7+G7=0,0,F7/(F7+G7))</f>
        <v>0</v>
      </c>
      <c r="G8" s="137">
        <f>IF(F7+G7=0,0,G7/(F7+G7))</f>
        <v>0</v>
      </c>
      <c r="H8" s="122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</row>
    <row r="9" spans="1:52" x14ac:dyDescent="0.25">
      <c r="A9" s="129" t="s">
        <v>42</v>
      </c>
      <c r="B9" s="187">
        <f>SUMIFS(Despesas!$T:$T,Despesas!$A:$A,A9)</f>
        <v>0</v>
      </c>
      <c r="C9" s="187">
        <f>SUMIFS(Despesas!$S:$S,Despesas!$A:$A,A9)</f>
        <v>0</v>
      </c>
      <c r="D9" s="122"/>
      <c r="E9" s="136" t="s">
        <v>81</v>
      </c>
      <c r="F9" s="136">
        <f>$B$14*F8</f>
        <v>0</v>
      </c>
      <c r="G9" s="136">
        <f>$B$14*G8</f>
        <v>0</v>
      </c>
      <c r="H9" s="122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</row>
    <row r="10" spans="1:52" x14ac:dyDescent="0.25">
      <c r="A10" s="130" t="s">
        <v>48</v>
      </c>
      <c r="B10" s="188">
        <f>SUMIFS(Despesas!$T:$T,Despesas!$A:$A,A10)</f>
        <v>0</v>
      </c>
      <c r="C10" s="188">
        <f>SUMIFS(Despesas!$S:$S,Despesas!$A:$A,A10)</f>
        <v>0</v>
      </c>
      <c r="D10" s="122"/>
      <c r="E10" s="122"/>
      <c r="F10" s="122"/>
      <c r="G10" s="122"/>
      <c r="H10" s="122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</row>
    <row r="11" spans="1:52" x14ac:dyDescent="0.25">
      <c r="A11" s="131" t="s">
        <v>53</v>
      </c>
      <c r="B11" s="189">
        <f>SUMIFS(Despesas!$T:$T,Despesas!$A:$A,A11)</f>
        <v>0</v>
      </c>
      <c r="C11" s="189">
        <f>SUMIFS(Despesas!$S:$S,Despesas!$A:$A,A11)</f>
        <v>0</v>
      </c>
      <c r="D11" s="122"/>
      <c r="E11" s="122"/>
      <c r="F11" s="122"/>
      <c r="G11" s="122"/>
      <c r="H11" s="122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</row>
    <row r="12" spans="1:52" x14ac:dyDescent="0.25">
      <c r="A12" s="132" t="s">
        <v>58</v>
      </c>
      <c r="B12" s="190">
        <f>SUMIFS(Despesas!$T:$T,Despesas!$A:$A,A12)</f>
        <v>0</v>
      </c>
      <c r="C12" s="190">
        <f>SUMIFS(Despesas!$S:$S,Despesas!$A:$A,A12)</f>
        <v>0</v>
      </c>
      <c r="D12" s="122"/>
      <c r="E12" s="122"/>
      <c r="F12" s="122"/>
      <c r="G12" s="122"/>
      <c r="H12" s="122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</row>
    <row r="13" spans="1:52" x14ac:dyDescent="0.25">
      <c r="A13" s="133" t="s">
        <v>63</v>
      </c>
      <c r="B13" s="191">
        <f>SUMIFS(Despesas!$T:$T,Despesas!$A:$A,A13)</f>
        <v>0</v>
      </c>
      <c r="C13" s="191">
        <f>SUMIFS(Despesas!$S:$S,Despesas!$A:$A,A13)</f>
        <v>0</v>
      </c>
      <c r="D13" s="122"/>
      <c r="E13" s="122"/>
      <c r="F13" s="122"/>
      <c r="G13" s="122"/>
      <c r="H13" s="122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20"/>
      <c r="AL13" s="120"/>
      <c r="AM13" s="120"/>
      <c r="AN13" s="120"/>
      <c r="AO13" s="120"/>
      <c r="AP13" s="120"/>
      <c r="AQ13" s="120"/>
      <c r="AR13" s="120"/>
      <c r="AS13" s="120"/>
      <c r="AT13" s="120"/>
      <c r="AU13" s="120"/>
      <c r="AV13" s="120"/>
      <c r="AW13" s="120"/>
      <c r="AX13" s="120"/>
      <c r="AY13" s="120"/>
      <c r="AZ13" s="120"/>
    </row>
    <row r="14" spans="1:52" x14ac:dyDescent="0.25">
      <c r="A14" s="134" t="s">
        <v>82</v>
      </c>
      <c r="B14" s="199">
        <f>SUM(B4:B13)</f>
        <v>0</v>
      </c>
      <c r="C14" s="192">
        <f>SUM(C4:C13)</f>
        <v>0</v>
      </c>
      <c r="D14" s="122"/>
      <c r="E14" s="122"/>
      <c r="F14" s="122"/>
      <c r="G14" s="122"/>
      <c r="H14" s="122"/>
      <c r="I14" s="120"/>
      <c r="J14" s="120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</row>
    <row r="15" spans="1:52" x14ac:dyDescent="0.25">
      <c r="A15" s="122"/>
      <c r="B15" s="122"/>
      <c r="C15" s="122"/>
      <c r="D15" s="122"/>
      <c r="E15" s="122"/>
      <c r="F15" s="122"/>
      <c r="G15" s="122"/>
      <c r="H15" s="122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O15" s="120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</row>
    <row r="16" spans="1:52" x14ac:dyDescent="0.25">
      <c r="A16" s="122"/>
      <c r="B16" s="122"/>
      <c r="C16" s="122"/>
      <c r="D16" s="122"/>
      <c r="E16" s="122"/>
      <c r="F16" s="122"/>
      <c r="G16" s="122"/>
      <c r="H16" s="122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120"/>
      <c r="AW16" s="120"/>
      <c r="AX16" s="120"/>
      <c r="AY16" s="120"/>
      <c r="AZ16" s="120"/>
    </row>
    <row r="17" spans="1:52" x14ac:dyDescent="0.25">
      <c r="A17" s="122"/>
      <c r="B17" s="122"/>
      <c r="C17" s="122"/>
      <c r="D17" s="122"/>
      <c r="E17" s="122"/>
      <c r="F17" s="122"/>
      <c r="G17" s="122"/>
      <c r="H17" s="122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</row>
    <row r="18" spans="1:52" x14ac:dyDescent="0.25">
      <c r="A18" s="122"/>
      <c r="B18" s="122"/>
      <c r="C18" s="122"/>
      <c r="D18" s="122"/>
      <c r="E18" s="122"/>
      <c r="F18" s="122"/>
      <c r="G18" s="122"/>
      <c r="H18" s="122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</row>
    <row r="19" spans="1:52" hidden="1" x14ac:dyDescent="0.25">
      <c r="A19" s="120"/>
      <c r="B19" s="120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20"/>
      <c r="AL19" s="120"/>
      <c r="AM19" s="120"/>
      <c r="AN19" s="120"/>
      <c r="AO19" s="120"/>
      <c r="AP19" s="120"/>
      <c r="AQ19" s="120"/>
      <c r="AR19" s="120"/>
      <c r="AS19" s="120"/>
      <c r="AT19" s="120"/>
      <c r="AU19" s="120"/>
      <c r="AV19" s="120"/>
      <c r="AW19" s="120"/>
      <c r="AX19" s="120"/>
      <c r="AY19" s="120"/>
      <c r="AZ19" s="120"/>
    </row>
    <row r="20" spans="1:52" hidden="1" x14ac:dyDescent="0.25">
      <c r="A20" s="120"/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20"/>
    </row>
    <row r="21" spans="1:52" hidden="1" x14ac:dyDescent="0.25">
      <c r="A21" s="120"/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  <c r="AK21" s="120"/>
      <c r="AL21" s="120"/>
      <c r="AM21" s="120"/>
      <c r="AN21" s="120"/>
      <c r="AO21" s="120"/>
      <c r="AP21" s="120"/>
      <c r="AQ21" s="120"/>
      <c r="AR21" s="120"/>
      <c r="AS21" s="120"/>
      <c r="AT21" s="120"/>
      <c r="AU21" s="120"/>
      <c r="AV21" s="120"/>
      <c r="AW21" s="120"/>
      <c r="AX21" s="120"/>
      <c r="AY21" s="120"/>
      <c r="AZ21" s="120"/>
    </row>
    <row r="22" spans="1:52" hidden="1" x14ac:dyDescent="0.25">
      <c r="A22" s="120"/>
      <c r="B22" s="120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  <c r="AK22" s="120"/>
      <c r="AL22" s="120"/>
      <c r="AM22" s="120"/>
      <c r="AN22" s="120"/>
      <c r="AO22" s="120"/>
      <c r="AP22" s="120"/>
      <c r="AQ22" s="120"/>
      <c r="AR22" s="120"/>
      <c r="AS22" s="120"/>
      <c r="AT22" s="120"/>
      <c r="AU22" s="120"/>
      <c r="AV22" s="120"/>
      <c r="AW22" s="120"/>
      <c r="AX22" s="120"/>
      <c r="AY22" s="120"/>
      <c r="AZ22" s="120"/>
    </row>
    <row r="23" spans="1:52" hidden="1" x14ac:dyDescent="0.25">
      <c r="A23" s="120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0"/>
      <c r="AL23" s="120"/>
      <c r="AM23" s="120"/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  <c r="AZ23" s="120"/>
    </row>
    <row r="24" spans="1:52" hidden="1" x14ac:dyDescent="0.25">
      <c r="A24" s="120"/>
      <c r="B24" s="120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  <c r="AV24" s="120"/>
      <c r="AW24" s="120"/>
      <c r="AX24" s="120"/>
      <c r="AY24" s="120"/>
      <c r="AZ24" s="120"/>
    </row>
    <row r="25" spans="1:52" hidden="1" x14ac:dyDescent="0.25">
      <c r="A25" s="120"/>
      <c r="B25" s="120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20"/>
    </row>
    <row r="26" spans="1:52" hidden="1" x14ac:dyDescent="0.25">
      <c r="A26" s="120"/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</row>
    <row r="27" spans="1:52" hidden="1" x14ac:dyDescent="0.25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AX27" s="120"/>
      <c r="AY27" s="120"/>
      <c r="AZ27" s="120"/>
    </row>
    <row r="28" spans="1:52" hidden="1" x14ac:dyDescent="0.25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AX28" s="120"/>
      <c r="AY28" s="120"/>
      <c r="AZ28" s="120"/>
    </row>
    <row r="29" spans="1:52" hidden="1" x14ac:dyDescent="0.25">
      <c r="A29" s="120"/>
      <c r="B29" s="120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</row>
    <row r="30" spans="1:52" hidden="1" x14ac:dyDescent="0.25">
      <c r="A30" s="120"/>
      <c r="B30" s="120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</row>
    <row r="31" spans="1:52" hidden="1" x14ac:dyDescent="0.25">
      <c r="A31" s="120"/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</row>
    <row r="32" spans="1:52" hidden="1" x14ac:dyDescent="0.25">
      <c r="A32" s="120"/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</row>
    <row r="33" spans="1:52" hidden="1" x14ac:dyDescent="0.25">
      <c r="A33" s="120"/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</row>
    <row r="34" spans="1:52" hidden="1" x14ac:dyDescent="0.25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</row>
    <row r="35" spans="1:52" hidden="1" x14ac:dyDescent="0.25">
      <c r="A35" s="120"/>
      <c r="B35" s="120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</row>
    <row r="36" spans="1:52" hidden="1" x14ac:dyDescent="0.25">
      <c r="A36" s="120"/>
      <c r="B36" s="120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/>
      <c r="AW36" s="120"/>
      <c r="AX36" s="120"/>
      <c r="AY36" s="120"/>
      <c r="AZ36" s="120"/>
    </row>
    <row r="37" spans="1:52" hidden="1" x14ac:dyDescent="0.25">
      <c r="A37" s="120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</row>
    <row r="38" spans="1:52" hidden="1" x14ac:dyDescent="0.25">
      <c r="A38" s="120"/>
      <c r="B38" s="120"/>
      <c r="C38" s="120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</row>
    <row r="39" spans="1:52" hidden="1" x14ac:dyDescent="0.25">
      <c r="A39" s="120"/>
      <c r="B39" s="120"/>
      <c r="C39" s="120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  <c r="AZ39" s="120"/>
    </row>
    <row r="40" spans="1:52" hidden="1" x14ac:dyDescent="0.25">
      <c r="A40" s="120"/>
      <c r="B40" s="120"/>
      <c r="C40" s="120"/>
      <c r="D40" s="120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</row>
    <row r="41" spans="1:52" hidden="1" x14ac:dyDescent="0.25">
      <c r="A41" s="120"/>
      <c r="B41" s="120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</row>
    <row r="42" spans="1:52" hidden="1" x14ac:dyDescent="0.25">
      <c r="A42" s="120"/>
      <c r="B42" s="120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</row>
    <row r="43" spans="1:52" hidden="1" x14ac:dyDescent="0.25">
      <c r="A43" s="120"/>
      <c r="B43" s="120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</row>
    <row r="44" spans="1:52" hidden="1" x14ac:dyDescent="0.25">
      <c r="A44" s="120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</row>
    <row r="45" spans="1:52" hidden="1" x14ac:dyDescent="0.25">
      <c r="A45" s="120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</row>
    <row r="46" spans="1:52" hidden="1" x14ac:dyDescent="0.25">
      <c r="A46" s="120"/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</row>
    <row r="47" spans="1:52" hidden="1" x14ac:dyDescent="0.25">
      <c r="A47" s="120"/>
      <c r="B47" s="120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</row>
    <row r="48" spans="1:52" hidden="1" x14ac:dyDescent="0.25">
      <c r="A48" s="120"/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</row>
    <row r="49" spans="1:52" hidden="1" x14ac:dyDescent="0.25">
      <c r="A49" s="120"/>
      <c r="B49" s="120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</row>
    <row r="50" spans="1:52" hidden="1" x14ac:dyDescent="0.25">
      <c r="A50" s="120"/>
      <c r="B50" s="120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</row>
    <row r="51" spans="1:52" hidden="1" x14ac:dyDescent="0.25">
      <c r="A51" s="120"/>
      <c r="B51" s="120"/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</row>
    <row r="52" spans="1:52" hidden="1" x14ac:dyDescent="0.25">
      <c r="A52" s="120"/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</row>
    <row r="53" spans="1:52" hidden="1" x14ac:dyDescent="0.25">
      <c r="A53" s="120"/>
      <c r="B53" s="120"/>
      <c r="C53" s="120"/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</row>
    <row r="54" spans="1:52" hidden="1" x14ac:dyDescent="0.25">
      <c r="A54" s="120"/>
      <c r="B54" s="120"/>
      <c r="C54" s="120"/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  <c r="AZ54" s="120"/>
    </row>
    <row r="55" spans="1:52" hidden="1" x14ac:dyDescent="0.25">
      <c r="A55" s="120"/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  <c r="AZ55" s="120"/>
    </row>
    <row r="56" spans="1:52" hidden="1" x14ac:dyDescent="0.25">
      <c r="A56" s="120"/>
      <c r="B56" s="120"/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</row>
    <row r="57" spans="1:52" hidden="1" x14ac:dyDescent="0.25">
      <c r="A57" s="120"/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</row>
    <row r="58" spans="1:52" hidden="1" x14ac:dyDescent="0.25">
      <c r="A58" s="120"/>
      <c r="B58" s="120"/>
      <c r="C58" s="120"/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</row>
    <row r="59" spans="1:52" hidden="1" x14ac:dyDescent="0.25">
      <c r="A59" s="120"/>
      <c r="B59" s="120"/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</row>
    <row r="60" spans="1:52" hidden="1" x14ac:dyDescent="0.25">
      <c r="A60" s="120"/>
      <c r="B60" s="120"/>
      <c r="C60" s="120"/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</row>
    <row r="61" spans="1:52" hidden="1" x14ac:dyDescent="0.25">
      <c r="A61" s="120"/>
      <c r="B61" s="120"/>
      <c r="C61" s="120"/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  <c r="AZ61" s="120"/>
    </row>
    <row r="62" spans="1:52" hidden="1" x14ac:dyDescent="0.25">
      <c r="A62" s="120"/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</row>
    <row r="63" spans="1:52" hidden="1" x14ac:dyDescent="0.25">
      <c r="A63" s="120"/>
      <c r="B63" s="120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</row>
    <row r="64" spans="1:52" hidden="1" x14ac:dyDescent="0.25">
      <c r="A64" s="120"/>
      <c r="B64" s="120"/>
      <c r="C64" s="120"/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0"/>
    </row>
    <row r="65" spans="1:52" hidden="1" x14ac:dyDescent="0.25">
      <c r="A65" s="120"/>
      <c r="B65" s="120"/>
      <c r="C65" s="120"/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</row>
    <row r="66" spans="1:52" hidden="1" x14ac:dyDescent="0.25">
      <c r="A66" s="120"/>
      <c r="B66" s="120"/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  <c r="AZ66" s="120"/>
    </row>
    <row r="67" spans="1:52" hidden="1" x14ac:dyDescent="0.25">
      <c r="A67" s="120"/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</row>
    <row r="68" spans="1:52" hidden="1" x14ac:dyDescent="0.25">
      <c r="A68" s="120"/>
      <c r="B68" s="120"/>
      <c r="C68" s="120"/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</row>
    <row r="69" spans="1:52" hidden="1" x14ac:dyDescent="0.25">
      <c r="A69" s="120"/>
      <c r="B69" s="120"/>
      <c r="C69" s="120"/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  <c r="AZ69" s="120"/>
    </row>
    <row r="70" spans="1:52" hidden="1" x14ac:dyDescent="0.25">
      <c r="A70" s="120"/>
      <c r="B70" s="120"/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</row>
    <row r="71" spans="1:52" hidden="1" x14ac:dyDescent="0.25">
      <c r="A71" s="120"/>
      <c r="B71" s="120"/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</row>
    <row r="72" spans="1:52" hidden="1" x14ac:dyDescent="0.25">
      <c r="A72" s="120"/>
      <c r="B72" s="120"/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0"/>
    </row>
    <row r="73" spans="1:52" hidden="1" x14ac:dyDescent="0.25">
      <c r="A73" s="120"/>
      <c r="B73" s="120"/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0"/>
    </row>
    <row r="74" spans="1:52" hidden="1" x14ac:dyDescent="0.25">
      <c r="A74" s="120"/>
      <c r="B74" s="12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  <c r="AZ74" s="120"/>
    </row>
    <row r="75" spans="1:52" hidden="1" x14ac:dyDescent="0.25">
      <c r="A75" s="120"/>
      <c r="B75" s="120"/>
      <c r="C75" s="120"/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  <c r="AZ75" s="120"/>
    </row>
    <row r="76" spans="1:52" hidden="1" x14ac:dyDescent="0.25">
      <c r="A76" s="120"/>
      <c r="B76" s="120"/>
      <c r="C76" s="120"/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  <c r="AZ76" s="120"/>
    </row>
    <row r="77" spans="1:52" hidden="1" x14ac:dyDescent="0.25">
      <c r="A77" s="120"/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0"/>
    </row>
    <row r="78" spans="1:52" hidden="1" x14ac:dyDescent="0.25">
      <c r="A78" s="120"/>
      <c r="B78" s="120"/>
      <c r="C78" s="120"/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0"/>
    </row>
    <row r="79" spans="1:52" hidden="1" x14ac:dyDescent="0.25">
      <c r="A79" s="120"/>
      <c r="B79" s="120"/>
      <c r="C79" s="120"/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0"/>
    </row>
    <row r="80" spans="1:52" hidden="1" x14ac:dyDescent="0.25">
      <c r="A80" s="120"/>
      <c r="B80" s="120"/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0"/>
    </row>
    <row r="81" spans="1:52" hidden="1" x14ac:dyDescent="0.25">
      <c r="A81" s="120"/>
      <c r="B81" s="120"/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0"/>
    </row>
    <row r="82" spans="1:52" hidden="1" x14ac:dyDescent="0.25">
      <c r="A82" s="120"/>
      <c r="B82" s="120"/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  <c r="AZ82" s="120"/>
    </row>
    <row r="83" spans="1:52" hidden="1" x14ac:dyDescent="0.25">
      <c r="A83" s="120"/>
      <c r="B83" s="120"/>
      <c r="C83" s="120"/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</row>
    <row r="84" spans="1:52" hidden="1" x14ac:dyDescent="0.25">
      <c r="A84" s="120"/>
      <c r="B84" s="120"/>
      <c r="C84" s="120"/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0"/>
    </row>
    <row r="85" spans="1:52" hidden="1" x14ac:dyDescent="0.25">
      <c r="A85" s="120"/>
      <c r="B85" s="120"/>
      <c r="C85" s="120"/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</row>
    <row r="86" spans="1:52" hidden="1" x14ac:dyDescent="0.25">
      <c r="A86" s="120"/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</row>
    <row r="87" spans="1:52" hidden="1" x14ac:dyDescent="0.25">
      <c r="A87" s="120"/>
      <c r="B87" s="120"/>
      <c r="C87" s="120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</row>
    <row r="88" spans="1:52" hidden="1" x14ac:dyDescent="0.25">
      <c r="A88" s="120"/>
      <c r="B88" s="120"/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</row>
    <row r="89" spans="1:52" hidden="1" x14ac:dyDescent="0.25">
      <c r="A89" s="120"/>
      <c r="B89" s="120"/>
      <c r="C89" s="120"/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  <c r="AZ89" s="120"/>
    </row>
    <row r="90" spans="1:52" hidden="1" x14ac:dyDescent="0.25">
      <c r="A90" s="120"/>
      <c r="B90" s="120"/>
      <c r="C90" s="120"/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/>
      <c r="R90" s="120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  <c r="AZ90" s="120"/>
    </row>
    <row r="91" spans="1:52" hidden="1" x14ac:dyDescent="0.25">
      <c r="A91" s="120"/>
      <c r="B91" s="120"/>
      <c r="C91" s="120"/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  <c r="AZ91" s="120"/>
    </row>
    <row r="92" spans="1:52" hidden="1" x14ac:dyDescent="0.25">
      <c r="A92" s="120"/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0"/>
    </row>
    <row r="93" spans="1:52" hidden="1" x14ac:dyDescent="0.25">
      <c r="A93" s="120"/>
      <c r="B93" s="120"/>
      <c r="C93" s="120"/>
      <c r="D93" s="120"/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0"/>
    </row>
    <row r="94" spans="1:52" hidden="1" x14ac:dyDescent="0.25">
      <c r="A94" s="120"/>
      <c r="B94" s="120"/>
      <c r="C94" s="120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0"/>
    </row>
    <row r="95" spans="1:52" hidden="1" x14ac:dyDescent="0.25">
      <c r="A95" s="120"/>
      <c r="B95" s="120"/>
      <c r="C95" s="120"/>
      <c r="D95" s="120"/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0"/>
    </row>
    <row r="96" spans="1:52" hidden="1" x14ac:dyDescent="0.25">
      <c r="A96" s="120"/>
      <c r="B96" s="120"/>
      <c r="C96" s="120"/>
      <c r="D96" s="120"/>
      <c r="E96" s="120"/>
      <c r="F96" s="120"/>
      <c r="G96" s="120"/>
      <c r="H96" s="120"/>
      <c r="I96" s="120"/>
      <c r="J96" s="120"/>
      <c r="K96" s="120"/>
      <c r="L96" s="120"/>
      <c r="M96" s="120"/>
      <c r="N96" s="120"/>
      <c r="O96" s="120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</row>
    <row r="97" spans="1:52" hidden="1" x14ac:dyDescent="0.25">
      <c r="A97" s="120"/>
      <c r="B97" s="120"/>
      <c r="C97" s="120"/>
      <c r="D97" s="120"/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0"/>
    </row>
    <row r="98" spans="1:52" hidden="1" x14ac:dyDescent="0.25">
      <c r="A98" s="120"/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0"/>
    </row>
    <row r="99" spans="1:52" hidden="1" x14ac:dyDescent="0.25">
      <c r="A99" s="120"/>
      <c r="B99" s="120"/>
      <c r="C99" s="120"/>
      <c r="D99" s="120"/>
      <c r="E99" s="120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</row>
    <row r="100" spans="1:52" hidden="1" x14ac:dyDescent="0.25">
      <c r="A100" s="120"/>
      <c r="B100" s="120"/>
      <c r="C100" s="120"/>
      <c r="D100" s="120"/>
      <c r="E100" s="120"/>
      <c r="F100" s="120"/>
      <c r="G100" s="120"/>
      <c r="H100" s="120"/>
      <c r="I100" s="120"/>
      <c r="J100" s="120"/>
      <c r="K100" s="120"/>
      <c r="L100" s="120"/>
      <c r="M100" s="120"/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0"/>
    </row>
    <row r="101" spans="1:52" hidden="1" x14ac:dyDescent="0.25">
      <c r="A101" s="120"/>
      <c r="B101" s="120"/>
      <c r="C101" s="120"/>
      <c r="D101" s="120"/>
      <c r="E101" s="120"/>
      <c r="F101" s="120"/>
      <c r="G101" s="120"/>
      <c r="H101" s="120"/>
      <c r="I101" s="120"/>
      <c r="J101" s="120"/>
      <c r="K101" s="120"/>
      <c r="L101" s="120"/>
      <c r="M101" s="120"/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0"/>
    </row>
    <row r="102" spans="1:52" hidden="1" x14ac:dyDescent="0.25">
      <c r="A102" s="120"/>
      <c r="B102" s="120"/>
      <c r="C102" s="120"/>
      <c r="D102" s="120"/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/>
      <c r="AZ102" s="120"/>
    </row>
    <row r="103" spans="1:52" hidden="1" x14ac:dyDescent="0.25">
      <c r="A103" s="120"/>
      <c r="B103" s="120"/>
      <c r="C103" s="120"/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</row>
    <row r="104" spans="1:52" hidden="1" x14ac:dyDescent="0.25">
      <c r="A104" s="120"/>
      <c r="B104" s="120"/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</row>
    <row r="105" spans="1:52" hidden="1" x14ac:dyDescent="0.25">
      <c r="A105" s="120"/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</row>
    <row r="106" spans="1:52" hidden="1" x14ac:dyDescent="0.25">
      <c r="A106" s="120"/>
      <c r="B106" s="120"/>
      <c r="C106" s="120"/>
      <c r="D106" s="120"/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</row>
    <row r="107" spans="1:52" hidden="1" x14ac:dyDescent="0.25">
      <c r="A107" s="120"/>
      <c r="B107" s="120"/>
      <c r="C107" s="120"/>
      <c r="D107" s="120"/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</row>
    <row r="108" spans="1:52" hidden="1" x14ac:dyDescent="0.25">
      <c r="A108" s="120"/>
      <c r="B108" s="120"/>
      <c r="C108" s="120"/>
      <c r="D108" s="120"/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</row>
    <row r="109" spans="1:52" hidden="1" x14ac:dyDescent="0.25">
      <c r="A109" s="120"/>
      <c r="B109" s="120"/>
      <c r="C109" s="120"/>
      <c r="D109" s="120"/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</row>
    <row r="110" spans="1:52" hidden="1" x14ac:dyDescent="0.25">
      <c r="A110" s="120"/>
      <c r="B110" s="120"/>
      <c r="C110" s="120"/>
      <c r="D110" s="120"/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</row>
    <row r="111" spans="1:52" hidden="1" x14ac:dyDescent="0.25">
      <c r="A111" s="120"/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</row>
    <row r="112" spans="1:52" hidden="1" x14ac:dyDescent="0.25">
      <c r="A112" s="120"/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</row>
    <row r="113" spans="1:52" hidden="1" x14ac:dyDescent="0.25">
      <c r="A113" s="120"/>
      <c r="B113" s="120"/>
      <c r="C113" s="120"/>
      <c r="D113" s="120"/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</row>
    <row r="114" spans="1:52" hidden="1" x14ac:dyDescent="0.25">
      <c r="A114" s="120"/>
      <c r="B114" s="120"/>
      <c r="C114" s="120"/>
      <c r="D114" s="120"/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</row>
    <row r="115" spans="1:52" hidden="1" x14ac:dyDescent="0.25">
      <c r="A115" s="120"/>
      <c r="B115" s="120"/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</row>
    <row r="116" spans="1:52" hidden="1" x14ac:dyDescent="0.25">
      <c r="A116" s="120"/>
      <c r="B116" s="120"/>
      <c r="C116" s="120"/>
      <c r="D116" s="120"/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</row>
    <row r="117" spans="1:52" hidden="1" x14ac:dyDescent="0.25">
      <c r="A117" s="120"/>
      <c r="B117" s="120"/>
      <c r="C117" s="120"/>
      <c r="D117" s="120"/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</row>
    <row r="118" spans="1:52" hidden="1" x14ac:dyDescent="0.25">
      <c r="A118" s="120"/>
      <c r="B118" s="120"/>
      <c r="C118" s="120"/>
      <c r="D118" s="120"/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</row>
    <row r="119" spans="1:52" hidden="1" x14ac:dyDescent="0.25">
      <c r="A119" s="120"/>
      <c r="B119" s="120"/>
      <c r="C119" s="120"/>
      <c r="D119" s="120"/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</row>
    <row r="120" spans="1:52" hidden="1" x14ac:dyDescent="0.25">
      <c r="A120" s="120"/>
      <c r="B120" s="120"/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</row>
    <row r="121" spans="1:52" hidden="1" x14ac:dyDescent="0.25">
      <c r="A121" s="120"/>
      <c r="B121" s="120"/>
      <c r="C121" s="120"/>
      <c r="D121" s="120"/>
      <c r="E121" s="120"/>
      <c r="F121" s="120"/>
      <c r="G121" s="120"/>
      <c r="H121" s="120"/>
      <c r="I121" s="120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</row>
    <row r="122" spans="1:52" hidden="1" x14ac:dyDescent="0.25">
      <c r="A122" s="120"/>
      <c r="B122" s="120"/>
      <c r="C122" s="120"/>
      <c r="D122" s="120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</row>
    <row r="123" spans="1:52" hidden="1" x14ac:dyDescent="0.25">
      <c r="A123" s="120"/>
      <c r="B123" s="120"/>
      <c r="C123" s="120"/>
      <c r="D123" s="120"/>
      <c r="E123" s="120"/>
      <c r="F123" s="120"/>
      <c r="G123" s="120"/>
      <c r="H123" s="120"/>
      <c r="I123" s="120"/>
      <c r="J123" s="120"/>
      <c r="K123" s="120"/>
      <c r="L123" s="120"/>
      <c r="M123" s="120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</row>
    <row r="124" spans="1:52" hidden="1" x14ac:dyDescent="0.25">
      <c r="A124" s="120"/>
      <c r="B124" s="120"/>
      <c r="C124" s="120"/>
      <c r="D124" s="120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</row>
    <row r="125" spans="1:52" hidden="1" x14ac:dyDescent="0.25">
      <c r="A125" s="120"/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0"/>
      <c r="AX125" s="120"/>
      <c r="AY125" s="120"/>
      <c r="AZ125" s="120"/>
    </row>
    <row r="126" spans="1:52" hidden="1" x14ac:dyDescent="0.25">
      <c r="A126" s="120"/>
      <c r="B126" s="120"/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0"/>
    </row>
    <row r="127" spans="1:52" hidden="1" x14ac:dyDescent="0.25">
      <c r="A127" s="120"/>
      <c r="B127" s="120"/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20"/>
      <c r="AS127" s="120"/>
      <c r="AT127" s="120"/>
      <c r="AU127" s="120"/>
      <c r="AV127" s="120"/>
      <c r="AW127" s="120"/>
      <c r="AX127" s="120"/>
      <c r="AY127" s="120"/>
      <c r="AZ127" s="120"/>
    </row>
    <row r="128" spans="1:52" hidden="1" x14ac:dyDescent="0.25">
      <c r="A128" s="120"/>
      <c r="B128" s="120"/>
      <c r="C128" s="120"/>
      <c r="D128" s="12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20"/>
      <c r="AS128" s="120"/>
      <c r="AT128" s="120"/>
      <c r="AU128" s="120"/>
      <c r="AV128" s="120"/>
      <c r="AW128" s="120"/>
      <c r="AX128" s="120"/>
      <c r="AY128" s="120"/>
      <c r="AZ128" s="120"/>
    </row>
    <row r="129" spans="1:52" hidden="1" x14ac:dyDescent="0.25">
      <c r="A129" s="120"/>
      <c r="B129" s="120"/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20"/>
      <c r="AM129" s="120"/>
      <c r="AN129" s="120"/>
      <c r="AO129" s="120"/>
      <c r="AP129" s="120"/>
      <c r="AQ129" s="120"/>
      <c r="AR129" s="120"/>
      <c r="AS129" s="120"/>
      <c r="AT129" s="120"/>
      <c r="AU129" s="120"/>
      <c r="AV129" s="120"/>
      <c r="AW129" s="120"/>
      <c r="AX129" s="120"/>
      <c r="AY129" s="120"/>
      <c r="AZ129" s="120"/>
    </row>
    <row r="130" spans="1:52" hidden="1" x14ac:dyDescent="0.25">
      <c r="A130" s="120"/>
      <c r="B130" s="120"/>
      <c r="C130" s="120"/>
      <c r="D130" s="120"/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20"/>
      <c r="AM130" s="120"/>
      <c r="AN130" s="120"/>
      <c r="AO130" s="120"/>
      <c r="AP130" s="120"/>
      <c r="AQ130" s="120"/>
      <c r="AR130" s="120"/>
      <c r="AS130" s="120"/>
      <c r="AT130" s="120"/>
      <c r="AU130" s="120"/>
      <c r="AV130" s="120"/>
      <c r="AW130" s="120"/>
      <c r="AX130" s="120"/>
      <c r="AY130" s="120"/>
      <c r="AZ130" s="120"/>
    </row>
    <row r="131" spans="1:52" hidden="1" x14ac:dyDescent="0.25">
      <c r="A131" s="120"/>
      <c r="B131" s="120"/>
      <c r="C131" s="120"/>
      <c r="D131" s="120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</row>
    <row r="132" spans="1:52" hidden="1" x14ac:dyDescent="0.25">
      <c r="A132" s="120"/>
      <c r="B132" s="120"/>
      <c r="C132" s="120"/>
      <c r="D132" s="120"/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  <c r="AX132" s="120"/>
      <c r="AY132" s="120"/>
      <c r="AZ132" s="120"/>
    </row>
    <row r="133" spans="1:52" hidden="1" x14ac:dyDescent="0.25">
      <c r="A133" s="120"/>
      <c r="B133" s="120"/>
      <c r="C133" s="120"/>
      <c r="D133" s="120"/>
      <c r="E133" s="120"/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20"/>
      <c r="AM133" s="120"/>
      <c r="AN133" s="120"/>
      <c r="AO133" s="120"/>
      <c r="AP133" s="120"/>
      <c r="AQ133" s="120"/>
      <c r="AR133" s="120"/>
      <c r="AS133" s="120"/>
      <c r="AT133" s="120"/>
      <c r="AU133" s="120"/>
      <c r="AV133" s="120"/>
      <c r="AW133" s="120"/>
      <c r="AX133" s="120"/>
      <c r="AY133" s="120"/>
      <c r="AZ133" s="120"/>
    </row>
    <row r="134" spans="1:52" hidden="1" x14ac:dyDescent="0.25">
      <c r="A134" s="120"/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20"/>
      <c r="AM134" s="120"/>
      <c r="AN134" s="120"/>
      <c r="AO134" s="120"/>
      <c r="AP134" s="120"/>
      <c r="AQ134" s="120"/>
      <c r="AR134" s="120"/>
      <c r="AS134" s="120"/>
      <c r="AT134" s="120"/>
      <c r="AU134" s="120"/>
      <c r="AV134" s="120"/>
      <c r="AW134" s="120"/>
      <c r="AX134" s="120"/>
      <c r="AY134" s="120"/>
      <c r="AZ134" s="120"/>
    </row>
    <row r="135" spans="1:52" hidden="1" x14ac:dyDescent="0.25">
      <c r="A135" s="120"/>
      <c r="B135" s="120"/>
      <c r="C135" s="120"/>
      <c r="D135" s="120"/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20"/>
      <c r="AM135" s="120"/>
      <c r="AN135" s="120"/>
      <c r="AO135" s="120"/>
      <c r="AP135" s="120"/>
      <c r="AQ135" s="120"/>
      <c r="AR135" s="120"/>
      <c r="AS135" s="120"/>
      <c r="AT135" s="120"/>
      <c r="AU135" s="120"/>
      <c r="AV135" s="120"/>
      <c r="AW135" s="120"/>
      <c r="AX135" s="120"/>
      <c r="AY135" s="120"/>
      <c r="AZ135" s="120"/>
    </row>
    <row r="136" spans="1:52" hidden="1" x14ac:dyDescent="0.25">
      <c r="A136" s="120"/>
      <c r="B136" s="120"/>
      <c r="C136" s="120"/>
      <c r="D136" s="120"/>
      <c r="E136" s="120"/>
      <c r="F136" s="120"/>
      <c r="G136" s="120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20"/>
      <c r="AM136" s="120"/>
      <c r="AN136" s="120"/>
      <c r="AO136" s="120"/>
      <c r="AP136" s="120"/>
      <c r="AQ136" s="120"/>
      <c r="AR136" s="120"/>
      <c r="AS136" s="120"/>
      <c r="AT136" s="120"/>
      <c r="AU136" s="120"/>
      <c r="AV136" s="120"/>
      <c r="AW136" s="120"/>
      <c r="AX136" s="120"/>
      <c r="AY136" s="120"/>
      <c r="AZ136" s="120"/>
    </row>
    <row r="137" spans="1:52" hidden="1" x14ac:dyDescent="0.25">
      <c r="A137" s="120"/>
      <c r="B137" s="120"/>
      <c r="C137" s="120"/>
      <c r="D137" s="120"/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20"/>
      <c r="AM137" s="120"/>
      <c r="AN137" s="120"/>
      <c r="AO137" s="120"/>
      <c r="AP137" s="120"/>
      <c r="AQ137" s="120"/>
      <c r="AR137" s="120"/>
      <c r="AS137" s="120"/>
      <c r="AT137" s="120"/>
      <c r="AU137" s="120"/>
      <c r="AV137" s="120"/>
      <c r="AW137" s="120"/>
      <c r="AX137" s="120"/>
      <c r="AY137" s="120"/>
      <c r="AZ137" s="120"/>
    </row>
    <row r="138" spans="1:52" hidden="1" x14ac:dyDescent="0.25">
      <c r="A138" s="120"/>
      <c r="B138" s="120"/>
      <c r="C138" s="120"/>
      <c r="D138" s="120"/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20"/>
      <c r="AM138" s="120"/>
      <c r="AN138" s="120"/>
      <c r="AO138" s="120"/>
      <c r="AP138" s="120"/>
      <c r="AQ138" s="120"/>
      <c r="AR138" s="120"/>
      <c r="AS138" s="120"/>
      <c r="AT138" s="120"/>
      <c r="AU138" s="120"/>
      <c r="AV138" s="120"/>
      <c r="AW138" s="120"/>
      <c r="AX138" s="120"/>
      <c r="AY138" s="120"/>
      <c r="AZ138" s="120"/>
    </row>
    <row r="139" spans="1:52" hidden="1" x14ac:dyDescent="0.25">
      <c r="A139" s="120"/>
      <c r="B139" s="120"/>
      <c r="C139" s="120"/>
      <c r="D139" s="120"/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20"/>
      <c r="AM139" s="120"/>
      <c r="AN139" s="120"/>
      <c r="AO139" s="120"/>
      <c r="AP139" s="120"/>
      <c r="AQ139" s="120"/>
      <c r="AR139" s="120"/>
      <c r="AS139" s="120"/>
      <c r="AT139" s="120"/>
      <c r="AU139" s="120"/>
      <c r="AV139" s="120"/>
      <c r="AW139" s="120"/>
      <c r="AX139" s="120"/>
      <c r="AY139" s="120"/>
      <c r="AZ139" s="120"/>
    </row>
    <row r="140" spans="1:52" hidden="1" x14ac:dyDescent="0.25">
      <c r="A140" s="120"/>
      <c r="B140" s="120"/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</row>
    <row r="141" spans="1:52" hidden="1" x14ac:dyDescent="0.25">
      <c r="A141" s="120"/>
      <c r="B141" s="120"/>
      <c r="C141" s="120"/>
      <c r="D141" s="120"/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0"/>
    </row>
    <row r="142" spans="1:52" hidden="1" x14ac:dyDescent="0.25">
      <c r="A142" s="120"/>
      <c r="B142" s="120"/>
      <c r="C142" s="120"/>
      <c r="D142" s="120"/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  <c r="AU142" s="120"/>
      <c r="AV142" s="120"/>
      <c r="AW142" s="120"/>
      <c r="AX142" s="120"/>
      <c r="AY142" s="120"/>
      <c r="AZ142" s="120"/>
    </row>
    <row r="143" spans="1:52" hidden="1" x14ac:dyDescent="0.25">
      <c r="A143" s="120"/>
      <c r="B143" s="120"/>
      <c r="C143" s="120"/>
      <c r="D143" s="120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  <c r="AU143" s="120"/>
      <c r="AV143" s="120"/>
      <c r="AW143" s="120"/>
      <c r="AX143" s="120"/>
      <c r="AY143" s="120"/>
      <c r="AZ143" s="120"/>
    </row>
    <row r="144" spans="1:52" hidden="1" x14ac:dyDescent="0.25">
      <c r="A144" s="120"/>
      <c r="B144" s="120"/>
      <c r="C144" s="120"/>
      <c r="D144" s="120"/>
      <c r="E144" s="120"/>
      <c r="F144" s="120"/>
      <c r="G144" s="120"/>
      <c r="H144" s="120"/>
      <c r="I144" s="120"/>
      <c r="J144" s="120"/>
      <c r="K144" s="120"/>
      <c r="L144" s="12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20"/>
      <c r="AM144" s="120"/>
      <c r="AN144" s="120"/>
      <c r="AO144" s="120"/>
      <c r="AP144" s="120"/>
      <c r="AQ144" s="120"/>
      <c r="AR144" s="120"/>
      <c r="AS144" s="120"/>
      <c r="AT144" s="120"/>
      <c r="AU144" s="120"/>
      <c r="AV144" s="120"/>
      <c r="AW144" s="120"/>
      <c r="AX144" s="120"/>
      <c r="AY144" s="120"/>
      <c r="AZ144" s="120"/>
    </row>
    <row r="145" spans="1:52" hidden="1" x14ac:dyDescent="0.25">
      <c r="A145" s="120"/>
      <c r="B145" s="120"/>
      <c r="C145" s="120"/>
      <c r="D145" s="120"/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20"/>
      <c r="AM145" s="120"/>
      <c r="AN145" s="120"/>
      <c r="AO145" s="120"/>
      <c r="AP145" s="120"/>
      <c r="AQ145" s="120"/>
      <c r="AR145" s="120"/>
      <c r="AS145" s="120"/>
      <c r="AT145" s="120"/>
      <c r="AU145" s="120"/>
      <c r="AV145" s="120"/>
      <c r="AW145" s="120"/>
      <c r="AX145" s="120"/>
      <c r="AY145" s="120"/>
      <c r="AZ145" s="120"/>
    </row>
    <row r="146" spans="1:52" hidden="1" x14ac:dyDescent="0.25">
      <c r="A146" s="120"/>
      <c r="B146" s="120"/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0"/>
      <c r="AX146" s="120"/>
      <c r="AY146" s="120"/>
      <c r="AZ146" s="120"/>
    </row>
    <row r="147" spans="1:52" hidden="1" x14ac:dyDescent="0.25">
      <c r="A147" s="120"/>
      <c r="B147" s="120"/>
      <c r="C147" s="120"/>
      <c r="D147" s="120"/>
      <c r="E147" s="120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</row>
    <row r="148" spans="1:52" hidden="1" x14ac:dyDescent="0.25">
      <c r="A148" s="120"/>
      <c r="B148" s="120"/>
      <c r="C148" s="120"/>
      <c r="D148" s="120"/>
      <c r="E148" s="120"/>
      <c r="F148" s="120"/>
      <c r="G148" s="120"/>
      <c r="H148" s="120"/>
      <c r="I148" s="120"/>
      <c r="J148" s="120"/>
      <c r="K148" s="120"/>
      <c r="L148" s="120"/>
      <c r="M148" s="120"/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0"/>
    </row>
    <row r="149" spans="1:52" hidden="1" x14ac:dyDescent="0.25">
      <c r="A149" s="120"/>
      <c r="B149" s="120"/>
      <c r="C149" s="120"/>
      <c r="D149" s="120"/>
      <c r="E149" s="120"/>
      <c r="F149" s="120"/>
      <c r="G149" s="120"/>
      <c r="H149" s="120"/>
      <c r="I149" s="120"/>
      <c r="J149" s="120"/>
      <c r="K149" s="120"/>
      <c r="L149" s="120"/>
      <c r="M149" s="120"/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0"/>
    </row>
    <row r="150" spans="1:52" hidden="1" x14ac:dyDescent="0.25">
      <c r="A150" s="120"/>
      <c r="B150" s="120"/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0"/>
    </row>
    <row r="151" spans="1:52" hidden="1" x14ac:dyDescent="0.25">
      <c r="A151" s="120"/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0"/>
    </row>
    <row r="152" spans="1:52" hidden="1" x14ac:dyDescent="0.25">
      <c r="A152" s="120"/>
      <c r="B152" s="120"/>
      <c r="C152" s="120"/>
      <c r="D152" s="120"/>
      <c r="E152" s="120"/>
      <c r="F152" s="120"/>
      <c r="G152" s="120"/>
      <c r="H152" s="120"/>
      <c r="I152" s="120"/>
      <c r="J152" s="120"/>
      <c r="K152" s="120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0"/>
      <c r="AX152" s="120"/>
      <c r="AY152" s="120"/>
      <c r="AZ152" s="120"/>
    </row>
    <row r="153" spans="1:52" hidden="1" x14ac:dyDescent="0.25">
      <c r="A153" s="120"/>
      <c r="B153" s="120"/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0"/>
    </row>
    <row r="154" spans="1:52" hidden="1" x14ac:dyDescent="0.25">
      <c r="A154" s="120"/>
      <c r="B154" s="120"/>
      <c r="C154" s="120"/>
      <c r="D154" s="120"/>
      <c r="E154" s="120"/>
      <c r="F154" s="120"/>
      <c r="G154" s="120"/>
      <c r="H154" s="120"/>
      <c r="I154" s="120"/>
      <c r="J154" s="120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0"/>
      <c r="AX154" s="120"/>
      <c r="AY154" s="120"/>
      <c r="AZ154" s="120"/>
    </row>
    <row r="155" spans="1:52" hidden="1" x14ac:dyDescent="0.25">
      <c r="A155" s="120"/>
      <c r="B155" s="120"/>
      <c r="C155" s="120"/>
      <c r="D155" s="120"/>
      <c r="E155" s="120"/>
      <c r="F155" s="120"/>
      <c r="G155" s="120"/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0"/>
    </row>
    <row r="156" spans="1:52" hidden="1" x14ac:dyDescent="0.25">
      <c r="A156" s="120"/>
      <c r="B156" s="120"/>
      <c r="C156" s="120"/>
      <c r="D156" s="120"/>
      <c r="E156" s="120"/>
      <c r="F156" s="120"/>
      <c r="G156" s="120"/>
      <c r="H156" s="120"/>
      <c r="I156" s="120"/>
      <c r="J156" s="120"/>
      <c r="K156" s="120"/>
      <c r="L156" s="120"/>
      <c r="M156" s="120"/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0"/>
    </row>
    <row r="157" spans="1:52" hidden="1" x14ac:dyDescent="0.25">
      <c r="A157" s="120"/>
      <c r="B157" s="120"/>
      <c r="C157" s="120"/>
      <c r="D157" s="120"/>
      <c r="E157" s="120"/>
      <c r="F157" s="120"/>
      <c r="G157" s="120"/>
      <c r="H157" s="120"/>
      <c r="I157" s="120"/>
      <c r="J157" s="120"/>
      <c r="K157" s="120"/>
      <c r="L157" s="120"/>
      <c r="M157" s="120"/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0"/>
    </row>
    <row r="158" spans="1:52" hidden="1" x14ac:dyDescent="0.25">
      <c r="A158" s="120"/>
      <c r="B158" s="120"/>
      <c r="C158" s="120"/>
      <c r="D158" s="120"/>
      <c r="E158" s="120"/>
      <c r="F158" s="120"/>
      <c r="G158" s="120"/>
      <c r="H158" s="120"/>
      <c r="I158" s="120"/>
      <c r="J158" s="120"/>
      <c r="K158" s="120"/>
      <c r="L158" s="120"/>
      <c r="M158" s="120"/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0"/>
    </row>
    <row r="159" spans="1:52" hidden="1" x14ac:dyDescent="0.25">
      <c r="A159" s="120"/>
      <c r="B159" s="120"/>
      <c r="C159" s="120"/>
      <c r="D159" s="120"/>
      <c r="E159" s="120"/>
      <c r="F159" s="120"/>
      <c r="G159" s="120"/>
      <c r="H159" s="120"/>
      <c r="I159" s="120"/>
      <c r="J159" s="120"/>
      <c r="K159" s="120"/>
      <c r="L159" s="120"/>
      <c r="M159" s="120"/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</row>
    <row r="160" spans="1:52" hidden="1" x14ac:dyDescent="0.25">
      <c r="A160" s="120"/>
      <c r="B160" s="120"/>
      <c r="C160" s="120"/>
      <c r="D160" s="120"/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120"/>
      <c r="Q160" s="120"/>
      <c r="R160" s="120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</row>
    <row r="161" spans="1:52" hidden="1" x14ac:dyDescent="0.25">
      <c r="A161" s="120"/>
      <c r="B161" s="120"/>
      <c r="C161" s="120"/>
      <c r="D161" s="120"/>
      <c r="E161" s="120"/>
      <c r="F161" s="120"/>
      <c r="G161" s="120"/>
      <c r="H161" s="120"/>
      <c r="I161" s="120"/>
      <c r="J161" s="120"/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20"/>
      <c r="AM161" s="120"/>
      <c r="AN161" s="120"/>
      <c r="AO161" s="120"/>
      <c r="AP161" s="120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0"/>
    </row>
    <row r="162" spans="1:52" hidden="1" x14ac:dyDescent="0.25">
      <c r="A162" s="120"/>
      <c r="B162" s="120"/>
      <c r="C162" s="120"/>
      <c r="D162" s="120"/>
      <c r="E162" s="120"/>
      <c r="F162" s="120"/>
      <c r="G162" s="120"/>
      <c r="H162" s="120"/>
      <c r="I162" s="120"/>
      <c r="J162" s="120"/>
      <c r="K162" s="120"/>
      <c r="L162" s="120"/>
      <c r="M162" s="120"/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0"/>
    </row>
    <row r="163" spans="1:52" hidden="1" x14ac:dyDescent="0.25">
      <c r="A163" s="120"/>
      <c r="B163" s="120"/>
      <c r="C163" s="120"/>
      <c r="D163" s="120"/>
      <c r="E163" s="120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</row>
    <row r="164" spans="1:52" hidden="1" x14ac:dyDescent="0.25">
      <c r="A164" s="120"/>
      <c r="B164" s="120"/>
      <c r="C164" s="120"/>
      <c r="D164" s="120"/>
      <c r="E164" s="120"/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0"/>
      <c r="AX164" s="120"/>
      <c r="AY164" s="120"/>
      <c r="AZ164" s="120"/>
    </row>
    <row r="165" spans="1:52" hidden="1" x14ac:dyDescent="0.25">
      <c r="A165" s="120"/>
      <c r="B165" s="120"/>
      <c r="C165" s="120"/>
      <c r="D165" s="120"/>
      <c r="E165" s="120"/>
      <c r="F165" s="120"/>
      <c r="G165" s="120"/>
      <c r="H165" s="120"/>
      <c r="I165" s="120"/>
      <c r="J165" s="120"/>
      <c r="K165" s="120"/>
      <c r="L165" s="120"/>
      <c r="M165" s="120"/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0"/>
      <c r="AX165" s="120"/>
      <c r="AY165" s="120"/>
      <c r="AZ165" s="120"/>
    </row>
    <row r="166" spans="1:52" hidden="1" x14ac:dyDescent="0.25">
      <c r="A166" s="120"/>
      <c r="B166" s="120"/>
      <c r="C166" s="120"/>
      <c r="D166" s="120"/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0"/>
    </row>
    <row r="167" spans="1:52" hidden="1" x14ac:dyDescent="0.25">
      <c r="A167" s="120"/>
      <c r="B167" s="120"/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</row>
    <row r="168" spans="1:52" hidden="1" x14ac:dyDescent="0.25">
      <c r="A168" s="120"/>
      <c r="B168" s="120"/>
      <c r="C168" s="120"/>
      <c r="D168" s="120"/>
      <c r="E168" s="120"/>
      <c r="F168" s="120"/>
      <c r="G168" s="120"/>
      <c r="H168" s="120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0"/>
    </row>
    <row r="169" spans="1:52" hidden="1" x14ac:dyDescent="0.25">
      <c r="A169" s="120"/>
      <c r="B169" s="120"/>
      <c r="C169" s="120"/>
      <c r="D169" s="120"/>
      <c r="E169" s="120"/>
      <c r="F169" s="120"/>
      <c r="G169" s="120"/>
      <c r="H169" s="120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0"/>
    </row>
    <row r="170" spans="1:52" hidden="1" x14ac:dyDescent="0.25">
      <c r="A170" s="120"/>
      <c r="B170" s="120"/>
      <c r="C170" s="120"/>
      <c r="D170" s="120"/>
      <c r="E170" s="120"/>
      <c r="F170" s="120"/>
      <c r="G170" s="120"/>
      <c r="H170" s="120"/>
      <c r="I170" s="120"/>
      <c r="J170" s="120"/>
      <c r="K170" s="120"/>
      <c r="L170" s="120"/>
      <c r="M170" s="120"/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/>
      <c r="AZ170" s="120"/>
    </row>
    <row r="171" spans="1:52" hidden="1" x14ac:dyDescent="0.25">
      <c r="A171" s="120"/>
      <c r="B171" s="120"/>
      <c r="C171" s="120"/>
      <c r="D171" s="120"/>
      <c r="E171" s="120"/>
      <c r="F171" s="120"/>
      <c r="G171" s="120"/>
      <c r="H171" s="120"/>
      <c r="I171" s="120"/>
      <c r="J171" s="120"/>
      <c r="K171" s="120"/>
      <c r="L171" s="120"/>
      <c r="M171" s="120"/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0"/>
      <c r="AX171" s="120"/>
      <c r="AY171" s="120"/>
      <c r="AZ171" s="120"/>
    </row>
    <row r="172" spans="1:52" hidden="1" x14ac:dyDescent="0.25">
      <c r="A172" s="120"/>
      <c r="B172" s="120"/>
      <c r="C172" s="120"/>
      <c r="D172" s="120"/>
      <c r="E172" s="120"/>
      <c r="F172" s="120"/>
      <c r="G172" s="120"/>
      <c r="H172" s="120"/>
      <c r="I172" s="120"/>
      <c r="J172" s="120"/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0"/>
      <c r="AX172" s="120"/>
      <c r="AY172" s="120"/>
      <c r="AZ172" s="120"/>
    </row>
    <row r="173" spans="1:52" hidden="1" x14ac:dyDescent="0.25">
      <c r="A173" s="120"/>
      <c r="B173" s="120"/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0"/>
      <c r="AX173" s="120"/>
      <c r="AY173" s="120"/>
      <c r="AZ173" s="120"/>
    </row>
    <row r="174" spans="1:52" hidden="1" x14ac:dyDescent="0.25">
      <c r="A174" s="120"/>
      <c r="B174" s="120"/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0"/>
      <c r="AX174" s="120"/>
      <c r="AY174" s="120"/>
      <c r="AZ174" s="120"/>
    </row>
    <row r="175" spans="1:52" hidden="1" x14ac:dyDescent="0.25">
      <c r="A175" s="120"/>
      <c r="B175" s="120"/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0"/>
      <c r="AX175" s="120"/>
      <c r="AY175" s="120"/>
      <c r="AZ175" s="120"/>
    </row>
    <row r="176" spans="1:52" hidden="1" x14ac:dyDescent="0.25">
      <c r="A176" s="120"/>
      <c r="B176" s="120"/>
      <c r="C176" s="120"/>
      <c r="D176" s="120"/>
      <c r="E176" s="120"/>
      <c r="F176" s="120"/>
      <c r="G176" s="120"/>
      <c r="H176" s="120"/>
      <c r="I176" s="120"/>
      <c r="J176" s="120"/>
      <c r="K176" s="120"/>
      <c r="L176" s="120"/>
      <c r="M176" s="120"/>
      <c r="N176" s="120"/>
      <c r="O176" s="120"/>
      <c r="P176" s="120"/>
      <c r="Q176" s="120"/>
      <c r="R176" s="120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  <c r="AU176" s="120"/>
      <c r="AV176" s="120"/>
      <c r="AW176" s="120"/>
      <c r="AX176" s="120"/>
      <c r="AY176" s="120"/>
      <c r="AZ176" s="120"/>
    </row>
    <row r="177" spans="1:52" hidden="1" x14ac:dyDescent="0.25">
      <c r="A177" s="120"/>
      <c r="B177" s="120"/>
      <c r="C177" s="120"/>
      <c r="D177" s="120"/>
      <c r="E177" s="120"/>
      <c r="F177" s="120"/>
      <c r="G177" s="120"/>
      <c r="H177" s="120"/>
      <c r="I177" s="120"/>
      <c r="J177" s="120"/>
      <c r="K177" s="120"/>
      <c r="L177" s="120"/>
      <c r="M177" s="120"/>
      <c r="N177" s="120"/>
      <c r="O177" s="120"/>
      <c r="P177" s="120"/>
      <c r="Q177" s="120"/>
      <c r="R177" s="120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  <c r="AU177" s="120"/>
      <c r="AV177" s="120"/>
      <c r="AW177" s="120"/>
      <c r="AX177" s="120"/>
      <c r="AY177" s="120"/>
      <c r="AZ177" s="120"/>
    </row>
    <row r="178" spans="1:52" hidden="1" x14ac:dyDescent="0.25">
      <c r="A178" s="120"/>
      <c r="B178" s="120"/>
      <c r="C178" s="120"/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  <c r="AU178" s="120"/>
      <c r="AV178" s="120"/>
      <c r="AW178" s="120"/>
      <c r="AX178" s="120"/>
      <c r="AY178" s="120"/>
      <c r="AZ178" s="120"/>
    </row>
    <row r="179" spans="1:52" hidden="1" x14ac:dyDescent="0.25">
      <c r="A179" s="120"/>
      <c r="B179" s="120"/>
      <c r="C179" s="120"/>
      <c r="D179" s="120"/>
      <c r="E179" s="120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</row>
    <row r="180" spans="1:52" hidden="1" x14ac:dyDescent="0.25">
      <c r="A180" s="120"/>
      <c r="B180" s="120"/>
      <c r="C180" s="120"/>
      <c r="D180" s="120"/>
      <c r="E180" s="120"/>
      <c r="F180" s="120"/>
      <c r="G180" s="120"/>
      <c r="H180" s="120"/>
      <c r="I180" s="120"/>
      <c r="J180" s="120"/>
      <c r="K180" s="120"/>
      <c r="L180" s="120"/>
      <c r="M180" s="120"/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  <c r="AU180" s="120"/>
      <c r="AV180" s="120"/>
      <c r="AW180" s="120"/>
      <c r="AX180" s="120"/>
      <c r="AY180" s="120"/>
      <c r="AZ180" s="120"/>
    </row>
    <row r="181" spans="1:52" hidden="1" x14ac:dyDescent="0.25">
      <c r="A181" s="120"/>
      <c r="B181" s="120"/>
      <c r="C181" s="120"/>
      <c r="D181" s="120"/>
      <c r="E181" s="120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  <c r="AU181" s="120"/>
      <c r="AV181" s="120"/>
      <c r="AW181" s="120"/>
      <c r="AX181" s="120"/>
      <c r="AY181" s="120"/>
      <c r="AZ181" s="120"/>
    </row>
    <row r="182" spans="1:52" hidden="1" x14ac:dyDescent="0.25">
      <c r="A182" s="120"/>
      <c r="B182" s="120"/>
      <c r="C182" s="120"/>
      <c r="D182" s="120"/>
      <c r="E182" s="120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  <c r="AU182" s="120"/>
      <c r="AV182" s="120"/>
      <c r="AW182" s="120"/>
      <c r="AX182" s="120"/>
      <c r="AY182" s="120"/>
      <c r="AZ182" s="120"/>
    </row>
    <row r="183" spans="1:52" hidden="1" x14ac:dyDescent="0.25">
      <c r="A183" s="120"/>
      <c r="B183" s="120"/>
      <c r="C183" s="120"/>
      <c r="D183" s="120"/>
      <c r="E183" s="120"/>
      <c r="F183" s="120"/>
      <c r="G183" s="120"/>
      <c r="H183" s="120"/>
      <c r="I183" s="120"/>
      <c r="J183" s="120"/>
      <c r="K183" s="120"/>
      <c r="L183" s="120"/>
      <c r="M183" s="120"/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  <c r="AU183" s="120"/>
      <c r="AV183" s="120"/>
      <c r="AW183" s="120"/>
      <c r="AX183" s="120"/>
      <c r="AY183" s="120"/>
      <c r="AZ183" s="120"/>
    </row>
    <row r="184" spans="1:52" hidden="1" x14ac:dyDescent="0.25">
      <c r="A184" s="120"/>
      <c r="B184" s="120"/>
      <c r="C184" s="120"/>
      <c r="D184" s="120"/>
      <c r="E184" s="120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  <c r="AU184" s="120"/>
      <c r="AV184" s="120"/>
      <c r="AW184" s="120"/>
      <c r="AX184" s="120"/>
      <c r="AY184" s="120"/>
      <c r="AZ184" s="120"/>
    </row>
    <row r="185" spans="1:52" hidden="1" x14ac:dyDescent="0.25">
      <c r="A185" s="120"/>
      <c r="B185" s="120"/>
      <c r="C185" s="120"/>
      <c r="D185" s="120"/>
      <c r="E185" s="120"/>
      <c r="F185" s="120"/>
      <c r="G185" s="120"/>
      <c r="H185" s="120"/>
      <c r="I185" s="120"/>
      <c r="J185" s="120"/>
      <c r="K185" s="120"/>
      <c r="L185" s="120"/>
      <c r="M185" s="120"/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  <c r="AU185" s="120"/>
      <c r="AV185" s="120"/>
      <c r="AW185" s="120"/>
      <c r="AX185" s="120"/>
      <c r="AY185" s="120"/>
      <c r="AZ185" s="120"/>
    </row>
    <row r="186" spans="1:52" hidden="1" x14ac:dyDescent="0.25">
      <c r="A186" s="120"/>
      <c r="B186" s="120"/>
      <c r="C186" s="120"/>
      <c r="D186" s="120"/>
      <c r="E186" s="120"/>
      <c r="F186" s="120"/>
      <c r="G186" s="120"/>
      <c r="H186" s="120"/>
      <c r="I186" s="120"/>
      <c r="J186" s="120"/>
      <c r="K186" s="120"/>
      <c r="L186" s="120"/>
      <c r="M186" s="120"/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  <c r="AU186" s="120"/>
      <c r="AV186" s="120"/>
      <c r="AW186" s="120"/>
      <c r="AX186" s="120"/>
      <c r="AY186" s="120"/>
      <c r="AZ186" s="120"/>
    </row>
    <row r="187" spans="1:52" hidden="1" x14ac:dyDescent="0.25">
      <c r="A187" s="120"/>
      <c r="B187" s="120"/>
      <c r="C187" s="120"/>
      <c r="D187" s="120"/>
      <c r="E187" s="120"/>
      <c r="F187" s="120"/>
      <c r="G187" s="120"/>
      <c r="H187" s="120"/>
      <c r="I187" s="120"/>
      <c r="J187" s="120"/>
      <c r="K187" s="120"/>
      <c r="L187" s="120"/>
      <c r="M187" s="120"/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  <c r="AU187" s="120"/>
      <c r="AV187" s="120"/>
      <c r="AW187" s="120"/>
      <c r="AX187" s="120"/>
      <c r="AY187" s="120"/>
      <c r="AZ187" s="120"/>
    </row>
    <row r="188" spans="1:52" hidden="1" x14ac:dyDescent="0.25">
      <c r="A188" s="120"/>
      <c r="B188" s="120"/>
      <c r="C188" s="120"/>
      <c r="D188" s="120"/>
      <c r="E188" s="120"/>
      <c r="F188" s="120"/>
      <c r="G188" s="120"/>
      <c r="H188" s="120"/>
      <c r="I188" s="120"/>
      <c r="J188" s="120"/>
      <c r="K188" s="120"/>
      <c r="L188" s="120"/>
      <c r="M188" s="120"/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  <c r="AU188" s="120"/>
      <c r="AV188" s="120"/>
      <c r="AW188" s="120"/>
      <c r="AX188" s="120"/>
      <c r="AY188" s="120"/>
      <c r="AZ188" s="120"/>
    </row>
    <row r="189" spans="1:52" hidden="1" x14ac:dyDescent="0.25">
      <c r="A189" s="120"/>
      <c r="B189" s="120"/>
      <c r="C189" s="120"/>
      <c r="D189" s="120"/>
      <c r="E189" s="120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  <c r="AU189" s="120"/>
      <c r="AV189" s="120"/>
      <c r="AW189" s="120"/>
      <c r="AX189" s="120"/>
      <c r="AY189" s="120"/>
      <c r="AZ189" s="120"/>
    </row>
    <row r="190" spans="1:52" hidden="1" x14ac:dyDescent="0.25">
      <c r="A190" s="120"/>
      <c r="B190" s="120"/>
      <c r="C190" s="120"/>
      <c r="D190" s="120"/>
      <c r="E190" s="120"/>
      <c r="F190" s="120"/>
      <c r="G190" s="120"/>
      <c r="H190" s="120"/>
      <c r="I190" s="120"/>
      <c r="J190" s="120"/>
      <c r="K190" s="120"/>
      <c r="L190" s="120"/>
      <c r="M190" s="120"/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  <c r="AU190" s="120"/>
      <c r="AV190" s="120"/>
      <c r="AW190" s="120"/>
      <c r="AX190" s="120"/>
      <c r="AY190" s="120"/>
      <c r="AZ190" s="120"/>
    </row>
    <row r="191" spans="1:52" hidden="1" x14ac:dyDescent="0.25">
      <c r="A191" s="120"/>
      <c r="B191" s="120"/>
      <c r="C191" s="120"/>
      <c r="D191" s="120"/>
      <c r="E191" s="120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  <c r="AU191" s="120"/>
      <c r="AV191" s="120"/>
      <c r="AW191" s="120"/>
      <c r="AX191" s="120"/>
      <c r="AY191" s="120"/>
      <c r="AZ191" s="120"/>
    </row>
    <row r="192" spans="1:52" hidden="1" x14ac:dyDescent="0.25">
      <c r="A192" s="120"/>
      <c r="B192" s="120"/>
      <c r="C192" s="120"/>
      <c r="D192" s="120"/>
      <c r="E192" s="120"/>
      <c r="F192" s="120"/>
      <c r="G192" s="120"/>
      <c r="H192" s="120"/>
      <c r="I192" s="120"/>
      <c r="J192" s="120"/>
      <c r="K192" s="120"/>
      <c r="L192" s="120"/>
      <c r="M192" s="120"/>
      <c r="N192" s="120"/>
      <c r="O192" s="120"/>
      <c r="P192" s="120"/>
      <c r="Q192" s="120"/>
      <c r="R192" s="120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  <c r="AU192" s="120"/>
      <c r="AV192" s="120"/>
      <c r="AW192" s="120"/>
      <c r="AX192" s="120"/>
      <c r="AY192" s="120"/>
      <c r="AZ192" s="120"/>
    </row>
    <row r="193" spans="1:52" hidden="1" x14ac:dyDescent="0.25">
      <c r="A193" s="120"/>
      <c r="B193" s="120"/>
      <c r="C193" s="120"/>
      <c r="D193" s="120"/>
      <c r="E193" s="120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120"/>
      <c r="Q193" s="120"/>
      <c r="R193" s="120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  <c r="AU193" s="120"/>
      <c r="AV193" s="120"/>
      <c r="AW193" s="120"/>
      <c r="AX193" s="120"/>
      <c r="AY193" s="120"/>
      <c r="AZ193" s="120"/>
    </row>
    <row r="194" spans="1:52" hidden="1" x14ac:dyDescent="0.25">
      <c r="A194" s="120"/>
      <c r="B194" s="120"/>
      <c r="C194" s="120"/>
      <c r="D194" s="120"/>
      <c r="E194" s="120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120"/>
      <c r="Q194" s="120"/>
      <c r="R194" s="120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0"/>
    </row>
    <row r="195" spans="1:52" hidden="1" x14ac:dyDescent="0.25">
      <c r="A195" s="120"/>
      <c r="B195" s="120"/>
      <c r="C195" s="120"/>
      <c r="D195" s="120"/>
      <c r="E195" s="120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</row>
    <row r="196" spans="1:52" hidden="1" x14ac:dyDescent="0.25">
      <c r="A196" s="120"/>
      <c r="B196" s="120"/>
      <c r="C196" s="120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120"/>
      <c r="Q196" s="120"/>
      <c r="R196" s="120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  <c r="AU196" s="120"/>
      <c r="AV196" s="120"/>
      <c r="AW196" s="120"/>
      <c r="AX196" s="120"/>
      <c r="AY196" s="120"/>
      <c r="AZ196" s="120"/>
    </row>
    <row r="197" spans="1:52" hidden="1" x14ac:dyDescent="0.25">
      <c r="A197" s="120"/>
      <c r="B197" s="120"/>
      <c r="C197" s="120"/>
      <c r="D197" s="120"/>
      <c r="E197" s="120"/>
      <c r="F197" s="120"/>
      <c r="G197" s="120"/>
      <c r="H197" s="120"/>
      <c r="I197" s="120"/>
      <c r="J197" s="120"/>
      <c r="K197" s="120"/>
      <c r="L197" s="120"/>
      <c r="M197" s="120"/>
      <c r="N197" s="120"/>
      <c r="O197" s="120"/>
      <c r="P197" s="120"/>
      <c r="Q197" s="120"/>
      <c r="R197" s="120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  <c r="AU197" s="120"/>
      <c r="AV197" s="120"/>
      <c r="AW197" s="120"/>
      <c r="AX197" s="120"/>
      <c r="AY197" s="120"/>
      <c r="AZ197" s="120"/>
    </row>
    <row r="198" spans="1:52" hidden="1" x14ac:dyDescent="0.25">
      <c r="A198" s="120"/>
      <c r="B198" s="120"/>
      <c r="C198" s="120"/>
      <c r="D198" s="120"/>
      <c r="E198" s="120"/>
      <c r="F198" s="120"/>
      <c r="G198" s="120"/>
      <c r="H198" s="120"/>
      <c r="I198" s="120"/>
      <c r="J198" s="120"/>
      <c r="K198" s="120"/>
      <c r="L198" s="120"/>
      <c r="M198" s="120"/>
      <c r="N198" s="120"/>
      <c r="O198" s="120"/>
      <c r="P198" s="120"/>
      <c r="Q198" s="120"/>
      <c r="R198" s="120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0"/>
    </row>
    <row r="199" spans="1:52" hidden="1" x14ac:dyDescent="0.25">
      <c r="A199" s="120"/>
      <c r="B199" s="120"/>
      <c r="C199" s="120"/>
      <c r="D199" s="120"/>
      <c r="E199" s="120"/>
      <c r="F199" s="120"/>
      <c r="G199" s="120"/>
      <c r="H199" s="120"/>
      <c r="I199" s="120"/>
      <c r="J199" s="120"/>
      <c r="K199" s="120"/>
      <c r="L199" s="120"/>
      <c r="M199" s="120"/>
      <c r="N199" s="120"/>
      <c r="O199" s="120"/>
      <c r="P199" s="120"/>
      <c r="Q199" s="120"/>
      <c r="R199" s="120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0"/>
    </row>
    <row r="200" spans="1:52" hidden="1" x14ac:dyDescent="0.25">
      <c r="A200" s="120"/>
      <c r="B200" s="120"/>
      <c r="C200" s="120"/>
      <c r="D200" s="120"/>
      <c r="E200" s="120"/>
      <c r="F200" s="120"/>
      <c r="G200" s="120"/>
      <c r="H200" s="120"/>
      <c r="I200" s="120"/>
      <c r="J200" s="120"/>
      <c r="K200" s="120"/>
      <c r="L200" s="120"/>
      <c r="M200" s="120"/>
      <c r="N200" s="120"/>
      <c r="O200" s="120"/>
      <c r="P200" s="120"/>
      <c r="Q200" s="120"/>
      <c r="R200" s="120"/>
      <c r="S200" s="120"/>
      <c r="T200" s="120"/>
      <c r="U200" s="120"/>
      <c r="V200" s="120"/>
      <c r="W200" s="120"/>
      <c r="X200" s="120"/>
      <c r="Y200" s="120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0"/>
    </row>
    <row r="201" spans="1:52" hidden="1" x14ac:dyDescent="0.25">
      <c r="A201" s="120"/>
      <c r="B201" s="120"/>
      <c r="C201" s="120"/>
      <c r="D201" s="120"/>
      <c r="E201" s="120"/>
      <c r="F201" s="120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0"/>
    </row>
    <row r="202" spans="1:52" hidden="1" x14ac:dyDescent="0.25">
      <c r="A202" s="120"/>
      <c r="B202" s="120"/>
      <c r="C202" s="120"/>
      <c r="D202" s="120"/>
      <c r="E202" s="120"/>
      <c r="F202" s="120"/>
      <c r="G202" s="120"/>
      <c r="H202" s="120"/>
      <c r="I202" s="120"/>
      <c r="J202" s="120"/>
      <c r="K202" s="120"/>
      <c r="L202" s="120"/>
      <c r="M202" s="120"/>
      <c r="N202" s="120"/>
      <c r="O202" s="120"/>
      <c r="P202" s="120"/>
      <c r="Q202" s="120"/>
      <c r="R202" s="120"/>
      <c r="S202" s="120"/>
      <c r="T202" s="120"/>
      <c r="U202" s="120"/>
      <c r="V202" s="120"/>
      <c r="W202" s="120"/>
      <c r="X202" s="120"/>
      <c r="Y202" s="120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0"/>
    </row>
    <row r="203" spans="1:52" hidden="1" x14ac:dyDescent="0.25">
      <c r="A203" s="120"/>
      <c r="B203" s="120"/>
      <c r="C203" s="120"/>
      <c r="D203" s="120"/>
      <c r="E203" s="120"/>
      <c r="F203" s="120"/>
      <c r="G203" s="120"/>
      <c r="H203" s="120"/>
      <c r="I203" s="120"/>
      <c r="J203" s="120"/>
      <c r="K203" s="120"/>
      <c r="L203" s="120"/>
      <c r="M203" s="120"/>
      <c r="N203" s="120"/>
      <c r="O203" s="120"/>
      <c r="P203" s="120"/>
      <c r="Q203" s="120"/>
      <c r="R203" s="120"/>
      <c r="S203" s="120"/>
      <c r="T203" s="120"/>
      <c r="U203" s="120"/>
      <c r="V203" s="120"/>
      <c r="W203" s="120"/>
      <c r="X203" s="120"/>
      <c r="Y203" s="120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  <c r="AK203" s="120"/>
      <c r="AL203" s="120"/>
      <c r="AM203" s="120"/>
      <c r="AN203" s="120"/>
      <c r="AO203" s="120"/>
      <c r="AP203" s="120"/>
      <c r="AQ203" s="120"/>
      <c r="AR203" s="120"/>
      <c r="AS203" s="120"/>
      <c r="AT203" s="120"/>
      <c r="AU203" s="120"/>
      <c r="AV203" s="120"/>
      <c r="AW203" s="120"/>
      <c r="AX203" s="120"/>
      <c r="AY203" s="120"/>
      <c r="AZ203" s="120"/>
    </row>
    <row r="204" spans="1:52" hidden="1" x14ac:dyDescent="0.25">
      <c r="A204" s="120"/>
      <c r="B204" s="120"/>
      <c r="C204" s="120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0"/>
      <c r="R204" s="120"/>
      <c r="S204" s="120"/>
      <c r="T204" s="120"/>
      <c r="U204" s="120"/>
      <c r="V204" s="120"/>
      <c r="W204" s="120"/>
      <c r="X204" s="120"/>
      <c r="Y204" s="120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0"/>
    </row>
    <row r="205" spans="1:52" hidden="1" x14ac:dyDescent="0.25">
      <c r="A205" s="120"/>
      <c r="B205" s="120"/>
      <c r="C205" s="120"/>
      <c r="D205" s="120"/>
      <c r="E205" s="120"/>
      <c r="F205" s="120"/>
      <c r="G205" s="120"/>
      <c r="H205" s="120"/>
      <c r="I205" s="120"/>
      <c r="J205" s="120"/>
      <c r="K205" s="120"/>
      <c r="L205" s="120"/>
      <c r="M205" s="120"/>
      <c r="N205" s="120"/>
      <c r="O205" s="120"/>
      <c r="P205" s="120"/>
      <c r="Q205" s="120"/>
      <c r="R205" s="120"/>
      <c r="S205" s="120"/>
      <c r="T205" s="120"/>
      <c r="U205" s="120"/>
      <c r="V205" s="120"/>
      <c r="W205" s="120"/>
      <c r="X205" s="120"/>
      <c r="Y205" s="120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0"/>
    </row>
    <row r="206" spans="1:52" hidden="1" x14ac:dyDescent="0.25">
      <c r="A206" s="120"/>
      <c r="B206" s="120"/>
      <c r="C206" s="120"/>
      <c r="D206" s="120"/>
      <c r="E206" s="120"/>
      <c r="F206" s="120"/>
      <c r="G206" s="120"/>
      <c r="H206" s="120"/>
      <c r="I206" s="120"/>
      <c r="J206" s="120"/>
      <c r="K206" s="120"/>
      <c r="L206" s="120"/>
      <c r="M206" s="120"/>
      <c r="N206" s="120"/>
      <c r="O206" s="120"/>
      <c r="P206" s="120"/>
      <c r="Q206" s="120"/>
      <c r="R206" s="120"/>
      <c r="S206" s="120"/>
      <c r="T206" s="120"/>
      <c r="U206" s="120"/>
      <c r="V206" s="120"/>
      <c r="W206" s="120"/>
      <c r="X206" s="120"/>
      <c r="Y206" s="120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0"/>
    </row>
    <row r="207" spans="1:52" hidden="1" x14ac:dyDescent="0.25">
      <c r="A207" s="120"/>
      <c r="B207" s="120"/>
      <c r="C207" s="120"/>
      <c r="D207" s="120"/>
      <c r="E207" s="120"/>
      <c r="F207" s="120"/>
      <c r="G207" s="120"/>
      <c r="H207" s="120"/>
      <c r="I207" s="120"/>
      <c r="J207" s="120"/>
      <c r="K207" s="120"/>
      <c r="L207" s="120"/>
      <c r="M207" s="120"/>
      <c r="N207" s="120"/>
      <c r="O207" s="120"/>
      <c r="P207" s="120"/>
      <c r="Q207" s="120"/>
      <c r="R207" s="120"/>
      <c r="S207" s="120"/>
      <c r="T207" s="120"/>
      <c r="U207" s="120"/>
      <c r="V207" s="120"/>
      <c r="W207" s="120"/>
      <c r="X207" s="120"/>
      <c r="Y207" s="120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0"/>
    </row>
    <row r="208" spans="1:52" hidden="1" x14ac:dyDescent="0.25">
      <c r="A208" s="120"/>
      <c r="B208" s="120"/>
      <c r="C208" s="120"/>
      <c r="D208" s="120"/>
      <c r="E208" s="120"/>
      <c r="F208" s="120"/>
      <c r="G208" s="120"/>
      <c r="H208" s="120"/>
      <c r="I208" s="120"/>
      <c r="J208" s="120"/>
      <c r="K208" s="120"/>
      <c r="L208" s="120"/>
      <c r="M208" s="120"/>
      <c r="N208" s="120"/>
      <c r="O208" s="120"/>
      <c r="P208" s="120"/>
      <c r="Q208" s="120"/>
      <c r="R208" s="120"/>
      <c r="S208" s="120"/>
      <c r="T208" s="120"/>
      <c r="U208" s="120"/>
      <c r="V208" s="120"/>
      <c r="W208" s="120"/>
      <c r="X208" s="120"/>
      <c r="Y208" s="120"/>
      <c r="Z208" s="120"/>
      <c r="AA208" s="120"/>
      <c r="AB208" s="120"/>
      <c r="AC208" s="120"/>
      <c r="AD208" s="120"/>
      <c r="AE208" s="120"/>
      <c r="AF208" s="120"/>
      <c r="AG208" s="120"/>
      <c r="AH208" s="120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0"/>
    </row>
    <row r="209" spans="1:52" hidden="1" x14ac:dyDescent="0.25">
      <c r="A209" s="120"/>
      <c r="B209" s="120"/>
      <c r="C209" s="120"/>
      <c r="D209" s="120"/>
      <c r="E209" s="120"/>
      <c r="F209" s="120"/>
      <c r="G209" s="120"/>
      <c r="H209" s="120"/>
      <c r="I209" s="120"/>
      <c r="J209" s="120"/>
      <c r="K209" s="120"/>
      <c r="L209" s="120"/>
      <c r="M209" s="120"/>
      <c r="N209" s="120"/>
      <c r="O209" s="120"/>
      <c r="P209" s="120"/>
      <c r="Q209" s="120"/>
      <c r="R209" s="120"/>
      <c r="S209" s="120"/>
      <c r="T209" s="120"/>
      <c r="U209" s="120"/>
      <c r="V209" s="120"/>
      <c r="W209" s="120"/>
      <c r="X209" s="120"/>
      <c r="Y209" s="120"/>
      <c r="Z209" s="120"/>
      <c r="AA209" s="120"/>
      <c r="AB209" s="120"/>
      <c r="AC209" s="120"/>
      <c r="AD209" s="120"/>
      <c r="AE209" s="120"/>
      <c r="AF209" s="120"/>
      <c r="AG209" s="120"/>
      <c r="AH209" s="120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0"/>
    </row>
    <row r="210" spans="1:52" hidden="1" x14ac:dyDescent="0.25">
      <c r="A210" s="120"/>
      <c r="B210" s="120"/>
      <c r="C210" s="120"/>
      <c r="D210" s="120"/>
      <c r="E210" s="120"/>
      <c r="F210" s="120"/>
      <c r="G210" s="120"/>
      <c r="H210" s="120"/>
      <c r="I210" s="120"/>
      <c r="J210" s="120"/>
      <c r="K210" s="120"/>
      <c r="L210" s="120"/>
      <c r="M210" s="120"/>
      <c r="N210" s="120"/>
      <c r="O210" s="120"/>
      <c r="P210" s="120"/>
      <c r="Q210" s="120"/>
      <c r="R210" s="120"/>
      <c r="S210" s="120"/>
      <c r="T210" s="120"/>
      <c r="U210" s="120"/>
      <c r="V210" s="120"/>
      <c r="W210" s="120"/>
      <c r="X210" s="120"/>
      <c r="Y210" s="120"/>
      <c r="Z210" s="120"/>
      <c r="AA210" s="120"/>
      <c r="AB210" s="120"/>
      <c r="AC210" s="120"/>
      <c r="AD210" s="120"/>
      <c r="AE210" s="120"/>
      <c r="AF210" s="120"/>
      <c r="AG210" s="120"/>
      <c r="AH210" s="120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0"/>
    </row>
    <row r="211" spans="1:52" hidden="1" x14ac:dyDescent="0.25">
      <c r="A211" s="120"/>
      <c r="B211" s="120"/>
      <c r="C211" s="120"/>
      <c r="D211" s="120"/>
      <c r="E211" s="120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120"/>
      <c r="Q211" s="120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</row>
    <row r="212" spans="1:52" hidden="1" x14ac:dyDescent="0.25">
      <c r="A212" s="120"/>
      <c r="B212" s="120"/>
      <c r="C212" s="120"/>
      <c r="D212" s="120"/>
      <c r="E212" s="120"/>
      <c r="F212" s="120"/>
      <c r="G212" s="120"/>
      <c r="H212" s="120"/>
      <c r="I212" s="120"/>
      <c r="J212" s="120"/>
      <c r="K212" s="120"/>
      <c r="L212" s="120"/>
      <c r="M212" s="120"/>
      <c r="N212" s="120"/>
      <c r="O212" s="120"/>
      <c r="P212" s="120"/>
      <c r="Q212" s="120"/>
      <c r="R212" s="120"/>
      <c r="S212" s="120"/>
      <c r="T212" s="120"/>
      <c r="U212" s="120"/>
      <c r="V212" s="120"/>
      <c r="W212" s="120"/>
      <c r="X212" s="120"/>
      <c r="Y212" s="120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0"/>
    </row>
    <row r="213" spans="1:52" hidden="1" x14ac:dyDescent="0.25">
      <c r="A213" s="120"/>
      <c r="B213" s="120"/>
      <c r="C213" s="120"/>
      <c r="D213" s="120"/>
      <c r="E213" s="120"/>
      <c r="F213" s="120"/>
      <c r="G213" s="120"/>
      <c r="H213" s="120"/>
      <c r="I213" s="120"/>
      <c r="J213" s="120"/>
      <c r="K213" s="120"/>
      <c r="L213" s="120"/>
      <c r="M213" s="120"/>
      <c r="N213" s="120"/>
      <c r="O213" s="120"/>
      <c r="P213" s="120"/>
      <c r="Q213" s="120"/>
      <c r="R213" s="120"/>
      <c r="S213" s="120"/>
      <c r="T213" s="120"/>
      <c r="U213" s="120"/>
      <c r="V213" s="120"/>
      <c r="W213" s="120"/>
      <c r="X213" s="120"/>
      <c r="Y213" s="120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0"/>
    </row>
    <row r="214" spans="1:52" hidden="1" x14ac:dyDescent="0.25">
      <c r="A214" s="120"/>
      <c r="B214" s="120"/>
      <c r="C214" s="120"/>
      <c r="D214" s="120"/>
      <c r="E214" s="120"/>
      <c r="F214" s="120"/>
      <c r="G214" s="120"/>
      <c r="H214" s="120"/>
      <c r="I214" s="120"/>
      <c r="J214" s="120"/>
      <c r="K214" s="120"/>
      <c r="L214" s="120"/>
      <c r="M214" s="120"/>
      <c r="N214" s="120"/>
      <c r="O214" s="120"/>
      <c r="P214" s="120"/>
      <c r="Q214" s="120"/>
      <c r="R214" s="120"/>
      <c r="S214" s="120"/>
      <c r="T214" s="120"/>
      <c r="U214" s="120"/>
      <c r="V214" s="120"/>
      <c r="W214" s="120"/>
      <c r="X214" s="120"/>
      <c r="Y214" s="120"/>
      <c r="Z214" s="120"/>
      <c r="AA214" s="120"/>
      <c r="AB214" s="120"/>
      <c r="AC214" s="120"/>
      <c r="AD214" s="120"/>
      <c r="AE214" s="120"/>
      <c r="AF214" s="120"/>
      <c r="AG214" s="120"/>
      <c r="AH214" s="120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120"/>
      <c r="AS214" s="120"/>
      <c r="AT214" s="120"/>
      <c r="AU214" s="120"/>
      <c r="AV214" s="120"/>
      <c r="AW214" s="120"/>
      <c r="AX214" s="120"/>
      <c r="AY214" s="120"/>
      <c r="AZ214" s="120"/>
    </row>
    <row r="215" spans="1:52" hidden="1" x14ac:dyDescent="0.25">
      <c r="A215" s="120"/>
      <c r="B215" s="120"/>
      <c r="C215" s="120"/>
      <c r="D215" s="120"/>
      <c r="E215" s="120"/>
      <c r="F215" s="120"/>
      <c r="G215" s="120"/>
      <c r="H215" s="120"/>
      <c r="I215" s="120"/>
      <c r="J215" s="120"/>
      <c r="K215" s="120"/>
      <c r="L215" s="120"/>
      <c r="M215" s="120"/>
      <c r="N215" s="120"/>
      <c r="O215" s="120"/>
      <c r="P215" s="120"/>
      <c r="Q215" s="120"/>
      <c r="R215" s="120"/>
      <c r="S215" s="120"/>
      <c r="T215" s="120"/>
      <c r="U215" s="120"/>
      <c r="V215" s="120"/>
      <c r="W215" s="120"/>
      <c r="X215" s="120"/>
      <c r="Y215" s="120"/>
      <c r="Z215" s="120"/>
      <c r="AA215" s="120"/>
      <c r="AB215" s="120"/>
      <c r="AC215" s="120"/>
      <c r="AD215" s="120"/>
      <c r="AE215" s="120"/>
      <c r="AF215" s="120"/>
      <c r="AG215" s="120"/>
      <c r="AH215" s="120"/>
      <c r="AI215" s="120"/>
      <c r="AJ215" s="120"/>
      <c r="AK215" s="120"/>
      <c r="AL215" s="120"/>
      <c r="AM215" s="120"/>
      <c r="AN215" s="120"/>
      <c r="AO215" s="120"/>
      <c r="AP215" s="120"/>
      <c r="AQ215" s="120"/>
      <c r="AR215" s="120"/>
      <c r="AS215" s="120"/>
      <c r="AT215" s="120"/>
      <c r="AU215" s="120"/>
      <c r="AV215" s="120"/>
      <c r="AW215" s="120"/>
      <c r="AX215" s="120"/>
      <c r="AY215" s="120"/>
      <c r="AZ215" s="120"/>
    </row>
    <row r="216" spans="1:52" hidden="1" x14ac:dyDescent="0.25">
      <c r="A216" s="120"/>
      <c r="B216" s="120"/>
      <c r="C216" s="120"/>
      <c r="D216" s="120"/>
      <c r="E216" s="120"/>
      <c r="F216" s="120"/>
      <c r="G216" s="120"/>
      <c r="H216" s="120"/>
      <c r="I216" s="120"/>
      <c r="J216" s="120"/>
      <c r="K216" s="120"/>
      <c r="L216" s="120"/>
      <c r="M216" s="120"/>
      <c r="N216" s="120"/>
      <c r="O216" s="120"/>
      <c r="P216" s="120"/>
      <c r="Q216" s="120"/>
      <c r="R216" s="120"/>
      <c r="S216" s="120"/>
      <c r="T216" s="120"/>
      <c r="U216" s="120"/>
      <c r="V216" s="120"/>
      <c r="W216" s="120"/>
      <c r="X216" s="120"/>
      <c r="Y216" s="120"/>
      <c r="Z216" s="120"/>
      <c r="AA216" s="120"/>
      <c r="AB216" s="120"/>
      <c r="AC216" s="120"/>
      <c r="AD216" s="120"/>
      <c r="AE216" s="120"/>
      <c r="AF216" s="120"/>
      <c r="AG216" s="120"/>
      <c r="AH216" s="120"/>
      <c r="AI216" s="120"/>
      <c r="AJ216" s="120"/>
      <c r="AK216" s="120"/>
      <c r="AL216" s="120"/>
      <c r="AM216" s="120"/>
      <c r="AN216" s="120"/>
      <c r="AO216" s="120"/>
      <c r="AP216" s="120"/>
      <c r="AQ216" s="120"/>
      <c r="AR216" s="120"/>
      <c r="AS216" s="120"/>
      <c r="AT216" s="120"/>
      <c r="AU216" s="120"/>
      <c r="AV216" s="120"/>
      <c r="AW216" s="120"/>
      <c r="AX216" s="120"/>
      <c r="AY216" s="120"/>
      <c r="AZ216" s="120"/>
    </row>
    <row r="217" spans="1:52" hidden="1" x14ac:dyDescent="0.25">
      <c r="A217" s="120"/>
      <c r="B217" s="120"/>
      <c r="C217" s="120"/>
      <c r="D217" s="120"/>
      <c r="E217" s="120"/>
      <c r="F217" s="120"/>
      <c r="G217" s="120"/>
      <c r="H217" s="120"/>
      <c r="I217" s="120"/>
      <c r="J217" s="120"/>
      <c r="K217" s="120"/>
      <c r="L217" s="120"/>
      <c r="M217" s="120"/>
      <c r="N217" s="120"/>
      <c r="O217" s="120"/>
      <c r="P217" s="120"/>
      <c r="Q217" s="120"/>
      <c r="R217" s="120"/>
      <c r="S217" s="120"/>
      <c r="T217" s="120"/>
      <c r="U217" s="120"/>
      <c r="V217" s="120"/>
      <c r="W217" s="120"/>
      <c r="X217" s="120"/>
      <c r="Y217" s="120"/>
      <c r="Z217" s="120"/>
      <c r="AA217" s="120"/>
      <c r="AB217" s="120"/>
      <c r="AC217" s="120"/>
      <c r="AD217" s="120"/>
      <c r="AE217" s="120"/>
      <c r="AF217" s="120"/>
      <c r="AG217" s="120"/>
      <c r="AH217" s="120"/>
      <c r="AI217" s="120"/>
      <c r="AJ217" s="120"/>
      <c r="AK217" s="120"/>
      <c r="AL217" s="120"/>
      <c r="AM217" s="120"/>
      <c r="AN217" s="120"/>
      <c r="AO217" s="120"/>
      <c r="AP217" s="120"/>
      <c r="AQ217" s="120"/>
      <c r="AR217" s="120"/>
      <c r="AS217" s="120"/>
      <c r="AT217" s="120"/>
      <c r="AU217" s="120"/>
      <c r="AV217" s="120"/>
      <c r="AW217" s="120"/>
      <c r="AX217" s="120"/>
      <c r="AY217" s="120"/>
      <c r="AZ217" s="120"/>
    </row>
    <row r="218" spans="1:52" hidden="1" x14ac:dyDescent="0.25">
      <c r="A218" s="120"/>
      <c r="B218" s="120"/>
      <c r="C218" s="120"/>
      <c r="D218" s="120"/>
      <c r="E218" s="120"/>
      <c r="F218" s="120"/>
      <c r="G218" s="120"/>
      <c r="H218" s="120"/>
      <c r="I218" s="120"/>
      <c r="J218" s="120"/>
      <c r="K218" s="120"/>
      <c r="L218" s="120"/>
      <c r="M218" s="120"/>
      <c r="N218" s="120"/>
      <c r="O218" s="120"/>
      <c r="P218" s="120"/>
      <c r="Q218" s="120"/>
      <c r="R218" s="120"/>
      <c r="S218" s="120"/>
      <c r="T218" s="120"/>
      <c r="U218" s="120"/>
      <c r="V218" s="120"/>
      <c r="W218" s="120"/>
      <c r="X218" s="120"/>
      <c r="Y218" s="120"/>
      <c r="Z218" s="120"/>
      <c r="AA218" s="120"/>
      <c r="AB218" s="120"/>
      <c r="AC218" s="120"/>
      <c r="AD218" s="120"/>
      <c r="AE218" s="120"/>
      <c r="AF218" s="120"/>
      <c r="AG218" s="120"/>
      <c r="AH218" s="120"/>
      <c r="AI218" s="120"/>
      <c r="AJ218" s="120"/>
      <c r="AK218" s="120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  <c r="AX218" s="120"/>
      <c r="AY218" s="120"/>
      <c r="AZ218" s="120"/>
    </row>
    <row r="219" spans="1:52" hidden="1" x14ac:dyDescent="0.25">
      <c r="A219" s="120"/>
      <c r="B219" s="120"/>
      <c r="C219" s="120"/>
      <c r="D219" s="120"/>
      <c r="E219" s="120"/>
      <c r="F219" s="120"/>
      <c r="G219" s="120"/>
      <c r="H219" s="120"/>
      <c r="I219" s="120"/>
      <c r="J219" s="120"/>
      <c r="K219" s="120"/>
      <c r="L219" s="120"/>
      <c r="M219" s="120"/>
      <c r="N219" s="120"/>
      <c r="O219" s="120"/>
      <c r="P219" s="120"/>
      <c r="Q219" s="120"/>
      <c r="R219" s="120"/>
      <c r="S219" s="120"/>
      <c r="T219" s="120"/>
      <c r="U219" s="120"/>
      <c r="V219" s="120"/>
      <c r="W219" s="120"/>
      <c r="X219" s="120"/>
      <c r="Y219" s="120"/>
      <c r="Z219" s="120"/>
      <c r="AA219" s="120"/>
      <c r="AB219" s="120"/>
      <c r="AC219" s="120"/>
      <c r="AD219" s="120"/>
      <c r="AE219" s="120"/>
      <c r="AF219" s="120"/>
      <c r="AG219" s="120"/>
      <c r="AH219" s="120"/>
      <c r="AI219" s="120"/>
      <c r="AJ219" s="120"/>
      <c r="AK219" s="120"/>
      <c r="AL219" s="120"/>
      <c r="AM219" s="120"/>
      <c r="AN219" s="120"/>
      <c r="AO219" s="120"/>
      <c r="AP219" s="120"/>
      <c r="AQ219" s="120"/>
      <c r="AR219" s="120"/>
      <c r="AS219" s="120"/>
      <c r="AT219" s="120"/>
      <c r="AU219" s="120"/>
      <c r="AV219" s="120"/>
      <c r="AW219" s="120"/>
      <c r="AX219" s="120"/>
      <c r="AY219" s="120"/>
      <c r="AZ219" s="120"/>
    </row>
    <row r="220" spans="1:52" hidden="1" x14ac:dyDescent="0.25">
      <c r="A220" s="120"/>
      <c r="B220" s="120"/>
      <c r="C220" s="120"/>
      <c r="D220" s="120"/>
      <c r="E220" s="120"/>
      <c r="F220" s="120"/>
      <c r="G220" s="120"/>
      <c r="H220" s="120"/>
      <c r="I220" s="120"/>
      <c r="J220" s="120"/>
      <c r="K220" s="120"/>
      <c r="L220" s="120"/>
      <c r="M220" s="120"/>
      <c r="N220" s="120"/>
      <c r="O220" s="120"/>
      <c r="P220" s="120"/>
      <c r="Q220" s="120"/>
      <c r="R220" s="120"/>
      <c r="S220" s="120"/>
      <c r="T220" s="120"/>
      <c r="U220" s="120"/>
      <c r="V220" s="120"/>
      <c r="W220" s="120"/>
      <c r="X220" s="120"/>
      <c r="Y220" s="120"/>
      <c r="Z220" s="120"/>
      <c r="AA220" s="120"/>
      <c r="AB220" s="120"/>
      <c r="AC220" s="120"/>
      <c r="AD220" s="120"/>
      <c r="AE220" s="120"/>
      <c r="AF220" s="120"/>
      <c r="AG220" s="120"/>
      <c r="AH220" s="120"/>
      <c r="AI220" s="120"/>
      <c r="AJ220" s="120"/>
      <c r="AK220" s="120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  <c r="AX220" s="120"/>
      <c r="AY220" s="120"/>
      <c r="AZ220" s="120"/>
    </row>
  </sheetData>
  <sheetProtection sort="0" autoFilter="0" pivotTables="0"/>
  <mergeCells count="2">
    <mergeCell ref="A1:G1"/>
    <mergeCell ref="E3:G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60A5FA"/>
  </sheetPr>
  <dimension ref="A1:AZ220"/>
  <sheetViews>
    <sheetView showGridLines="0" zoomScaleNormal="100" workbookViewId="0">
      <selection activeCell="B6" sqref="B6"/>
    </sheetView>
  </sheetViews>
  <sheetFormatPr defaultColWidth="0" defaultRowHeight="15" zeroHeight="1" x14ac:dyDescent="0.25"/>
  <cols>
    <col min="1" max="1" width="34.7109375" style="1" customWidth="1"/>
    <col min="2" max="3" width="18.7109375" style="1" customWidth="1"/>
    <col min="4" max="4" width="3.7109375" style="1" customWidth="1"/>
    <col min="5" max="6" width="22.7109375" style="1" customWidth="1"/>
    <col min="7" max="52" width="0" style="1" hidden="1" customWidth="1"/>
    <col min="53" max="16384" width="9.140625" style="1" hidden="1"/>
  </cols>
  <sheetData>
    <row r="1" spans="1:6" ht="21.95" customHeight="1" x14ac:dyDescent="0.45">
      <c r="A1" s="145" t="s">
        <v>152</v>
      </c>
      <c r="B1" s="146"/>
      <c r="C1" s="146"/>
      <c r="D1" s="146"/>
      <c r="E1" s="146"/>
      <c r="F1" s="146"/>
    </row>
    <row r="2" spans="1:6" ht="21.95" customHeight="1" x14ac:dyDescent="0.25">
      <c r="A2" s="138" t="s">
        <v>83</v>
      </c>
      <c r="B2" s="138" t="s">
        <v>79</v>
      </c>
      <c r="C2" s="138" t="s">
        <v>80</v>
      </c>
      <c r="D2" s="139"/>
      <c r="E2" s="148" t="s">
        <v>153</v>
      </c>
      <c r="F2" s="148"/>
    </row>
    <row r="3" spans="1:6" ht="21.95" customHeight="1" x14ac:dyDescent="0.25">
      <c r="A3" s="18" t="s">
        <v>84</v>
      </c>
      <c r="B3" s="140">
        <v>0</v>
      </c>
      <c r="C3" s="140">
        <v>0</v>
      </c>
      <c r="D3" s="139"/>
      <c r="E3" s="18" t="s">
        <v>154</v>
      </c>
      <c r="F3" s="18" t="s">
        <v>155</v>
      </c>
    </row>
    <row r="4" spans="1:6" ht="21.95" customHeight="1" x14ac:dyDescent="0.25">
      <c r="A4" s="18" t="s">
        <v>85</v>
      </c>
      <c r="B4" s="140">
        <v>0</v>
      </c>
      <c r="C4" s="140">
        <v>0</v>
      </c>
      <c r="D4" s="139"/>
      <c r="E4" s="18" t="s">
        <v>156</v>
      </c>
      <c r="F4" s="18" t="s">
        <v>157</v>
      </c>
    </row>
    <row r="5" spans="1:6" ht="8.1" customHeight="1" x14ac:dyDescent="0.25">
      <c r="A5" s="139"/>
      <c r="B5" s="139"/>
      <c r="C5" s="139"/>
      <c r="D5" s="139"/>
      <c r="E5" s="139"/>
      <c r="F5" s="139"/>
    </row>
    <row r="6" spans="1:6" ht="21.95" customHeight="1" x14ac:dyDescent="0.25">
      <c r="A6" s="138" t="s">
        <v>86</v>
      </c>
      <c r="B6" s="141">
        <v>2</v>
      </c>
      <c r="C6" s="138"/>
      <c r="D6" s="139"/>
      <c r="E6" s="139"/>
      <c r="F6" s="139"/>
    </row>
    <row r="7" spans="1:6" ht="21.95" customHeight="1" x14ac:dyDescent="0.25">
      <c r="A7" s="18" t="s">
        <v>87</v>
      </c>
      <c r="B7" s="147"/>
      <c r="C7" s="147"/>
      <c r="D7" s="139"/>
      <c r="E7" s="139"/>
      <c r="F7" s="139"/>
    </row>
    <row r="8" spans="1:6" ht="8.1" customHeight="1" x14ac:dyDescent="0.25">
      <c r="A8" s="139"/>
      <c r="B8" s="139"/>
      <c r="C8" s="139"/>
      <c r="D8" s="139"/>
      <c r="E8" s="139"/>
      <c r="F8" s="139"/>
    </row>
    <row r="9" spans="1:6" ht="21.95" customHeight="1" x14ac:dyDescent="0.25">
      <c r="A9" s="139"/>
      <c r="B9" s="139"/>
      <c r="C9" s="139"/>
      <c r="D9" s="139"/>
      <c r="E9" s="139"/>
      <c r="F9" s="139"/>
    </row>
    <row r="10" spans="1:6" ht="21.95" customHeight="1" x14ac:dyDescent="0.25">
      <c r="A10" s="139"/>
      <c r="B10" s="139"/>
      <c r="C10" s="139"/>
      <c r="D10" s="139"/>
      <c r="E10" s="139"/>
      <c r="F10" s="139"/>
    </row>
    <row r="11" spans="1:6" ht="21.95" customHeight="1" x14ac:dyDescent="0.25">
      <c r="A11" s="139"/>
      <c r="B11" s="139"/>
      <c r="C11" s="139"/>
      <c r="D11" s="139"/>
      <c r="E11" s="139"/>
      <c r="F11" s="139"/>
    </row>
    <row r="12" spans="1:6" ht="21.95" customHeight="1" x14ac:dyDescent="0.25">
      <c r="A12" s="139"/>
      <c r="B12" s="139"/>
      <c r="C12" s="139"/>
      <c r="D12" s="139"/>
      <c r="E12" s="139"/>
      <c r="F12" s="139"/>
    </row>
    <row r="13" spans="1:6" hidden="1" x14ac:dyDescent="0.25"/>
    <row r="14" spans="1:6" hidden="1" x14ac:dyDescent="0.25"/>
    <row r="15" spans="1:6" hidden="1" x14ac:dyDescent="0.25"/>
    <row r="16" spans="1:6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</sheetData>
  <sheetProtection sort="0" autoFilter="0" pivotTables="0"/>
  <mergeCells count="3">
    <mergeCell ref="A1:F1"/>
    <mergeCell ref="B7:C7"/>
    <mergeCell ref="E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475569"/>
  </sheetPr>
  <dimension ref="A1:K34"/>
  <sheetViews>
    <sheetView showGridLines="0" showRowColHeaders="0" zoomScaleNormal="100" workbookViewId="0"/>
  </sheetViews>
  <sheetFormatPr defaultColWidth="9.140625" defaultRowHeight="15" x14ac:dyDescent="0.25"/>
  <cols>
    <col min="1" max="1" width="3.7109375" style="1" customWidth="1"/>
    <col min="2" max="7" width="16.7109375" style="1" customWidth="1"/>
    <col min="8" max="10" width="3.7109375" style="1" customWidth="1"/>
    <col min="11" max="11" width="3.28515625" style="1" customWidth="1"/>
    <col min="12" max="16384" width="9.140625" style="1"/>
  </cols>
  <sheetData>
    <row r="1" spans="1:11" ht="21" customHeight="1" x14ac:dyDescent="0.25">
      <c r="A1" s="119"/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1" ht="21" customHeight="1" x14ac:dyDescent="0.25">
      <c r="A2" s="119"/>
      <c r="B2" s="149" t="s">
        <v>141</v>
      </c>
      <c r="C2" s="150"/>
      <c r="D2" s="150"/>
      <c r="E2" s="150"/>
      <c r="F2" s="150"/>
      <c r="G2" s="119"/>
      <c r="H2" s="119"/>
      <c r="I2" s="119"/>
      <c r="J2" s="119"/>
      <c r="K2" s="119"/>
    </row>
    <row r="3" spans="1:11" ht="21" customHeight="1" x14ac:dyDescent="0.25">
      <c r="A3" s="119"/>
      <c r="B3" s="119"/>
      <c r="C3" s="119"/>
      <c r="D3" s="119"/>
      <c r="E3" s="119"/>
      <c r="F3" s="119"/>
      <c r="G3" s="119"/>
      <c r="H3" s="119"/>
      <c r="I3" s="119"/>
      <c r="J3" s="119"/>
      <c r="K3" s="119"/>
    </row>
    <row r="4" spans="1:11" ht="21" customHeight="1" x14ac:dyDescent="0.25">
      <c r="A4" s="119"/>
      <c r="B4" s="115" t="s">
        <v>142</v>
      </c>
      <c r="C4" s="116"/>
      <c r="D4" s="116"/>
      <c r="E4" s="116"/>
      <c r="F4" s="116"/>
      <c r="G4" s="116"/>
      <c r="H4" s="116"/>
      <c r="I4" s="119"/>
      <c r="J4" s="119"/>
      <c r="K4" s="119"/>
    </row>
    <row r="5" spans="1:11" ht="21" customHeight="1" x14ac:dyDescent="0.25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</row>
    <row r="6" spans="1:11" ht="21" customHeight="1" x14ac:dyDescent="0.25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</row>
    <row r="7" spans="1:11" ht="21" customHeight="1" x14ac:dyDescent="0.25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</row>
    <row r="8" spans="1:11" ht="21" customHeight="1" x14ac:dyDescent="0.25">
      <c r="A8" s="119"/>
      <c r="B8" s="115" t="s">
        <v>143</v>
      </c>
      <c r="C8" s="116"/>
      <c r="D8" s="116"/>
      <c r="E8" s="116"/>
      <c r="F8" s="116"/>
      <c r="G8" s="116"/>
      <c r="H8" s="116"/>
      <c r="I8" s="119"/>
      <c r="J8" s="119"/>
      <c r="K8" s="119"/>
    </row>
    <row r="9" spans="1:11" ht="21" customHeight="1" x14ac:dyDescent="0.25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</row>
    <row r="10" spans="1:11" ht="21" customHeight="1" x14ac:dyDescent="0.25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</row>
    <row r="11" spans="1:11" ht="21" customHeight="1" x14ac:dyDescent="0.25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</row>
    <row r="12" spans="1:11" ht="21" customHeight="1" x14ac:dyDescent="0.25">
      <c r="A12" s="119"/>
      <c r="B12" s="115" t="s">
        <v>144</v>
      </c>
      <c r="C12" s="116"/>
      <c r="D12" s="116"/>
      <c r="E12" s="116"/>
      <c r="F12" s="116"/>
      <c r="G12" s="116"/>
      <c r="H12" s="116"/>
      <c r="I12" s="119"/>
      <c r="J12" s="119"/>
      <c r="K12" s="119"/>
    </row>
    <row r="13" spans="1:11" ht="21" customHeight="1" x14ac:dyDescent="0.25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</row>
    <row r="14" spans="1:11" ht="21" customHeight="1" x14ac:dyDescent="0.25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</row>
    <row r="15" spans="1:11" ht="21" customHeight="1" x14ac:dyDescent="0.25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</row>
    <row r="16" spans="1:11" ht="21" customHeight="1" x14ac:dyDescent="0.25">
      <c r="A16" s="119"/>
      <c r="B16" s="115" t="s">
        <v>145</v>
      </c>
      <c r="C16" s="116"/>
      <c r="D16" s="116"/>
      <c r="E16" s="116"/>
      <c r="F16" s="116"/>
      <c r="G16" s="116"/>
      <c r="H16" s="116"/>
      <c r="I16" s="119"/>
      <c r="J16" s="119"/>
      <c r="K16" s="119"/>
    </row>
    <row r="17" spans="1:11" ht="21" customHeight="1" x14ac:dyDescent="0.25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</row>
    <row r="18" spans="1:11" ht="21" customHeight="1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</row>
    <row r="19" spans="1:11" ht="21" customHeight="1" x14ac:dyDescent="0.25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</row>
    <row r="20" spans="1:11" ht="21" customHeight="1" x14ac:dyDescent="0.25"/>
    <row r="21" spans="1:11" ht="21" customHeight="1" x14ac:dyDescent="0.25"/>
    <row r="22" spans="1:11" ht="21" customHeight="1" x14ac:dyDescent="0.25"/>
    <row r="23" spans="1:11" ht="21" customHeight="1" x14ac:dyDescent="0.25"/>
    <row r="24" spans="1:11" ht="21" customHeight="1" x14ac:dyDescent="0.25"/>
    <row r="25" spans="1:11" ht="21" customHeight="1" x14ac:dyDescent="0.25"/>
    <row r="26" spans="1:11" ht="21" customHeight="1" x14ac:dyDescent="0.25"/>
    <row r="27" spans="1:11" ht="21" customHeight="1" x14ac:dyDescent="0.25"/>
    <row r="28" spans="1:11" ht="21" customHeight="1" x14ac:dyDescent="0.25"/>
    <row r="29" spans="1:11" ht="21.95" customHeight="1" x14ac:dyDescent="0.25"/>
    <row r="30" spans="1:11" ht="21.95" customHeight="1" x14ac:dyDescent="0.25"/>
    <row r="31" spans="1:11" ht="21.95" customHeight="1" x14ac:dyDescent="0.25"/>
    <row r="32" spans="1:11" ht="21.95" customHeight="1" x14ac:dyDescent="0.25"/>
    <row r="33" ht="21.95" customHeight="1" x14ac:dyDescent="0.25"/>
    <row r="34" ht="21.95" customHeight="1" x14ac:dyDescent="0.25"/>
  </sheetData>
  <sheetProtection sort="0" autoFilter="0"/>
  <mergeCells count="1">
    <mergeCell ref="B2:F2"/>
  </mergeCells>
  <pageMargins left="0.75" right="0.75" top="1" bottom="1" header="0.5" footer="0.5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2DD4BF"/>
  </sheetPr>
  <dimension ref="A1:N1"/>
  <sheetViews>
    <sheetView showGridLines="0" zoomScaleNormal="100" workbookViewId="0">
      <selection activeCell="D14" sqref="D14"/>
    </sheetView>
  </sheetViews>
  <sheetFormatPr defaultRowHeight="15" x14ac:dyDescent="0.25"/>
  <cols>
    <col min="1" max="1" width="3" style="174" bestFit="1" customWidth="1"/>
    <col min="2" max="2" width="9.7109375" bestFit="1" customWidth="1"/>
    <col min="3" max="3" width="18.28515625" bestFit="1" customWidth="1"/>
    <col min="4" max="4" width="36.42578125" bestFit="1" customWidth="1"/>
    <col min="5" max="5" width="10.7109375" style="176" bestFit="1" customWidth="1"/>
    <col min="6" max="6" width="7.7109375" style="178" bestFit="1" customWidth="1"/>
    <col min="7" max="7" width="10.28515625" style="180" bestFit="1" customWidth="1"/>
    <col min="8" max="8" width="27.28515625" bestFit="1" customWidth="1"/>
    <col min="9" max="9" width="30.7109375" bestFit="1" customWidth="1"/>
    <col min="10" max="10" width="16.28515625" bestFit="1" customWidth="1"/>
    <col min="11" max="11" width="113.42578125" bestFit="1" customWidth="1"/>
    <col min="12" max="12" width="35.140625" bestFit="1" customWidth="1"/>
    <col min="13" max="13" width="13.42578125" bestFit="1" customWidth="1"/>
    <col min="14" max="14" width="9.42578125" bestFit="1" customWidth="1"/>
  </cols>
  <sheetData>
    <row r="1" spans="1:14" ht="24" customHeight="1" x14ac:dyDescent="0.25">
      <c r="A1" s="173" t="s">
        <v>121</v>
      </c>
      <c r="B1" s="154" t="s">
        <v>122</v>
      </c>
      <c r="C1" s="154" t="s">
        <v>123</v>
      </c>
      <c r="D1" s="154" t="s">
        <v>124</v>
      </c>
      <c r="E1" s="175" t="s">
        <v>125</v>
      </c>
      <c r="F1" s="177" t="s">
        <v>126</v>
      </c>
      <c r="G1" s="179" t="s">
        <v>127</v>
      </c>
      <c r="H1" s="154" t="s">
        <v>128</v>
      </c>
      <c r="I1" s="154" t="s">
        <v>129</v>
      </c>
      <c r="J1" s="154" t="s">
        <v>130</v>
      </c>
      <c r="K1" s="154" t="s">
        <v>131</v>
      </c>
      <c r="L1" s="154" t="s">
        <v>132</v>
      </c>
      <c r="M1" s="154" t="s">
        <v>133</v>
      </c>
      <c r="N1" s="154" t="s">
        <v>134</v>
      </c>
    </row>
  </sheetData>
  <sheetProtection sort="0" autoFilter="0" pivotTables="0"/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93C5FD"/>
  </sheetPr>
  <dimension ref="A1:AZ220"/>
  <sheetViews>
    <sheetView showGridLines="0" zoomScaleNormal="100" workbookViewId="0">
      <selection activeCell="D17" sqref="D17"/>
    </sheetView>
  </sheetViews>
  <sheetFormatPr defaultRowHeight="14.25" x14ac:dyDescent="0.25"/>
  <cols>
    <col min="1" max="1" width="4.7109375" style="5" customWidth="1"/>
    <col min="2" max="2" width="20.7109375" style="5" customWidth="1"/>
    <col min="3" max="3" width="3.7109375" style="5" customWidth="1"/>
    <col min="4" max="4" width="26.7109375" style="5" customWidth="1"/>
    <col min="5" max="5" width="2.7109375" style="5" customWidth="1"/>
    <col min="6" max="7" width="18.7109375" style="5" customWidth="1"/>
    <col min="8" max="8" width="3.7109375" style="5" customWidth="1"/>
    <col min="9" max="16384" width="9.140625" style="5"/>
  </cols>
  <sheetData>
    <row r="1" spans="1:52" ht="20.100000000000001" customHeight="1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</row>
    <row r="2" spans="1:52" ht="20.100000000000001" customHeight="1" x14ac:dyDescent="0.25">
      <c r="A2" s="120"/>
      <c r="B2" s="151" t="s">
        <v>88</v>
      </c>
      <c r="C2" s="152"/>
      <c r="D2" s="152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</row>
    <row r="3" spans="1:52" ht="20.100000000000001" customHeight="1" x14ac:dyDescent="0.25">
      <c r="A3" s="120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</row>
    <row r="4" spans="1:52" ht="20.100000000000001" customHeight="1" x14ac:dyDescent="0.25">
      <c r="A4" s="120"/>
      <c r="B4" s="118" t="s">
        <v>89</v>
      </c>
      <c r="C4" s="120"/>
      <c r="D4" s="118" t="s">
        <v>90</v>
      </c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</row>
    <row r="5" spans="1:52" ht="20.100000000000001" customHeight="1" x14ac:dyDescent="0.25">
      <c r="A5" s="120"/>
      <c r="B5" s="118" t="s">
        <v>91</v>
      </c>
      <c r="C5" s="120"/>
      <c r="D5" s="120">
        <v>2</v>
      </c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</row>
    <row r="6" spans="1:52" ht="20.100000000000001" customHeight="1" x14ac:dyDescent="0.25">
      <c r="A6" s="120"/>
      <c r="B6" s="118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</row>
    <row r="7" spans="1:52" ht="20.100000000000001" customHeight="1" x14ac:dyDescent="0.25">
      <c r="A7" s="120"/>
      <c r="B7" s="118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</row>
    <row r="8" spans="1:52" ht="20.100000000000001" customHeight="1" x14ac:dyDescent="0.25">
      <c r="A8" s="120"/>
      <c r="B8" s="118" t="s">
        <v>1</v>
      </c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</row>
    <row r="9" spans="1:52" ht="20.100000000000001" customHeight="1" x14ac:dyDescent="0.25">
      <c r="A9" s="120"/>
      <c r="B9" s="118" t="s">
        <v>92</v>
      </c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</row>
    <row r="10" spans="1:52" ht="20.100000000000001" customHeight="1" x14ac:dyDescent="0.25">
      <c r="A10" s="120"/>
      <c r="B10" s="118" t="s">
        <v>93</v>
      </c>
      <c r="C10" s="120"/>
      <c r="D10" s="181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</row>
    <row r="11" spans="1:52" ht="20.100000000000001" customHeight="1" x14ac:dyDescent="0.25">
      <c r="A11" s="120"/>
      <c r="B11" s="118" t="s">
        <v>94</v>
      </c>
      <c r="C11" s="120"/>
      <c r="D11" s="15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</row>
    <row r="12" spans="1:52" ht="20.100000000000001" customHeight="1" x14ac:dyDescent="0.25">
      <c r="A12" s="120"/>
      <c r="B12" s="118" t="s">
        <v>95</v>
      </c>
      <c r="C12" s="120"/>
      <c r="D12" s="117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</row>
    <row r="13" spans="1:52" ht="20.100000000000001" customHeight="1" x14ac:dyDescent="0.25">
      <c r="A13" s="120"/>
      <c r="B13" s="118" t="s">
        <v>96</v>
      </c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20"/>
      <c r="AL13" s="120"/>
      <c r="AM13" s="120"/>
      <c r="AN13" s="120"/>
      <c r="AO13" s="120"/>
      <c r="AP13" s="120"/>
      <c r="AQ13" s="120"/>
      <c r="AR13" s="120"/>
      <c r="AS13" s="120"/>
      <c r="AT13" s="120"/>
      <c r="AU13" s="120"/>
      <c r="AV13" s="120"/>
      <c r="AW13" s="120"/>
      <c r="AX13" s="120"/>
      <c r="AY13" s="120"/>
      <c r="AZ13" s="120"/>
    </row>
    <row r="14" spans="1:52" ht="20.100000000000001" customHeight="1" x14ac:dyDescent="0.25">
      <c r="A14" s="120"/>
      <c r="B14" s="118" t="s">
        <v>97</v>
      </c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</row>
    <row r="15" spans="1:52" ht="20.100000000000001" customHeight="1" x14ac:dyDescent="0.25">
      <c r="A15" s="120"/>
      <c r="B15" s="118" t="s">
        <v>98</v>
      </c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O15" s="120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</row>
    <row r="16" spans="1:52" ht="20.100000000000001" customHeight="1" x14ac:dyDescent="0.25">
      <c r="A16" s="120"/>
      <c r="B16" s="118" t="s">
        <v>99</v>
      </c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120"/>
      <c r="AW16" s="120"/>
      <c r="AX16" s="120"/>
      <c r="AY16" s="120"/>
      <c r="AZ16" s="120"/>
    </row>
    <row r="17" spans="1:52" ht="20.100000000000001" customHeight="1" x14ac:dyDescent="0.25">
      <c r="A17" s="120"/>
      <c r="B17" s="118" t="s">
        <v>100</v>
      </c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</row>
    <row r="18" spans="1:52" ht="20.100000000000001" customHeight="1" x14ac:dyDescent="0.25">
      <c r="A18" s="120"/>
      <c r="B18" s="118" t="s">
        <v>116</v>
      </c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</row>
    <row r="19" spans="1:52" ht="20.100000000000001" customHeight="1" x14ac:dyDescent="0.25">
      <c r="A19" s="120"/>
      <c r="B19" s="120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20"/>
      <c r="AL19" s="120"/>
      <c r="AM19" s="120"/>
      <c r="AN19" s="120"/>
      <c r="AO19" s="120"/>
      <c r="AP19" s="120"/>
      <c r="AQ19" s="120"/>
      <c r="AR19" s="120"/>
      <c r="AS19" s="120"/>
      <c r="AT19" s="120"/>
      <c r="AU19" s="120"/>
      <c r="AV19" s="120"/>
      <c r="AW19" s="120"/>
      <c r="AX19" s="120"/>
      <c r="AY19" s="120"/>
      <c r="AZ19" s="120"/>
    </row>
    <row r="20" spans="1:52" ht="20.100000000000001" customHeight="1" x14ac:dyDescent="0.25">
      <c r="A20" s="120"/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20"/>
    </row>
    <row r="21" spans="1:52" ht="20.100000000000001" customHeight="1" x14ac:dyDescent="0.25">
      <c r="A21" s="120"/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  <c r="AK21" s="120"/>
      <c r="AL21" s="120"/>
      <c r="AM21" s="120"/>
      <c r="AN21" s="120"/>
      <c r="AO21" s="120"/>
      <c r="AP21" s="120"/>
      <c r="AQ21" s="120"/>
      <c r="AR21" s="120"/>
      <c r="AS21" s="120"/>
      <c r="AT21" s="120"/>
      <c r="AU21" s="120"/>
      <c r="AV21" s="120"/>
      <c r="AW21" s="120"/>
      <c r="AX21" s="120"/>
      <c r="AY21" s="120"/>
      <c r="AZ21" s="120"/>
    </row>
    <row r="22" spans="1:52" ht="20.100000000000001" customHeight="1" x14ac:dyDescent="0.25">
      <c r="A22" s="120"/>
      <c r="B22" s="120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  <c r="AK22" s="120"/>
      <c r="AL22" s="120"/>
      <c r="AM22" s="120"/>
      <c r="AN22" s="120"/>
      <c r="AO22" s="120"/>
      <c r="AP22" s="120"/>
      <c r="AQ22" s="120"/>
      <c r="AR22" s="120"/>
      <c r="AS22" s="120"/>
      <c r="AT22" s="120"/>
      <c r="AU22" s="120"/>
      <c r="AV22" s="120"/>
      <c r="AW22" s="120"/>
      <c r="AX22" s="120"/>
      <c r="AY22" s="120"/>
      <c r="AZ22" s="120"/>
    </row>
    <row r="23" spans="1:52" ht="20.100000000000001" customHeight="1" x14ac:dyDescent="0.25">
      <c r="A23" s="120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0"/>
      <c r="AL23" s="120"/>
      <c r="AM23" s="120"/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  <c r="AZ23" s="120"/>
    </row>
    <row r="24" spans="1:52" ht="20.100000000000001" customHeight="1" x14ac:dyDescent="0.25">
      <c r="A24" s="120"/>
      <c r="B24" s="120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  <c r="AV24" s="120"/>
      <c r="AW24" s="120"/>
      <c r="AX24" s="120"/>
      <c r="AY24" s="120"/>
      <c r="AZ24" s="120"/>
    </row>
    <row r="25" spans="1:52" x14ac:dyDescent="0.25">
      <c r="A25" s="120"/>
      <c r="B25" s="120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20"/>
    </row>
    <row r="26" spans="1:52" x14ac:dyDescent="0.25">
      <c r="A26" s="120"/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</row>
    <row r="27" spans="1:52" x14ac:dyDescent="0.25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AX27" s="120"/>
      <c r="AY27" s="120"/>
      <c r="AZ27" s="120"/>
    </row>
    <row r="28" spans="1:52" x14ac:dyDescent="0.25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AX28" s="120"/>
      <c r="AY28" s="120"/>
      <c r="AZ28" s="120"/>
    </row>
    <row r="29" spans="1:52" x14ac:dyDescent="0.25">
      <c r="A29" s="120"/>
      <c r="B29" s="120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</row>
    <row r="30" spans="1:52" x14ac:dyDescent="0.25">
      <c r="A30" s="120"/>
      <c r="B30" s="120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</row>
    <row r="31" spans="1:52" x14ac:dyDescent="0.25">
      <c r="A31" s="120"/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</row>
    <row r="32" spans="1:52" x14ac:dyDescent="0.25">
      <c r="A32" s="120"/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</row>
    <row r="33" spans="1:52" x14ac:dyDescent="0.25">
      <c r="A33" s="120"/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</row>
    <row r="34" spans="1:52" x14ac:dyDescent="0.25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</row>
    <row r="35" spans="1:52" x14ac:dyDescent="0.25">
      <c r="A35" s="120"/>
      <c r="B35" s="120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</row>
    <row r="36" spans="1:52" x14ac:dyDescent="0.25">
      <c r="A36" s="120"/>
      <c r="B36" s="120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/>
      <c r="AW36" s="120"/>
      <c r="AX36" s="120"/>
      <c r="AY36" s="120"/>
      <c r="AZ36" s="120"/>
    </row>
    <row r="37" spans="1:52" x14ac:dyDescent="0.25">
      <c r="A37" s="120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</row>
    <row r="38" spans="1:52" x14ac:dyDescent="0.25">
      <c r="A38" s="120"/>
      <c r="B38" s="120"/>
      <c r="C38" s="120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</row>
    <row r="39" spans="1:52" x14ac:dyDescent="0.25">
      <c r="A39" s="120"/>
      <c r="B39" s="120"/>
      <c r="C39" s="120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  <c r="AZ39" s="120"/>
    </row>
    <row r="40" spans="1:52" x14ac:dyDescent="0.25">
      <c r="A40" s="120"/>
      <c r="B40" s="120"/>
      <c r="C40" s="120"/>
      <c r="D40" s="120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</row>
    <row r="41" spans="1:52" x14ac:dyDescent="0.25">
      <c r="A41" s="120"/>
      <c r="B41" s="120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</row>
    <row r="42" spans="1:52" x14ac:dyDescent="0.25">
      <c r="A42" s="120"/>
      <c r="B42" s="120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</row>
    <row r="43" spans="1:52" x14ac:dyDescent="0.25">
      <c r="A43" s="120"/>
      <c r="B43" s="120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</row>
    <row r="44" spans="1:52" x14ac:dyDescent="0.25">
      <c r="A44" s="120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</row>
    <row r="45" spans="1:52" x14ac:dyDescent="0.25">
      <c r="A45" s="120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</row>
    <row r="46" spans="1:52" x14ac:dyDescent="0.25">
      <c r="A46" s="120"/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</row>
    <row r="47" spans="1:52" x14ac:dyDescent="0.25">
      <c r="A47" s="120"/>
      <c r="B47" s="120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</row>
    <row r="48" spans="1:52" x14ac:dyDescent="0.25">
      <c r="A48" s="120"/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</row>
    <row r="49" spans="1:52" x14ac:dyDescent="0.25">
      <c r="A49" s="120"/>
      <c r="B49" s="120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</row>
    <row r="50" spans="1:52" x14ac:dyDescent="0.25">
      <c r="A50" s="120"/>
      <c r="B50" s="120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</row>
    <row r="51" spans="1:52" x14ac:dyDescent="0.25">
      <c r="A51" s="120"/>
      <c r="B51" s="120"/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</row>
    <row r="52" spans="1:52" x14ac:dyDescent="0.25">
      <c r="A52" s="120"/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</row>
    <row r="53" spans="1:52" x14ac:dyDescent="0.25">
      <c r="A53" s="120"/>
      <c r="B53" s="120"/>
      <c r="C53" s="120"/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</row>
    <row r="54" spans="1:52" x14ac:dyDescent="0.25">
      <c r="A54" s="120"/>
      <c r="B54" s="120"/>
      <c r="C54" s="120"/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  <c r="AZ54" s="120"/>
    </row>
    <row r="55" spans="1:52" x14ac:dyDescent="0.25">
      <c r="A55" s="120"/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  <c r="AZ55" s="120"/>
    </row>
    <row r="56" spans="1:52" x14ac:dyDescent="0.25">
      <c r="A56" s="120"/>
      <c r="B56" s="120"/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</row>
    <row r="57" spans="1:52" x14ac:dyDescent="0.25">
      <c r="A57" s="120"/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</row>
    <row r="58" spans="1:52" x14ac:dyDescent="0.25">
      <c r="A58" s="120"/>
      <c r="B58" s="120"/>
      <c r="C58" s="120"/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</row>
    <row r="59" spans="1:52" x14ac:dyDescent="0.25">
      <c r="A59" s="120"/>
      <c r="B59" s="120"/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</row>
    <row r="60" spans="1:52" x14ac:dyDescent="0.25">
      <c r="A60" s="120"/>
      <c r="B60" s="120"/>
      <c r="C60" s="120"/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</row>
    <row r="61" spans="1:52" x14ac:dyDescent="0.25">
      <c r="A61" s="120"/>
      <c r="B61" s="120"/>
      <c r="C61" s="120"/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  <c r="AZ61" s="120"/>
    </row>
    <row r="62" spans="1:52" x14ac:dyDescent="0.25">
      <c r="A62" s="120"/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</row>
    <row r="63" spans="1:52" x14ac:dyDescent="0.25">
      <c r="A63" s="120"/>
      <c r="B63" s="120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</row>
    <row r="64" spans="1:52" x14ac:dyDescent="0.25">
      <c r="A64" s="120"/>
      <c r="B64" s="120"/>
      <c r="C64" s="120"/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0"/>
    </row>
    <row r="65" spans="1:52" x14ac:dyDescent="0.25">
      <c r="A65" s="120"/>
      <c r="B65" s="120"/>
      <c r="C65" s="120"/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</row>
    <row r="66" spans="1:52" x14ac:dyDescent="0.25">
      <c r="A66" s="120"/>
      <c r="B66" s="120"/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  <c r="AZ66" s="120"/>
    </row>
    <row r="67" spans="1:52" x14ac:dyDescent="0.25">
      <c r="A67" s="120"/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</row>
    <row r="68" spans="1:52" x14ac:dyDescent="0.25">
      <c r="A68" s="120"/>
      <c r="B68" s="120"/>
      <c r="C68" s="120"/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</row>
    <row r="69" spans="1:52" x14ac:dyDescent="0.25">
      <c r="A69" s="120"/>
      <c r="B69" s="120"/>
      <c r="C69" s="120"/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  <c r="AZ69" s="120"/>
    </row>
    <row r="70" spans="1:52" x14ac:dyDescent="0.25">
      <c r="A70" s="120"/>
      <c r="B70" s="120"/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</row>
    <row r="71" spans="1:52" x14ac:dyDescent="0.25">
      <c r="A71" s="120"/>
      <c r="B71" s="120"/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</row>
    <row r="72" spans="1:52" x14ac:dyDescent="0.25">
      <c r="A72" s="120"/>
      <c r="B72" s="120"/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0"/>
    </row>
    <row r="73" spans="1:52" x14ac:dyDescent="0.25">
      <c r="A73" s="120"/>
      <c r="B73" s="120"/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0"/>
    </row>
    <row r="74" spans="1:52" x14ac:dyDescent="0.25">
      <c r="A74" s="120"/>
      <c r="B74" s="12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  <c r="AZ74" s="120"/>
    </row>
    <row r="75" spans="1:52" x14ac:dyDescent="0.25">
      <c r="A75" s="120"/>
      <c r="B75" s="120"/>
      <c r="C75" s="120"/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  <c r="AZ75" s="120"/>
    </row>
    <row r="76" spans="1:52" x14ac:dyDescent="0.25">
      <c r="A76" s="120"/>
      <c r="B76" s="120"/>
      <c r="C76" s="120"/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  <c r="AZ76" s="120"/>
    </row>
    <row r="77" spans="1:52" x14ac:dyDescent="0.25">
      <c r="A77" s="120"/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0"/>
    </row>
    <row r="78" spans="1:52" x14ac:dyDescent="0.25">
      <c r="A78" s="120"/>
      <c r="B78" s="120"/>
      <c r="C78" s="120"/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0"/>
    </row>
    <row r="79" spans="1:52" x14ac:dyDescent="0.25">
      <c r="A79" s="120"/>
      <c r="B79" s="120"/>
      <c r="C79" s="120"/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0"/>
    </row>
    <row r="80" spans="1:52" x14ac:dyDescent="0.25">
      <c r="A80" s="120"/>
      <c r="B80" s="120"/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0"/>
    </row>
    <row r="81" spans="1:52" x14ac:dyDescent="0.25">
      <c r="A81" s="120"/>
      <c r="B81" s="120"/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0"/>
    </row>
    <row r="82" spans="1:52" x14ac:dyDescent="0.25">
      <c r="A82" s="120"/>
      <c r="B82" s="120"/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  <c r="AZ82" s="120"/>
    </row>
    <row r="83" spans="1:52" x14ac:dyDescent="0.25">
      <c r="A83" s="120"/>
      <c r="B83" s="120"/>
      <c r="C83" s="120"/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</row>
    <row r="84" spans="1:52" x14ac:dyDescent="0.25">
      <c r="A84" s="120"/>
      <c r="B84" s="120"/>
      <c r="C84" s="120"/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0"/>
    </row>
    <row r="85" spans="1:52" x14ac:dyDescent="0.25">
      <c r="A85" s="120"/>
      <c r="B85" s="120"/>
      <c r="C85" s="120"/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</row>
    <row r="86" spans="1:52" x14ac:dyDescent="0.25">
      <c r="A86" s="120"/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</row>
    <row r="87" spans="1:52" x14ac:dyDescent="0.25">
      <c r="A87" s="120"/>
      <c r="B87" s="120"/>
      <c r="C87" s="120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</row>
    <row r="88" spans="1:52" x14ac:dyDescent="0.25">
      <c r="A88" s="120"/>
      <c r="B88" s="120"/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</row>
    <row r="89" spans="1:52" x14ac:dyDescent="0.25">
      <c r="A89" s="120"/>
      <c r="B89" s="120"/>
      <c r="C89" s="120"/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  <c r="AZ89" s="120"/>
    </row>
    <row r="90" spans="1:52" x14ac:dyDescent="0.25">
      <c r="A90" s="120"/>
      <c r="B90" s="120"/>
      <c r="C90" s="120"/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/>
      <c r="R90" s="120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  <c r="AZ90" s="120"/>
    </row>
    <row r="91" spans="1:52" x14ac:dyDescent="0.25">
      <c r="A91" s="120"/>
      <c r="B91" s="120"/>
      <c r="C91" s="120"/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  <c r="AZ91" s="120"/>
    </row>
    <row r="92" spans="1:52" x14ac:dyDescent="0.25">
      <c r="A92" s="120"/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0"/>
    </row>
    <row r="93" spans="1:52" x14ac:dyDescent="0.25">
      <c r="A93" s="120"/>
      <c r="B93" s="120"/>
      <c r="C93" s="120"/>
      <c r="D93" s="120"/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0"/>
    </row>
    <row r="94" spans="1:52" x14ac:dyDescent="0.25">
      <c r="A94" s="120"/>
      <c r="B94" s="120"/>
      <c r="C94" s="120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0"/>
    </row>
    <row r="95" spans="1:52" x14ac:dyDescent="0.25">
      <c r="A95" s="120"/>
      <c r="B95" s="120"/>
      <c r="C95" s="120"/>
      <c r="D95" s="120"/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0"/>
    </row>
    <row r="96" spans="1:52" x14ac:dyDescent="0.25">
      <c r="A96" s="120"/>
      <c r="B96" s="120"/>
      <c r="C96" s="120"/>
      <c r="D96" s="120"/>
      <c r="E96" s="120"/>
      <c r="F96" s="120"/>
      <c r="G96" s="120"/>
      <c r="H96" s="120"/>
      <c r="I96" s="120"/>
      <c r="J96" s="120"/>
      <c r="K96" s="120"/>
      <c r="L96" s="120"/>
      <c r="M96" s="120"/>
      <c r="N96" s="120"/>
      <c r="O96" s="120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</row>
    <row r="97" spans="1:52" x14ac:dyDescent="0.25">
      <c r="A97" s="120"/>
      <c r="B97" s="120"/>
      <c r="C97" s="120"/>
      <c r="D97" s="120"/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0"/>
    </row>
    <row r="98" spans="1:52" x14ac:dyDescent="0.25">
      <c r="A98" s="120"/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0"/>
    </row>
    <row r="99" spans="1:52" x14ac:dyDescent="0.25">
      <c r="A99" s="120"/>
      <c r="B99" s="120"/>
      <c r="C99" s="120"/>
      <c r="D99" s="120"/>
      <c r="E99" s="120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</row>
    <row r="100" spans="1:52" x14ac:dyDescent="0.25">
      <c r="A100" s="120"/>
      <c r="B100" s="120"/>
      <c r="C100" s="120"/>
      <c r="D100" s="120"/>
      <c r="E100" s="120"/>
      <c r="F100" s="120"/>
      <c r="G100" s="120"/>
      <c r="H100" s="120"/>
      <c r="I100" s="120"/>
      <c r="J100" s="120"/>
      <c r="K100" s="120"/>
      <c r="L100" s="120"/>
      <c r="M100" s="120"/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0"/>
    </row>
    <row r="101" spans="1:52" x14ac:dyDescent="0.25">
      <c r="A101" s="120"/>
      <c r="B101" s="120"/>
      <c r="C101" s="120"/>
      <c r="D101" s="120"/>
      <c r="E101" s="120"/>
      <c r="F101" s="120"/>
      <c r="G101" s="120"/>
      <c r="H101" s="120"/>
      <c r="I101" s="120"/>
      <c r="J101" s="120"/>
      <c r="K101" s="120"/>
      <c r="L101" s="120"/>
      <c r="M101" s="120"/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0"/>
    </row>
    <row r="102" spans="1:52" x14ac:dyDescent="0.25">
      <c r="A102" s="120"/>
      <c r="B102" s="120"/>
      <c r="C102" s="120"/>
      <c r="D102" s="120"/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/>
      <c r="AZ102" s="120"/>
    </row>
    <row r="103" spans="1:52" x14ac:dyDescent="0.25">
      <c r="A103" s="120"/>
      <c r="B103" s="120"/>
      <c r="C103" s="120"/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</row>
    <row r="104" spans="1:52" x14ac:dyDescent="0.25">
      <c r="A104" s="120"/>
      <c r="B104" s="120"/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</row>
    <row r="105" spans="1:52" x14ac:dyDescent="0.25">
      <c r="A105" s="120"/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</row>
    <row r="106" spans="1:52" x14ac:dyDescent="0.25">
      <c r="A106" s="120"/>
      <c r="B106" s="120"/>
      <c r="C106" s="120"/>
      <c r="D106" s="120"/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</row>
    <row r="107" spans="1:52" x14ac:dyDescent="0.25">
      <c r="A107" s="120"/>
      <c r="B107" s="120"/>
      <c r="C107" s="120"/>
      <c r="D107" s="120"/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</row>
    <row r="108" spans="1:52" x14ac:dyDescent="0.25">
      <c r="A108" s="120"/>
      <c r="B108" s="120"/>
      <c r="C108" s="120"/>
      <c r="D108" s="120"/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</row>
    <row r="109" spans="1:52" x14ac:dyDescent="0.25">
      <c r="A109" s="120"/>
      <c r="B109" s="120"/>
      <c r="C109" s="120"/>
      <c r="D109" s="120"/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</row>
    <row r="110" spans="1:52" x14ac:dyDescent="0.25">
      <c r="A110" s="120"/>
      <c r="B110" s="120"/>
      <c r="C110" s="120"/>
      <c r="D110" s="120"/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</row>
    <row r="111" spans="1:52" x14ac:dyDescent="0.25">
      <c r="A111" s="120"/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</row>
    <row r="112" spans="1:52" x14ac:dyDescent="0.25">
      <c r="A112" s="120"/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</row>
    <row r="113" spans="1:52" x14ac:dyDescent="0.25">
      <c r="A113" s="120"/>
      <c r="B113" s="120"/>
      <c r="C113" s="120"/>
      <c r="D113" s="120"/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</row>
    <row r="114" spans="1:52" x14ac:dyDescent="0.25">
      <c r="A114" s="120"/>
      <c r="B114" s="120"/>
      <c r="C114" s="120"/>
      <c r="D114" s="120"/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</row>
    <row r="115" spans="1:52" x14ac:dyDescent="0.25">
      <c r="A115" s="120"/>
      <c r="B115" s="120"/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</row>
    <row r="116" spans="1:52" x14ac:dyDescent="0.25">
      <c r="A116" s="120"/>
      <c r="B116" s="120"/>
      <c r="C116" s="120"/>
      <c r="D116" s="120"/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</row>
    <row r="117" spans="1:52" x14ac:dyDescent="0.25">
      <c r="A117" s="120"/>
      <c r="B117" s="120"/>
      <c r="C117" s="120"/>
      <c r="D117" s="120"/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</row>
    <row r="118" spans="1:52" x14ac:dyDescent="0.25">
      <c r="A118" s="120"/>
      <c r="B118" s="120"/>
      <c r="C118" s="120"/>
      <c r="D118" s="120"/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</row>
    <row r="119" spans="1:52" x14ac:dyDescent="0.25">
      <c r="A119" s="120"/>
      <c r="B119" s="120"/>
      <c r="C119" s="120"/>
      <c r="D119" s="120"/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</row>
    <row r="120" spans="1:52" x14ac:dyDescent="0.25">
      <c r="A120" s="120"/>
      <c r="B120" s="120"/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</row>
    <row r="121" spans="1:52" x14ac:dyDescent="0.25">
      <c r="A121" s="120"/>
      <c r="B121" s="120"/>
      <c r="C121" s="120"/>
      <c r="D121" s="120"/>
      <c r="E121" s="120"/>
      <c r="F121" s="120"/>
      <c r="G121" s="120"/>
      <c r="H121" s="120"/>
      <c r="I121" s="120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</row>
    <row r="122" spans="1:52" x14ac:dyDescent="0.25">
      <c r="A122" s="120"/>
      <c r="B122" s="120"/>
      <c r="C122" s="120"/>
      <c r="D122" s="120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</row>
    <row r="123" spans="1:52" x14ac:dyDescent="0.25">
      <c r="A123" s="120"/>
      <c r="B123" s="120"/>
      <c r="C123" s="120"/>
      <c r="D123" s="120"/>
      <c r="E123" s="120"/>
      <c r="F123" s="120"/>
      <c r="G123" s="120"/>
      <c r="H123" s="120"/>
      <c r="I123" s="120"/>
      <c r="J123" s="120"/>
      <c r="K123" s="120"/>
      <c r="L123" s="120"/>
      <c r="M123" s="120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</row>
    <row r="124" spans="1:52" x14ac:dyDescent="0.25">
      <c r="A124" s="120"/>
      <c r="B124" s="120"/>
      <c r="C124" s="120"/>
      <c r="D124" s="120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</row>
    <row r="125" spans="1:52" x14ac:dyDescent="0.25">
      <c r="A125" s="120"/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0"/>
      <c r="AX125" s="120"/>
      <c r="AY125" s="120"/>
      <c r="AZ125" s="120"/>
    </row>
    <row r="126" spans="1:52" x14ac:dyDescent="0.25">
      <c r="A126" s="120"/>
      <c r="B126" s="120"/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0"/>
    </row>
    <row r="127" spans="1:52" x14ac:dyDescent="0.25">
      <c r="A127" s="120"/>
      <c r="B127" s="120"/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20"/>
      <c r="AS127" s="120"/>
      <c r="AT127" s="120"/>
      <c r="AU127" s="120"/>
      <c r="AV127" s="120"/>
      <c r="AW127" s="120"/>
      <c r="AX127" s="120"/>
      <c r="AY127" s="120"/>
      <c r="AZ127" s="120"/>
    </row>
    <row r="128" spans="1:52" x14ac:dyDescent="0.25">
      <c r="A128" s="120"/>
      <c r="B128" s="120"/>
      <c r="C128" s="120"/>
      <c r="D128" s="12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20"/>
      <c r="AS128" s="120"/>
      <c r="AT128" s="120"/>
      <c r="AU128" s="120"/>
      <c r="AV128" s="120"/>
      <c r="AW128" s="120"/>
      <c r="AX128" s="120"/>
      <c r="AY128" s="120"/>
      <c r="AZ128" s="120"/>
    </row>
    <row r="129" spans="1:52" x14ac:dyDescent="0.25">
      <c r="A129" s="120"/>
      <c r="B129" s="120"/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20"/>
      <c r="AM129" s="120"/>
      <c r="AN129" s="120"/>
      <c r="AO129" s="120"/>
      <c r="AP129" s="120"/>
      <c r="AQ129" s="120"/>
      <c r="AR129" s="120"/>
      <c r="AS129" s="120"/>
      <c r="AT129" s="120"/>
      <c r="AU129" s="120"/>
      <c r="AV129" s="120"/>
      <c r="AW129" s="120"/>
      <c r="AX129" s="120"/>
      <c r="AY129" s="120"/>
      <c r="AZ129" s="120"/>
    </row>
    <row r="130" spans="1:52" x14ac:dyDescent="0.25">
      <c r="A130" s="120"/>
      <c r="B130" s="120"/>
      <c r="C130" s="120"/>
      <c r="D130" s="120"/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20"/>
      <c r="AM130" s="120"/>
      <c r="AN130" s="120"/>
      <c r="AO130" s="120"/>
      <c r="AP130" s="120"/>
      <c r="AQ130" s="120"/>
      <c r="AR130" s="120"/>
      <c r="AS130" s="120"/>
      <c r="AT130" s="120"/>
      <c r="AU130" s="120"/>
      <c r="AV130" s="120"/>
      <c r="AW130" s="120"/>
      <c r="AX130" s="120"/>
      <c r="AY130" s="120"/>
      <c r="AZ130" s="120"/>
    </row>
    <row r="131" spans="1:52" x14ac:dyDescent="0.25">
      <c r="A131" s="120"/>
      <c r="B131" s="120"/>
      <c r="C131" s="120"/>
      <c r="D131" s="120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</row>
    <row r="132" spans="1:52" x14ac:dyDescent="0.25">
      <c r="A132" s="120"/>
      <c r="B132" s="120"/>
      <c r="C132" s="120"/>
      <c r="D132" s="120"/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  <c r="AX132" s="120"/>
      <c r="AY132" s="120"/>
      <c r="AZ132" s="120"/>
    </row>
    <row r="133" spans="1:52" x14ac:dyDescent="0.25">
      <c r="A133" s="120"/>
      <c r="B133" s="120"/>
      <c r="C133" s="120"/>
      <c r="D133" s="120"/>
      <c r="E133" s="120"/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20"/>
      <c r="AM133" s="120"/>
      <c r="AN133" s="120"/>
      <c r="AO133" s="120"/>
      <c r="AP133" s="120"/>
      <c r="AQ133" s="120"/>
      <c r="AR133" s="120"/>
      <c r="AS133" s="120"/>
      <c r="AT133" s="120"/>
      <c r="AU133" s="120"/>
      <c r="AV133" s="120"/>
      <c r="AW133" s="120"/>
      <c r="AX133" s="120"/>
      <c r="AY133" s="120"/>
      <c r="AZ133" s="120"/>
    </row>
    <row r="134" spans="1:52" x14ac:dyDescent="0.25">
      <c r="A134" s="120"/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20"/>
      <c r="AM134" s="120"/>
      <c r="AN134" s="120"/>
      <c r="AO134" s="120"/>
      <c r="AP134" s="120"/>
      <c r="AQ134" s="120"/>
      <c r="AR134" s="120"/>
      <c r="AS134" s="120"/>
      <c r="AT134" s="120"/>
      <c r="AU134" s="120"/>
      <c r="AV134" s="120"/>
      <c r="AW134" s="120"/>
      <c r="AX134" s="120"/>
      <c r="AY134" s="120"/>
      <c r="AZ134" s="120"/>
    </row>
    <row r="135" spans="1:52" x14ac:dyDescent="0.25">
      <c r="A135" s="120"/>
      <c r="B135" s="120"/>
      <c r="C135" s="120"/>
      <c r="D135" s="120"/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20"/>
      <c r="AM135" s="120"/>
      <c r="AN135" s="120"/>
      <c r="AO135" s="120"/>
      <c r="AP135" s="120"/>
      <c r="AQ135" s="120"/>
      <c r="AR135" s="120"/>
      <c r="AS135" s="120"/>
      <c r="AT135" s="120"/>
      <c r="AU135" s="120"/>
      <c r="AV135" s="120"/>
      <c r="AW135" s="120"/>
      <c r="AX135" s="120"/>
      <c r="AY135" s="120"/>
      <c r="AZ135" s="120"/>
    </row>
    <row r="136" spans="1:52" x14ac:dyDescent="0.25">
      <c r="A136" s="120"/>
      <c r="B136" s="120"/>
      <c r="C136" s="120"/>
      <c r="D136" s="120"/>
      <c r="E136" s="120"/>
      <c r="F136" s="120"/>
      <c r="G136" s="120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20"/>
      <c r="AM136" s="120"/>
      <c r="AN136" s="120"/>
      <c r="AO136" s="120"/>
      <c r="AP136" s="120"/>
      <c r="AQ136" s="120"/>
      <c r="AR136" s="120"/>
      <c r="AS136" s="120"/>
      <c r="AT136" s="120"/>
      <c r="AU136" s="120"/>
      <c r="AV136" s="120"/>
      <c r="AW136" s="120"/>
      <c r="AX136" s="120"/>
      <c r="AY136" s="120"/>
      <c r="AZ136" s="120"/>
    </row>
    <row r="137" spans="1:52" x14ac:dyDescent="0.25">
      <c r="A137" s="120"/>
      <c r="B137" s="120"/>
      <c r="C137" s="120"/>
      <c r="D137" s="120"/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20"/>
      <c r="AM137" s="120"/>
      <c r="AN137" s="120"/>
      <c r="AO137" s="120"/>
      <c r="AP137" s="120"/>
      <c r="AQ137" s="120"/>
      <c r="AR137" s="120"/>
      <c r="AS137" s="120"/>
      <c r="AT137" s="120"/>
      <c r="AU137" s="120"/>
      <c r="AV137" s="120"/>
      <c r="AW137" s="120"/>
      <c r="AX137" s="120"/>
      <c r="AY137" s="120"/>
      <c r="AZ137" s="120"/>
    </row>
    <row r="138" spans="1:52" x14ac:dyDescent="0.25">
      <c r="A138" s="120"/>
      <c r="B138" s="120"/>
      <c r="C138" s="120"/>
      <c r="D138" s="120"/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20"/>
      <c r="AM138" s="120"/>
      <c r="AN138" s="120"/>
      <c r="AO138" s="120"/>
      <c r="AP138" s="120"/>
      <c r="AQ138" s="120"/>
      <c r="AR138" s="120"/>
      <c r="AS138" s="120"/>
      <c r="AT138" s="120"/>
      <c r="AU138" s="120"/>
      <c r="AV138" s="120"/>
      <c r="AW138" s="120"/>
      <c r="AX138" s="120"/>
      <c r="AY138" s="120"/>
      <c r="AZ138" s="120"/>
    </row>
    <row r="139" spans="1:52" x14ac:dyDescent="0.25">
      <c r="A139" s="120"/>
      <c r="B139" s="120"/>
      <c r="C139" s="120"/>
      <c r="D139" s="120"/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20"/>
      <c r="AM139" s="120"/>
      <c r="AN139" s="120"/>
      <c r="AO139" s="120"/>
      <c r="AP139" s="120"/>
      <c r="AQ139" s="120"/>
      <c r="AR139" s="120"/>
      <c r="AS139" s="120"/>
      <c r="AT139" s="120"/>
      <c r="AU139" s="120"/>
      <c r="AV139" s="120"/>
      <c r="AW139" s="120"/>
      <c r="AX139" s="120"/>
      <c r="AY139" s="120"/>
      <c r="AZ139" s="120"/>
    </row>
    <row r="140" spans="1:52" x14ac:dyDescent="0.25">
      <c r="A140" s="120"/>
      <c r="B140" s="120"/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</row>
    <row r="141" spans="1:52" x14ac:dyDescent="0.25">
      <c r="A141" s="120"/>
      <c r="B141" s="120"/>
      <c r="C141" s="120"/>
      <c r="D141" s="120"/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0"/>
    </row>
    <row r="142" spans="1:52" x14ac:dyDescent="0.25">
      <c r="A142" s="120"/>
      <c r="B142" s="120"/>
      <c r="C142" s="120"/>
      <c r="D142" s="120"/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  <c r="AU142" s="120"/>
      <c r="AV142" s="120"/>
      <c r="AW142" s="120"/>
      <c r="AX142" s="120"/>
      <c r="AY142" s="120"/>
      <c r="AZ142" s="120"/>
    </row>
    <row r="143" spans="1:52" x14ac:dyDescent="0.25">
      <c r="A143" s="120"/>
      <c r="B143" s="120"/>
      <c r="C143" s="120"/>
      <c r="D143" s="120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  <c r="AU143" s="120"/>
      <c r="AV143" s="120"/>
      <c r="AW143" s="120"/>
      <c r="AX143" s="120"/>
      <c r="AY143" s="120"/>
      <c r="AZ143" s="120"/>
    </row>
    <row r="144" spans="1:52" x14ac:dyDescent="0.25">
      <c r="A144" s="120"/>
      <c r="B144" s="120"/>
      <c r="C144" s="120"/>
      <c r="D144" s="120"/>
      <c r="E144" s="120"/>
      <c r="F144" s="120"/>
      <c r="G144" s="120"/>
      <c r="H144" s="120"/>
      <c r="I144" s="120"/>
      <c r="J144" s="120"/>
      <c r="K144" s="120"/>
      <c r="L144" s="12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20"/>
      <c r="AM144" s="120"/>
      <c r="AN144" s="120"/>
      <c r="AO144" s="120"/>
      <c r="AP144" s="120"/>
      <c r="AQ144" s="120"/>
      <c r="AR144" s="120"/>
      <c r="AS144" s="120"/>
      <c r="AT144" s="120"/>
      <c r="AU144" s="120"/>
      <c r="AV144" s="120"/>
      <c r="AW144" s="120"/>
      <c r="AX144" s="120"/>
      <c r="AY144" s="120"/>
      <c r="AZ144" s="120"/>
    </row>
    <row r="145" spans="1:52" x14ac:dyDescent="0.25">
      <c r="A145" s="120"/>
      <c r="B145" s="120"/>
      <c r="C145" s="120"/>
      <c r="D145" s="120"/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20"/>
      <c r="AM145" s="120"/>
      <c r="AN145" s="120"/>
      <c r="AO145" s="120"/>
      <c r="AP145" s="120"/>
      <c r="AQ145" s="120"/>
      <c r="AR145" s="120"/>
      <c r="AS145" s="120"/>
      <c r="AT145" s="120"/>
      <c r="AU145" s="120"/>
      <c r="AV145" s="120"/>
      <c r="AW145" s="120"/>
      <c r="AX145" s="120"/>
      <c r="AY145" s="120"/>
      <c r="AZ145" s="120"/>
    </row>
    <row r="146" spans="1:52" x14ac:dyDescent="0.25">
      <c r="A146" s="120"/>
      <c r="B146" s="120"/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0"/>
      <c r="AX146" s="120"/>
      <c r="AY146" s="120"/>
      <c r="AZ146" s="120"/>
    </row>
    <row r="147" spans="1:52" x14ac:dyDescent="0.25">
      <c r="A147" s="120"/>
      <c r="B147" s="120"/>
      <c r="C147" s="120"/>
      <c r="D147" s="120"/>
      <c r="E147" s="120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</row>
    <row r="148" spans="1:52" x14ac:dyDescent="0.25">
      <c r="A148" s="120"/>
      <c r="B148" s="120"/>
      <c r="C148" s="120"/>
      <c r="D148" s="120"/>
      <c r="E148" s="120"/>
      <c r="F148" s="120"/>
      <c r="G148" s="120"/>
      <c r="H148" s="120"/>
      <c r="I148" s="120"/>
      <c r="J148" s="120"/>
      <c r="K148" s="120"/>
      <c r="L148" s="120"/>
      <c r="M148" s="120"/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0"/>
    </row>
    <row r="149" spans="1:52" x14ac:dyDescent="0.25">
      <c r="A149" s="120"/>
      <c r="B149" s="120"/>
      <c r="C149" s="120"/>
      <c r="D149" s="120"/>
      <c r="E149" s="120"/>
      <c r="F149" s="120"/>
      <c r="G149" s="120"/>
      <c r="H149" s="120"/>
      <c r="I149" s="120"/>
      <c r="J149" s="120"/>
      <c r="K149" s="120"/>
      <c r="L149" s="120"/>
      <c r="M149" s="120"/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0"/>
    </row>
    <row r="150" spans="1:52" x14ac:dyDescent="0.25">
      <c r="A150" s="120"/>
      <c r="B150" s="120"/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0"/>
    </row>
    <row r="151" spans="1:52" x14ac:dyDescent="0.25">
      <c r="A151" s="120"/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0"/>
    </row>
    <row r="152" spans="1:52" x14ac:dyDescent="0.25">
      <c r="A152" s="120"/>
      <c r="B152" s="120"/>
      <c r="C152" s="120"/>
      <c r="D152" s="120"/>
      <c r="E152" s="120"/>
      <c r="F152" s="120"/>
      <c r="G152" s="120"/>
      <c r="H152" s="120"/>
      <c r="I152" s="120"/>
      <c r="J152" s="120"/>
      <c r="K152" s="120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0"/>
      <c r="AX152" s="120"/>
      <c r="AY152" s="120"/>
      <c r="AZ152" s="120"/>
    </row>
    <row r="153" spans="1:52" x14ac:dyDescent="0.25">
      <c r="A153" s="120"/>
      <c r="B153" s="120"/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0"/>
    </row>
    <row r="154" spans="1:52" x14ac:dyDescent="0.25">
      <c r="A154" s="120"/>
      <c r="B154" s="120"/>
      <c r="C154" s="120"/>
      <c r="D154" s="120"/>
      <c r="E154" s="120"/>
      <c r="F154" s="120"/>
      <c r="G154" s="120"/>
      <c r="H154" s="120"/>
      <c r="I154" s="120"/>
      <c r="J154" s="120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0"/>
      <c r="AX154" s="120"/>
      <c r="AY154" s="120"/>
      <c r="AZ154" s="120"/>
    </row>
    <row r="155" spans="1:52" x14ac:dyDescent="0.25">
      <c r="A155" s="120"/>
      <c r="B155" s="120"/>
      <c r="C155" s="120"/>
      <c r="D155" s="120"/>
      <c r="E155" s="120"/>
      <c r="F155" s="120"/>
      <c r="G155" s="120"/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0"/>
    </row>
    <row r="156" spans="1:52" x14ac:dyDescent="0.25">
      <c r="A156" s="120"/>
      <c r="B156" s="120"/>
      <c r="C156" s="120"/>
      <c r="D156" s="120"/>
      <c r="E156" s="120"/>
      <c r="F156" s="120"/>
      <c r="G156" s="120"/>
      <c r="H156" s="120"/>
      <c r="I156" s="120"/>
      <c r="J156" s="120"/>
      <c r="K156" s="120"/>
      <c r="L156" s="120"/>
      <c r="M156" s="120"/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0"/>
    </row>
    <row r="157" spans="1:52" x14ac:dyDescent="0.25">
      <c r="A157" s="120"/>
      <c r="B157" s="120"/>
      <c r="C157" s="120"/>
      <c r="D157" s="120"/>
      <c r="E157" s="120"/>
      <c r="F157" s="120"/>
      <c r="G157" s="120"/>
      <c r="H157" s="120"/>
      <c r="I157" s="120"/>
      <c r="J157" s="120"/>
      <c r="K157" s="120"/>
      <c r="L157" s="120"/>
      <c r="M157" s="120"/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0"/>
    </row>
    <row r="158" spans="1:52" x14ac:dyDescent="0.25">
      <c r="A158" s="120"/>
      <c r="B158" s="120"/>
      <c r="C158" s="120"/>
      <c r="D158" s="120"/>
      <c r="E158" s="120"/>
      <c r="F158" s="120"/>
      <c r="G158" s="120"/>
      <c r="H158" s="120"/>
      <c r="I158" s="120"/>
      <c r="J158" s="120"/>
      <c r="K158" s="120"/>
      <c r="L158" s="120"/>
      <c r="M158" s="120"/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0"/>
    </row>
    <row r="159" spans="1:52" x14ac:dyDescent="0.25">
      <c r="A159" s="120"/>
      <c r="B159" s="120"/>
      <c r="C159" s="120"/>
      <c r="D159" s="120"/>
      <c r="E159" s="120"/>
      <c r="F159" s="120"/>
      <c r="G159" s="120"/>
      <c r="H159" s="120"/>
      <c r="I159" s="120"/>
      <c r="J159" s="120"/>
      <c r="K159" s="120"/>
      <c r="L159" s="120"/>
      <c r="M159" s="120"/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</row>
    <row r="160" spans="1:52" x14ac:dyDescent="0.25">
      <c r="A160" s="120"/>
      <c r="B160" s="120"/>
      <c r="C160" s="120"/>
      <c r="D160" s="120"/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120"/>
      <c r="Q160" s="120"/>
      <c r="R160" s="120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</row>
    <row r="161" spans="1:52" x14ac:dyDescent="0.25">
      <c r="A161" s="120"/>
      <c r="B161" s="120"/>
      <c r="C161" s="120"/>
      <c r="D161" s="120"/>
      <c r="E161" s="120"/>
      <c r="F161" s="120"/>
      <c r="G161" s="120"/>
      <c r="H161" s="120"/>
      <c r="I161" s="120"/>
      <c r="J161" s="120"/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20"/>
      <c r="AM161" s="120"/>
      <c r="AN161" s="120"/>
      <c r="AO161" s="120"/>
      <c r="AP161" s="120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0"/>
    </row>
    <row r="162" spans="1:52" x14ac:dyDescent="0.25">
      <c r="A162" s="120"/>
      <c r="B162" s="120"/>
      <c r="C162" s="120"/>
      <c r="D162" s="120"/>
      <c r="E162" s="120"/>
      <c r="F162" s="120"/>
      <c r="G162" s="120"/>
      <c r="H162" s="120"/>
      <c r="I162" s="120"/>
      <c r="J162" s="120"/>
      <c r="K162" s="120"/>
      <c r="L162" s="120"/>
      <c r="M162" s="120"/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0"/>
    </row>
    <row r="163" spans="1:52" x14ac:dyDescent="0.25">
      <c r="A163" s="120"/>
      <c r="B163" s="120"/>
      <c r="C163" s="120"/>
      <c r="D163" s="120"/>
      <c r="E163" s="120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</row>
    <row r="164" spans="1:52" x14ac:dyDescent="0.25">
      <c r="A164" s="120"/>
      <c r="B164" s="120"/>
      <c r="C164" s="120"/>
      <c r="D164" s="120"/>
      <c r="E164" s="120"/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0"/>
      <c r="AX164" s="120"/>
      <c r="AY164" s="120"/>
      <c r="AZ164" s="120"/>
    </row>
    <row r="165" spans="1:52" x14ac:dyDescent="0.25">
      <c r="A165" s="120"/>
      <c r="B165" s="120"/>
      <c r="C165" s="120"/>
      <c r="D165" s="120"/>
      <c r="E165" s="120"/>
      <c r="F165" s="120"/>
      <c r="G165" s="120"/>
      <c r="H165" s="120"/>
      <c r="I165" s="120"/>
      <c r="J165" s="120"/>
      <c r="K165" s="120"/>
      <c r="L165" s="120"/>
      <c r="M165" s="120"/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0"/>
      <c r="AX165" s="120"/>
      <c r="AY165" s="120"/>
      <c r="AZ165" s="120"/>
    </row>
    <row r="166" spans="1:52" x14ac:dyDescent="0.25">
      <c r="A166" s="120"/>
      <c r="B166" s="120"/>
      <c r="C166" s="120"/>
      <c r="D166" s="120"/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0"/>
    </row>
    <row r="167" spans="1:52" x14ac:dyDescent="0.25">
      <c r="A167" s="120"/>
      <c r="B167" s="120"/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</row>
    <row r="168" spans="1:52" x14ac:dyDescent="0.25">
      <c r="A168" s="120"/>
      <c r="B168" s="120"/>
      <c r="C168" s="120"/>
      <c r="D168" s="120"/>
      <c r="E168" s="120"/>
      <c r="F168" s="120"/>
      <c r="G168" s="120"/>
      <c r="H168" s="120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0"/>
    </row>
    <row r="169" spans="1:52" x14ac:dyDescent="0.25">
      <c r="A169" s="120"/>
      <c r="B169" s="120"/>
      <c r="C169" s="120"/>
      <c r="D169" s="120"/>
      <c r="E169" s="120"/>
      <c r="F169" s="120"/>
      <c r="G169" s="120"/>
      <c r="H169" s="120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0"/>
    </row>
    <row r="170" spans="1:52" x14ac:dyDescent="0.25">
      <c r="A170" s="120"/>
      <c r="B170" s="120"/>
      <c r="C170" s="120"/>
      <c r="D170" s="120"/>
      <c r="E170" s="120"/>
      <c r="F170" s="120"/>
      <c r="G170" s="120"/>
      <c r="H170" s="120"/>
      <c r="I170" s="120"/>
      <c r="J170" s="120"/>
      <c r="K170" s="120"/>
      <c r="L170" s="120"/>
      <c r="M170" s="120"/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/>
      <c r="AZ170" s="120"/>
    </row>
    <row r="171" spans="1:52" x14ac:dyDescent="0.25">
      <c r="A171" s="120"/>
      <c r="B171" s="120"/>
      <c r="C171" s="120"/>
      <c r="D171" s="120"/>
      <c r="E171" s="120"/>
      <c r="F171" s="120"/>
      <c r="G171" s="120"/>
      <c r="H171" s="120"/>
      <c r="I171" s="120"/>
      <c r="J171" s="120"/>
      <c r="K171" s="120"/>
      <c r="L171" s="120"/>
      <c r="M171" s="120"/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0"/>
      <c r="AX171" s="120"/>
      <c r="AY171" s="120"/>
      <c r="AZ171" s="120"/>
    </row>
    <row r="172" spans="1:52" x14ac:dyDescent="0.25">
      <c r="A172" s="120"/>
      <c r="B172" s="120"/>
      <c r="C172" s="120"/>
      <c r="D172" s="120"/>
      <c r="E172" s="120"/>
      <c r="F172" s="120"/>
      <c r="G172" s="120"/>
      <c r="H172" s="120"/>
      <c r="I172" s="120"/>
      <c r="J172" s="120"/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0"/>
      <c r="AX172" s="120"/>
      <c r="AY172" s="120"/>
      <c r="AZ172" s="120"/>
    </row>
    <row r="173" spans="1:52" x14ac:dyDescent="0.25">
      <c r="A173" s="120"/>
      <c r="B173" s="120"/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0"/>
      <c r="AX173" s="120"/>
      <c r="AY173" s="120"/>
      <c r="AZ173" s="120"/>
    </row>
    <row r="174" spans="1:52" x14ac:dyDescent="0.25">
      <c r="A174" s="120"/>
      <c r="B174" s="120"/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0"/>
      <c r="AX174" s="120"/>
      <c r="AY174" s="120"/>
      <c r="AZ174" s="120"/>
    </row>
    <row r="175" spans="1:52" x14ac:dyDescent="0.25">
      <c r="A175" s="120"/>
      <c r="B175" s="120"/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0"/>
      <c r="AX175" s="120"/>
      <c r="AY175" s="120"/>
      <c r="AZ175" s="120"/>
    </row>
    <row r="176" spans="1:52" x14ac:dyDescent="0.25">
      <c r="A176" s="120"/>
      <c r="B176" s="120"/>
      <c r="C176" s="120"/>
      <c r="D176" s="120"/>
      <c r="E176" s="120"/>
      <c r="F176" s="120"/>
      <c r="G176" s="120"/>
      <c r="H176" s="120"/>
      <c r="I176" s="120"/>
      <c r="J176" s="120"/>
      <c r="K176" s="120"/>
      <c r="L176" s="120"/>
      <c r="M176" s="120"/>
      <c r="N176" s="120"/>
      <c r="O176" s="120"/>
      <c r="P176" s="120"/>
      <c r="Q176" s="120"/>
      <c r="R176" s="120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  <c r="AU176" s="120"/>
      <c r="AV176" s="120"/>
      <c r="AW176" s="120"/>
      <c r="AX176" s="120"/>
      <c r="AY176" s="120"/>
      <c r="AZ176" s="120"/>
    </row>
    <row r="177" spans="1:52" x14ac:dyDescent="0.25">
      <c r="A177" s="120"/>
      <c r="B177" s="120"/>
      <c r="C177" s="120"/>
      <c r="D177" s="120"/>
      <c r="E177" s="120"/>
      <c r="F177" s="120"/>
      <c r="G177" s="120"/>
      <c r="H177" s="120"/>
      <c r="I177" s="120"/>
      <c r="J177" s="120"/>
      <c r="K177" s="120"/>
      <c r="L177" s="120"/>
      <c r="M177" s="120"/>
      <c r="N177" s="120"/>
      <c r="O177" s="120"/>
      <c r="P177" s="120"/>
      <c r="Q177" s="120"/>
      <c r="R177" s="120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  <c r="AU177" s="120"/>
      <c r="AV177" s="120"/>
      <c r="AW177" s="120"/>
      <c r="AX177" s="120"/>
      <c r="AY177" s="120"/>
      <c r="AZ177" s="120"/>
    </row>
    <row r="178" spans="1:52" x14ac:dyDescent="0.25">
      <c r="A178" s="120"/>
      <c r="B178" s="120"/>
      <c r="C178" s="120"/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  <c r="AU178" s="120"/>
      <c r="AV178" s="120"/>
      <c r="AW178" s="120"/>
      <c r="AX178" s="120"/>
      <c r="AY178" s="120"/>
      <c r="AZ178" s="120"/>
    </row>
    <row r="179" spans="1:52" x14ac:dyDescent="0.25">
      <c r="A179" s="120"/>
      <c r="B179" s="120"/>
      <c r="C179" s="120"/>
      <c r="D179" s="120"/>
      <c r="E179" s="120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</row>
    <row r="180" spans="1:52" x14ac:dyDescent="0.25">
      <c r="A180" s="120"/>
      <c r="B180" s="120"/>
      <c r="C180" s="120"/>
      <c r="D180" s="120"/>
      <c r="E180" s="120"/>
      <c r="F180" s="120"/>
      <c r="G180" s="120"/>
      <c r="H180" s="120"/>
      <c r="I180" s="120"/>
      <c r="J180" s="120"/>
      <c r="K180" s="120"/>
      <c r="L180" s="120"/>
      <c r="M180" s="120"/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  <c r="AU180" s="120"/>
      <c r="AV180" s="120"/>
      <c r="AW180" s="120"/>
      <c r="AX180" s="120"/>
      <c r="AY180" s="120"/>
      <c r="AZ180" s="120"/>
    </row>
    <row r="181" spans="1:52" x14ac:dyDescent="0.25">
      <c r="A181" s="120"/>
      <c r="B181" s="120"/>
      <c r="C181" s="120"/>
      <c r="D181" s="120"/>
      <c r="E181" s="120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  <c r="AU181" s="120"/>
      <c r="AV181" s="120"/>
      <c r="AW181" s="120"/>
      <c r="AX181" s="120"/>
      <c r="AY181" s="120"/>
      <c r="AZ181" s="120"/>
    </row>
    <row r="182" spans="1:52" x14ac:dyDescent="0.25">
      <c r="A182" s="120"/>
      <c r="B182" s="120"/>
      <c r="C182" s="120"/>
      <c r="D182" s="120"/>
      <c r="E182" s="120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  <c r="AU182" s="120"/>
      <c r="AV182" s="120"/>
      <c r="AW182" s="120"/>
      <c r="AX182" s="120"/>
      <c r="AY182" s="120"/>
      <c r="AZ182" s="120"/>
    </row>
    <row r="183" spans="1:52" x14ac:dyDescent="0.25">
      <c r="A183" s="120"/>
      <c r="B183" s="120"/>
      <c r="C183" s="120"/>
      <c r="D183" s="120"/>
      <c r="E183" s="120"/>
      <c r="F183" s="120"/>
      <c r="G183" s="120"/>
      <c r="H183" s="120"/>
      <c r="I183" s="120"/>
      <c r="J183" s="120"/>
      <c r="K183" s="120"/>
      <c r="L183" s="120"/>
      <c r="M183" s="120"/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  <c r="AU183" s="120"/>
      <c r="AV183" s="120"/>
      <c r="AW183" s="120"/>
      <c r="AX183" s="120"/>
      <c r="AY183" s="120"/>
      <c r="AZ183" s="120"/>
    </row>
    <row r="184" spans="1:52" x14ac:dyDescent="0.25">
      <c r="A184" s="120"/>
      <c r="B184" s="120"/>
      <c r="C184" s="120"/>
      <c r="D184" s="120"/>
      <c r="E184" s="120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  <c r="AU184" s="120"/>
      <c r="AV184" s="120"/>
      <c r="AW184" s="120"/>
      <c r="AX184" s="120"/>
      <c r="AY184" s="120"/>
      <c r="AZ184" s="120"/>
    </row>
    <row r="185" spans="1:52" x14ac:dyDescent="0.25">
      <c r="A185" s="120"/>
      <c r="B185" s="120"/>
      <c r="C185" s="120"/>
      <c r="D185" s="120"/>
      <c r="E185" s="120"/>
      <c r="F185" s="120"/>
      <c r="G185" s="120"/>
      <c r="H185" s="120"/>
      <c r="I185" s="120"/>
      <c r="J185" s="120"/>
      <c r="K185" s="120"/>
      <c r="L185" s="120"/>
      <c r="M185" s="120"/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  <c r="AU185" s="120"/>
      <c r="AV185" s="120"/>
      <c r="AW185" s="120"/>
      <c r="AX185" s="120"/>
      <c r="AY185" s="120"/>
      <c r="AZ185" s="120"/>
    </row>
    <row r="186" spans="1:52" x14ac:dyDescent="0.25">
      <c r="A186" s="120"/>
      <c r="B186" s="120"/>
      <c r="C186" s="120"/>
      <c r="D186" s="120"/>
      <c r="E186" s="120"/>
      <c r="F186" s="120"/>
      <c r="G186" s="120"/>
      <c r="H186" s="120"/>
      <c r="I186" s="120"/>
      <c r="J186" s="120"/>
      <c r="K186" s="120"/>
      <c r="L186" s="120"/>
      <c r="M186" s="120"/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  <c r="AU186" s="120"/>
      <c r="AV186" s="120"/>
      <c r="AW186" s="120"/>
      <c r="AX186" s="120"/>
      <c r="AY186" s="120"/>
      <c r="AZ186" s="120"/>
    </row>
    <row r="187" spans="1:52" x14ac:dyDescent="0.25">
      <c r="A187" s="120"/>
      <c r="B187" s="120"/>
      <c r="C187" s="120"/>
      <c r="D187" s="120"/>
      <c r="E187" s="120"/>
      <c r="F187" s="120"/>
      <c r="G187" s="120"/>
      <c r="H187" s="120"/>
      <c r="I187" s="120"/>
      <c r="J187" s="120"/>
      <c r="K187" s="120"/>
      <c r="L187" s="120"/>
      <c r="M187" s="120"/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  <c r="AU187" s="120"/>
      <c r="AV187" s="120"/>
      <c r="AW187" s="120"/>
      <c r="AX187" s="120"/>
      <c r="AY187" s="120"/>
      <c r="AZ187" s="120"/>
    </row>
    <row r="188" spans="1:52" x14ac:dyDescent="0.25">
      <c r="A188" s="120"/>
      <c r="B188" s="120"/>
      <c r="C188" s="120"/>
      <c r="D188" s="120"/>
      <c r="E188" s="120"/>
      <c r="F188" s="120"/>
      <c r="G188" s="120"/>
      <c r="H188" s="120"/>
      <c r="I188" s="120"/>
      <c r="J188" s="120"/>
      <c r="K188" s="120"/>
      <c r="L188" s="120"/>
      <c r="M188" s="120"/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  <c r="AU188" s="120"/>
      <c r="AV188" s="120"/>
      <c r="AW188" s="120"/>
      <c r="AX188" s="120"/>
      <c r="AY188" s="120"/>
      <c r="AZ188" s="120"/>
    </row>
    <row r="189" spans="1:52" x14ac:dyDescent="0.25">
      <c r="A189" s="120"/>
      <c r="B189" s="120"/>
      <c r="C189" s="120"/>
      <c r="D189" s="120"/>
      <c r="E189" s="120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  <c r="AU189" s="120"/>
      <c r="AV189" s="120"/>
      <c r="AW189" s="120"/>
      <c r="AX189" s="120"/>
      <c r="AY189" s="120"/>
      <c r="AZ189" s="120"/>
    </row>
    <row r="190" spans="1:52" x14ac:dyDescent="0.25">
      <c r="A190" s="120"/>
      <c r="B190" s="120"/>
      <c r="C190" s="120"/>
      <c r="D190" s="120"/>
      <c r="E190" s="120"/>
      <c r="F190" s="120"/>
      <c r="G190" s="120"/>
      <c r="H190" s="120"/>
      <c r="I190" s="120"/>
      <c r="J190" s="120"/>
      <c r="K190" s="120"/>
      <c r="L190" s="120"/>
      <c r="M190" s="120"/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  <c r="AU190" s="120"/>
      <c r="AV190" s="120"/>
      <c r="AW190" s="120"/>
      <c r="AX190" s="120"/>
      <c r="AY190" s="120"/>
      <c r="AZ190" s="120"/>
    </row>
    <row r="191" spans="1:52" x14ac:dyDescent="0.25">
      <c r="A191" s="120"/>
      <c r="B191" s="120"/>
      <c r="C191" s="120"/>
      <c r="D191" s="120"/>
      <c r="E191" s="120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  <c r="AU191" s="120"/>
      <c r="AV191" s="120"/>
      <c r="AW191" s="120"/>
      <c r="AX191" s="120"/>
      <c r="AY191" s="120"/>
      <c r="AZ191" s="120"/>
    </row>
    <row r="192" spans="1:52" x14ac:dyDescent="0.25">
      <c r="A192" s="120"/>
      <c r="B192" s="120"/>
      <c r="C192" s="120"/>
      <c r="D192" s="120"/>
      <c r="E192" s="120"/>
      <c r="F192" s="120"/>
      <c r="G192" s="120"/>
      <c r="H192" s="120"/>
      <c r="I192" s="120"/>
      <c r="J192" s="120"/>
      <c r="K192" s="120"/>
      <c r="L192" s="120"/>
      <c r="M192" s="120"/>
      <c r="N192" s="120"/>
      <c r="O192" s="120"/>
      <c r="P192" s="120"/>
      <c r="Q192" s="120"/>
      <c r="R192" s="120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  <c r="AU192" s="120"/>
      <c r="AV192" s="120"/>
      <c r="AW192" s="120"/>
      <c r="AX192" s="120"/>
      <c r="AY192" s="120"/>
      <c r="AZ192" s="120"/>
    </row>
    <row r="193" spans="1:52" x14ac:dyDescent="0.25">
      <c r="A193" s="120"/>
      <c r="B193" s="120"/>
      <c r="C193" s="120"/>
      <c r="D193" s="120"/>
      <c r="E193" s="120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120"/>
      <c r="Q193" s="120"/>
      <c r="R193" s="120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  <c r="AU193" s="120"/>
      <c r="AV193" s="120"/>
      <c r="AW193" s="120"/>
      <c r="AX193" s="120"/>
      <c r="AY193" s="120"/>
      <c r="AZ193" s="120"/>
    </row>
    <row r="194" spans="1:52" x14ac:dyDescent="0.25">
      <c r="A194" s="120"/>
      <c r="B194" s="120"/>
      <c r="C194" s="120"/>
      <c r="D194" s="120"/>
      <c r="E194" s="120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120"/>
      <c r="Q194" s="120"/>
      <c r="R194" s="120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0"/>
    </row>
    <row r="195" spans="1:52" x14ac:dyDescent="0.25">
      <c r="A195" s="120"/>
      <c r="B195" s="120"/>
      <c r="C195" s="120"/>
      <c r="D195" s="120"/>
      <c r="E195" s="120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</row>
    <row r="196" spans="1:52" x14ac:dyDescent="0.25">
      <c r="A196" s="120"/>
      <c r="B196" s="120"/>
      <c r="C196" s="120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120"/>
      <c r="Q196" s="120"/>
      <c r="R196" s="120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  <c r="AU196" s="120"/>
      <c r="AV196" s="120"/>
      <c r="AW196" s="120"/>
      <c r="AX196" s="120"/>
      <c r="AY196" s="120"/>
      <c r="AZ196" s="120"/>
    </row>
    <row r="197" spans="1:52" x14ac:dyDescent="0.25">
      <c r="A197" s="120"/>
      <c r="B197" s="120"/>
      <c r="C197" s="120"/>
      <c r="D197" s="120"/>
      <c r="E197" s="120"/>
      <c r="F197" s="120"/>
      <c r="G197" s="120"/>
      <c r="H197" s="120"/>
      <c r="I197" s="120"/>
      <c r="J197" s="120"/>
      <c r="K197" s="120"/>
      <c r="L197" s="120"/>
      <c r="M197" s="120"/>
      <c r="N197" s="120"/>
      <c r="O197" s="120"/>
      <c r="P197" s="120"/>
      <c r="Q197" s="120"/>
      <c r="R197" s="120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  <c r="AU197" s="120"/>
      <c r="AV197" s="120"/>
      <c r="AW197" s="120"/>
      <c r="AX197" s="120"/>
      <c r="AY197" s="120"/>
      <c r="AZ197" s="120"/>
    </row>
    <row r="198" spans="1:52" x14ac:dyDescent="0.25">
      <c r="A198" s="120"/>
      <c r="B198" s="120"/>
      <c r="C198" s="120"/>
      <c r="D198" s="120"/>
      <c r="E198" s="120"/>
      <c r="F198" s="120"/>
      <c r="G198" s="120"/>
      <c r="H198" s="120"/>
      <c r="I198" s="120"/>
      <c r="J198" s="120"/>
      <c r="K198" s="120"/>
      <c r="L198" s="120"/>
      <c r="M198" s="120"/>
      <c r="N198" s="120"/>
      <c r="O198" s="120"/>
      <c r="P198" s="120"/>
      <c r="Q198" s="120"/>
      <c r="R198" s="120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0"/>
    </row>
    <row r="199" spans="1:52" x14ac:dyDescent="0.25">
      <c r="A199" s="120"/>
      <c r="B199" s="120"/>
      <c r="C199" s="120"/>
      <c r="D199" s="120"/>
      <c r="E199" s="120"/>
      <c r="F199" s="120"/>
      <c r="G199" s="120"/>
      <c r="H199" s="120"/>
      <c r="I199" s="120"/>
      <c r="J199" s="120"/>
      <c r="K199" s="120"/>
      <c r="L199" s="120"/>
      <c r="M199" s="120"/>
      <c r="N199" s="120"/>
      <c r="O199" s="120"/>
      <c r="P199" s="120"/>
      <c r="Q199" s="120"/>
      <c r="R199" s="120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0"/>
    </row>
    <row r="200" spans="1:52" x14ac:dyDescent="0.25">
      <c r="A200" s="120"/>
      <c r="B200" s="120"/>
      <c r="C200" s="120"/>
      <c r="D200" s="120"/>
      <c r="E200" s="120"/>
      <c r="F200" s="120"/>
      <c r="G200" s="120"/>
      <c r="H200" s="120"/>
      <c r="I200" s="120"/>
      <c r="J200" s="120"/>
      <c r="K200" s="120"/>
      <c r="L200" s="120"/>
      <c r="M200" s="120"/>
      <c r="N200" s="120"/>
      <c r="O200" s="120"/>
      <c r="P200" s="120"/>
      <c r="Q200" s="120"/>
      <c r="R200" s="120"/>
      <c r="S200" s="120"/>
      <c r="T200" s="120"/>
      <c r="U200" s="120"/>
      <c r="V200" s="120"/>
      <c r="W200" s="120"/>
      <c r="X200" s="120"/>
      <c r="Y200" s="120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0"/>
    </row>
    <row r="201" spans="1:52" x14ac:dyDescent="0.25">
      <c r="A201" s="120"/>
      <c r="B201" s="120"/>
      <c r="C201" s="120"/>
      <c r="D201" s="120"/>
      <c r="E201" s="120"/>
      <c r="F201" s="120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0"/>
    </row>
    <row r="202" spans="1:52" x14ac:dyDescent="0.25">
      <c r="A202" s="120"/>
      <c r="B202" s="120"/>
      <c r="C202" s="120"/>
      <c r="D202" s="120"/>
      <c r="E202" s="120"/>
      <c r="F202" s="120"/>
      <c r="G202" s="120"/>
      <c r="H202" s="120"/>
      <c r="I202" s="120"/>
      <c r="J202" s="120"/>
      <c r="K202" s="120"/>
      <c r="L202" s="120"/>
      <c r="M202" s="120"/>
      <c r="N202" s="120"/>
      <c r="O202" s="120"/>
      <c r="P202" s="120"/>
      <c r="Q202" s="120"/>
      <c r="R202" s="120"/>
      <c r="S202" s="120"/>
      <c r="T202" s="120"/>
      <c r="U202" s="120"/>
      <c r="V202" s="120"/>
      <c r="W202" s="120"/>
      <c r="X202" s="120"/>
      <c r="Y202" s="120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0"/>
    </row>
    <row r="203" spans="1:52" x14ac:dyDescent="0.25">
      <c r="A203" s="120"/>
      <c r="B203" s="120"/>
      <c r="C203" s="120"/>
      <c r="D203" s="120"/>
      <c r="E203" s="120"/>
      <c r="F203" s="120"/>
      <c r="G203" s="120"/>
      <c r="H203" s="120"/>
      <c r="I203" s="120"/>
      <c r="J203" s="120"/>
      <c r="K203" s="120"/>
      <c r="L203" s="120"/>
      <c r="M203" s="120"/>
      <c r="N203" s="120"/>
      <c r="O203" s="120"/>
      <c r="P203" s="120"/>
      <c r="Q203" s="120"/>
      <c r="R203" s="120"/>
      <c r="S203" s="120"/>
      <c r="T203" s="120"/>
      <c r="U203" s="120"/>
      <c r="V203" s="120"/>
      <c r="W203" s="120"/>
      <c r="X203" s="120"/>
      <c r="Y203" s="120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  <c r="AK203" s="120"/>
      <c r="AL203" s="120"/>
      <c r="AM203" s="120"/>
      <c r="AN203" s="120"/>
      <c r="AO203" s="120"/>
      <c r="AP203" s="120"/>
      <c r="AQ203" s="120"/>
      <c r="AR203" s="120"/>
      <c r="AS203" s="120"/>
      <c r="AT203" s="120"/>
      <c r="AU203" s="120"/>
      <c r="AV203" s="120"/>
      <c r="AW203" s="120"/>
      <c r="AX203" s="120"/>
      <c r="AY203" s="120"/>
      <c r="AZ203" s="120"/>
    </row>
    <row r="204" spans="1:52" x14ac:dyDescent="0.25">
      <c r="A204" s="120"/>
      <c r="B204" s="120"/>
      <c r="C204" s="120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0"/>
      <c r="R204" s="120"/>
      <c r="S204" s="120"/>
      <c r="T204" s="120"/>
      <c r="U204" s="120"/>
      <c r="V204" s="120"/>
      <c r="W204" s="120"/>
      <c r="X204" s="120"/>
      <c r="Y204" s="120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0"/>
    </row>
    <row r="205" spans="1:52" x14ac:dyDescent="0.25">
      <c r="A205" s="120"/>
      <c r="B205" s="120"/>
      <c r="C205" s="120"/>
      <c r="D205" s="120"/>
      <c r="E205" s="120"/>
      <c r="F205" s="120"/>
      <c r="G205" s="120"/>
      <c r="H205" s="120"/>
      <c r="I205" s="120"/>
      <c r="J205" s="120"/>
      <c r="K205" s="120"/>
      <c r="L205" s="120"/>
      <c r="M205" s="120"/>
      <c r="N205" s="120"/>
      <c r="O205" s="120"/>
      <c r="P205" s="120"/>
      <c r="Q205" s="120"/>
      <c r="R205" s="120"/>
      <c r="S205" s="120"/>
      <c r="T205" s="120"/>
      <c r="U205" s="120"/>
      <c r="V205" s="120"/>
      <c r="W205" s="120"/>
      <c r="X205" s="120"/>
      <c r="Y205" s="120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0"/>
    </row>
    <row r="206" spans="1:52" x14ac:dyDescent="0.25">
      <c r="A206" s="120"/>
      <c r="B206" s="120"/>
      <c r="C206" s="120"/>
      <c r="D206" s="120"/>
      <c r="E206" s="120"/>
      <c r="F206" s="120"/>
      <c r="G206" s="120"/>
      <c r="H206" s="120"/>
      <c r="I206" s="120"/>
      <c r="J206" s="120"/>
      <c r="K206" s="120"/>
      <c r="L206" s="120"/>
      <c r="M206" s="120"/>
      <c r="N206" s="120"/>
      <c r="O206" s="120"/>
      <c r="P206" s="120"/>
      <c r="Q206" s="120"/>
      <c r="R206" s="120"/>
      <c r="S206" s="120"/>
      <c r="T206" s="120"/>
      <c r="U206" s="120"/>
      <c r="V206" s="120"/>
      <c r="W206" s="120"/>
      <c r="X206" s="120"/>
      <c r="Y206" s="120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0"/>
    </row>
    <row r="207" spans="1:52" x14ac:dyDescent="0.25">
      <c r="A207" s="120"/>
      <c r="B207" s="120"/>
      <c r="C207" s="120"/>
      <c r="D207" s="120"/>
      <c r="E207" s="120"/>
      <c r="F207" s="120"/>
      <c r="G207" s="120"/>
      <c r="H207" s="120"/>
      <c r="I207" s="120"/>
      <c r="J207" s="120"/>
      <c r="K207" s="120"/>
      <c r="L207" s="120"/>
      <c r="M207" s="120"/>
      <c r="N207" s="120"/>
      <c r="O207" s="120"/>
      <c r="P207" s="120"/>
      <c r="Q207" s="120"/>
      <c r="R207" s="120"/>
      <c r="S207" s="120"/>
      <c r="T207" s="120"/>
      <c r="U207" s="120"/>
      <c r="V207" s="120"/>
      <c r="W207" s="120"/>
      <c r="X207" s="120"/>
      <c r="Y207" s="120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0"/>
    </row>
    <row r="208" spans="1:52" x14ac:dyDescent="0.25">
      <c r="A208" s="120"/>
      <c r="B208" s="120"/>
      <c r="C208" s="120"/>
      <c r="D208" s="120"/>
      <c r="E208" s="120"/>
      <c r="F208" s="120"/>
      <c r="G208" s="120"/>
      <c r="H208" s="120"/>
      <c r="I208" s="120"/>
      <c r="J208" s="120"/>
      <c r="K208" s="120"/>
      <c r="L208" s="120"/>
      <c r="M208" s="120"/>
      <c r="N208" s="120"/>
      <c r="O208" s="120"/>
      <c r="P208" s="120"/>
      <c r="Q208" s="120"/>
      <c r="R208" s="120"/>
      <c r="S208" s="120"/>
      <c r="T208" s="120"/>
      <c r="U208" s="120"/>
      <c r="V208" s="120"/>
      <c r="W208" s="120"/>
      <c r="X208" s="120"/>
      <c r="Y208" s="120"/>
      <c r="Z208" s="120"/>
      <c r="AA208" s="120"/>
      <c r="AB208" s="120"/>
      <c r="AC208" s="120"/>
      <c r="AD208" s="120"/>
      <c r="AE208" s="120"/>
      <c r="AF208" s="120"/>
      <c r="AG208" s="120"/>
      <c r="AH208" s="120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0"/>
    </row>
    <row r="209" spans="1:52" x14ac:dyDescent="0.25">
      <c r="A209" s="120"/>
      <c r="B209" s="120"/>
      <c r="C209" s="120"/>
      <c r="D209" s="120"/>
      <c r="E209" s="120"/>
      <c r="F209" s="120"/>
      <c r="G209" s="120"/>
      <c r="H209" s="120"/>
      <c r="I209" s="120"/>
      <c r="J209" s="120"/>
      <c r="K209" s="120"/>
      <c r="L209" s="120"/>
      <c r="M209" s="120"/>
      <c r="N209" s="120"/>
      <c r="O209" s="120"/>
      <c r="P209" s="120"/>
      <c r="Q209" s="120"/>
      <c r="R209" s="120"/>
      <c r="S209" s="120"/>
      <c r="T209" s="120"/>
      <c r="U209" s="120"/>
      <c r="V209" s="120"/>
      <c r="W209" s="120"/>
      <c r="X209" s="120"/>
      <c r="Y209" s="120"/>
      <c r="Z209" s="120"/>
      <c r="AA209" s="120"/>
      <c r="AB209" s="120"/>
      <c r="AC209" s="120"/>
      <c r="AD209" s="120"/>
      <c r="AE209" s="120"/>
      <c r="AF209" s="120"/>
      <c r="AG209" s="120"/>
      <c r="AH209" s="120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0"/>
    </row>
    <row r="210" spans="1:52" x14ac:dyDescent="0.25">
      <c r="A210" s="120"/>
      <c r="B210" s="120"/>
      <c r="C210" s="120"/>
      <c r="D210" s="120"/>
      <c r="E210" s="120"/>
      <c r="F210" s="120"/>
      <c r="G210" s="120"/>
      <c r="H210" s="120"/>
      <c r="I210" s="120"/>
      <c r="J210" s="120"/>
      <c r="K210" s="120"/>
      <c r="L210" s="120"/>
      <c r="M210" s="120"/>
      <c r="N210" s="120"/>
      <c r="O210" s="120"/>
      <c r="P210" s="120"/>
      <c r="Q210" s="120"/>
      <c r="R210" s="120"/>
      <c r="S210" s="120"/>
      <c r="T210" s="120"/>
      <c r="U210" s="120"/>
      <c r="V210" s="120"/>
      <c r="W210" s="120"/>
      <c r="X210" s="120"/>
      <c r="Y210" s="120"/>
      <c r="Z210" s="120"/>
      <c r="AA210" s="120"/>
      <c r="AB210" s="120"/>
      <c r="AC210" s="120"/>
      <c r="AD210" s="120"/>
      <c r="AE210" s="120"/>
      <c r="AF210" s="120"/>
      <c r="AG210" s="120"/>
      <c r="AH210" s="120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0"/>
    </row>
    <row r="211" spans="1:52" x14ac:dyDescent="0.25">
      <c r="A211" s="120"/>
      <c r="B211" s="120"/>
      <c r="C211" s="120"/>
      <c r="D211" s="120"/>
      <c r="E211" s="120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120"/>
      <c r="Q211" s="120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</row>
    <row r="212" spans="1:52" x14ac:dyDescent="0.25">
      <c r="A212" s="120"/>
      <c r="B212" s="120"/>
      <c r="C212" s="120"/>
      <c r="D212" s="120"/>
      <c r="E212" s="120"/>
      <c r="F212" s="120"/>
      <c r="G212" s="120"/>
      <c r="H212" s="120"/>
      <c r="I212" s="120"/>
      <c r="J212" s="120"/>
      <c r="K212" s="120"/>
      <c r="L212" s="120"/>
      <c r="M212" s="120"/>
      <c r="N212" s="120"/>
      <c r="O212" s="120"/>
      <c r="P212" s="120"/>
      <c r="Q212" s="120"/>
      <c r="R212" s="120"/>
      <c r="S212" s="120"/>
      <c r="T212" s="120"/>
      <c r="U212" s="120"/>
      <c r="V212" s="120"/>
      <c r="W212" s="120"/>
      <c r="X212" s="120"/>
      <c r="Y212" s="120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0"/>
    </row>
    <row r="213" spans="1:52" x14ac:dyDescent="0.25">
      <c r="A213" s="120"/>
      <c r="B213" s="120"/>
      <c r="C213" s="120"/>
      <c r="D213" s="120"/>
      <c r="E213" s="120"/>
      <c r="F213" s="120"/>
      <c r="G213" s="120"/>
      <c r="H213" s="120"/>
      <c r="I213" s="120"/>
      <c r="J213" s="120"/>
      <c r="K213" s="120"/>
      <c r="L213" s="120"/>
      <c r="M213" s="120"/>
      <c r="N213" s="120"/>
      <c r="O213" s="120"/>
      <c r="P213" s="120"/>
      <c r="Q213" s="120"/>
      <c r="R213" s="120"/>
      <c r="S213" s="120"/>
      <c r="T213" s="120"/>
      <c r="U213" s="120"/>
      <c r="V213" s="120"/>
      <c r="W213" s="120"/>
      <c r="X213" s="120"/>
      <c r="Y213" s="120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0"/>
    </row>
    <row r="214" spans="1:52" x14ac:dyDescent="0.25">
      <c r="A214" s="120"/>
      <c r="B214" s="120"/>
      <c r="C214" s="120"/>
      <c r="D214" s="120"/>
      <c r="E214" s="120"/>
      <c r="F214" s="120"/>
      <c r="G214" s="120"/>
      <c r="H214" s="120"/>
      <c r="I214" s="120"/>
      <c r="J214" s="120"/>
      <c r="K214" s="120"/>
      <c r="L214" s="120"/>
      <c r="M214" s="120"/>
      <c r="N214" s="120"/>
      <c r="O214" s="120"/>
      <c r="P214" s="120"/>
      <c r="Q214" s="120"/>
      <c r="R214" s="120"/>
      <c r="S214" s="120"/>
      <c r="T214" s="120"/>
      <c r="U214" s="120"/>
      <c r="V214" s="120"/>
      <c r="W214" s="120"/>
      <c r="X214" s="120"/>
      <c r="Y214" s="120"/>
      <c r="Z214" s="120"/>
      <c r="AA214" s="120"/>
      <c r="AB214" s="120"/>
      <c r="AC214" s="120"/>
      <c r="AD214" s="120"/>
      <c r="AE214" s="120"/>
      <c r="AF214" s="120"/>
      <c r="AG214" s="120"/>
      <c r="AH214" s="120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120"/>
      <c r="AS214" s="120"/>
      <c r="AT214" s="120"/>
      <c r="AU214" s="120"/>
      <c r="AV214" s="120"/>
      <c r="AW214" s="120"/>
      <c r="AX214" s="120"/>
      <c r="AY214" s="120"/>
      <c r="AZ214" s="120"/>
    </row>
    <row r="215" spans="1:52" x14ac:dyDescent="0.25">
      <c r="A215" s="120"/>
      <c r="B215" s="120"/>
      <c r="C215" s="120"/>
      <c r="D215" s="120"/>
      <c r="E215" s="120"/>
      <c r="F215" s="120"/>
      <c r="G215" s="120"/>
      <c r="H215" s="120"/>
      <c r="I215" s="120"/>
      <c r="J215" s="120"/>
      <c r="K215" s="120"/>
      <c r="L215" s="120"/>
      <c r="M215" s="120"/>
      <c r="N215" s="120"/>
      <c r="O215" s="120"/>
      <c r="P215" s="120"/>
      <c r="Q215" s="120"/>
      <c r="R215" s="120"/>
      <c r="S215" s="120"/>
      <c r="T215" s="120"/>
      <c r="U215" s="120"/>
      <c r="V215" s="120"/>
      <c r="W215" s="120"/>
      <c r="X215" s="120"/>
      <c r="Y215" s="120"/>
      <c r="Z215" s="120"/>
      <c r="AA215" s="120"/>
      <c r="AB215" s="120"/>
      <c r="AC215" s="120"/>
      <c r="AD215" s="120"/>
      <c r="AE215" s="120"/>
      <c r="AF215" s="120"/>
      <c r="AG215" s="120"/>
      <c r="AH215" s="120"/>
      <c r="AI215" s="120"/>
      <c r="AJ215" s="120"/>
      <c r="AK215" s="120"/>
      <c r="AL215" s="120"/>
      <c r="AM215" s="120"/>
      <c r="AN215" s="120"/>
      <c r="AO215" s="120"/>
      <c r="AP215" s="120"/>
      <c r="AQ215" s="120"/>
      <c r="AR215" s="120"/>
      <c r="AS215" s="120"/>
      <c r="AT215" s="120"/>
      <c r="AU215" s="120"/>
      <c r="AV215" s="120"/>
      <c r="AW215" s="120"/>
      <c r="AX215" s="120"/>
      <c r="AY215" s="120"/>
      <c r="AZ215" s="120"/>
    </row>
    <row r="216" spans="1:52" x14ac:dyDescent="0.25">
      <c r="A216" s="120"/>
      <c r="B216" s="120"/>
      <c r="C216" s="120"/>
      <c r="D216" s="120"/>
      <c r="E216" s="120"/>
      <c r="F216" s="120"/>
      <c r="G216" s="120"/>
      <c r="H216" s="120"/>
      <c r="I216" s="120"/>
      <c r="J216" s="120"/>
      <c r="K216" s="120"/>
      <c r="L216" s="120"/>
      <c r="M216" s="120"/>
      <c r="N216" s="120"/>
      <c r="O216" s="120"/>
      <c r="P216" s="120"/>
      <c r="Q216" s="120"/>
      <c r="R216" s="120"/>
      <c r="S216" s="120"/>
      <c r="T216" s="120"/>
      <c r="U216" s="120"/>
      <c r="V216" s="120"/>
      <c r="W216" s="120"/>
      <c r="X216" s="120"/>
      <c r="Y216" s="120"/>
      <c r="Z216" s="120"/>
      <c r="AA216" s="120"/>
      <c r="AB216" s="120"/>
      <c r="AC216" s="120"/>
      <c r="AD216" s="120"/>
      <c r="AE216" s="120"/>
      <c r="AF216" s="120"/>
      <c r="AG216" s="120"/>
      <c r="AH216" s="120"/>
      <c r="AI216" s="120"/>
      <c r="AJ216" s="120"/>
      <c r="AK216" s="120"/>
      <c r="AL216" s="120"/>
      <c r="AM216" s="120"/>
      <c r="AN216" s="120"/>
      <c r="AO216" s="120"/>
      <c r="AP216" s="120"/>
      <c r="AQ216" s="120"/>
      <c r="AR216" s="120"/>
      <c r="AS216" s="120"/>
      <c r="AT216" s="120"/>
      <c r="AU216" s="120"/>
      <c r="AV216" s="120"/>
      <c r="AW216" s="120"/>
      <c r="AX216" s="120"/>
      <c r="AY216" s="120"/>
      <c r="AZ216" s="120"/>
    </row>
    <row r="217" spans="1:52" x14ac:dyDescent="0.25">
      <c r="A217" s="120"/>
      <c r="B217" s="120"/>
      <c r="C217" s="120"/>
      <c r="D217" s="120"/>
      <c r="E217" s="120"/>
      <c r="F217" s="120"/>
      <c r="G217" s="120"/>
      <c r="H217" s="120"/>
      <c r="I217" s="120"/>
      <c r="J217" s="120"/>
      <c r="K217" s="120"/>
      <c r="L217" s="120"/>
      <c r="M217" s="120"/>
      <c r="N217" s="120"/>
      <c r="O217" s="120"/>
      <c r="P217" s="120"/>
      <c r="Q217" s="120"/>
      <c r="R217" s="120"/>
      <c r="S217" s="120"/>
      <c r="T217" s="120"/>
      <c r="U217" s="120"/>
      <c r="V217" s="120"/>
      <c r="W217" s="120"/>
      <c r="X217" s="120"/>
      <c r="Y217" s="120"/>
      <c r="Z217" s="120"/>
      <c r="AA217" s="120"/>
      <c r="AB217" s="120"/>
      <c r="AC217" s="120"/>
      <c r="AD217" s="120"/>
      <c r="AE217" s="120"/>
      <c r="AF217" s="120"/>
      <c r="AG217" s="120"/>
      <c r="AH217" s="120"/>
      <c r="AI217" s="120"/>
      <c r="AJ217" s="120"/>
      <c r="AK217" s="120"/>
      <c r="AL217" s="120"/>
      <c r="AM217" s="120"/>
      <c r="AN217" s="120"/>
      <c r="AO217" s="120"/>
      <c r="AP217" s="120"/>
      <c r="AQ217" s="120"/>
      <c r="AR217" s="120"/>
      <c r="AS217" s="120"/>
      <c r="AT217" s="120"/>
      <c r="AU217" s="120"/>
      <c r="AV217" s="120"/>
      <c r="AW217" s="120"/>
      <c r="AX217" s="120"/>
      <c r="AY217" s="120"/>
      <c r="AZ217" s="120"/>
    </row>
    <row r="218" spans="1:52" x14ac:dyDescent="0.25">
      <c r="A218" s="120"/>
      <c r="B218" s="120"/>
      <c r="C218" s="120"/>
      <c r="D218" s="120"/>
      <c r="E218" s="120"/>
      <c r="F218" s="120"/>
      <c r="G218" s="120"/>
      <c r="H218" s="120"/>
      <c r="I218" s="120"/>
      <c r="J218" s="120"/>
      <c r="K218" s="120"/>
      <c r="L218" s="120"/>
      <c r="M218" s="120"/>
      <c r="N218" s="120"/>
      <c r="O218" s="120"/>
      <c r="P218" s="120"/>
      <c r="Q218" s="120"/>
      <c r="R218" s="120"/>
      <c r="S218" s="120"/>
      <c r="T218" s="120"/>
      <c r="U218" s="120"/>
      <c r="V218" s="120"/>
      <c r="W218" s="120"/>
      <c r="X218" s="120"/>
      <c r="Y218" s="120"/>
      <c r="Z218" s="120"/>
      <c r="AA218" s="120"/>
      <c r="AB218" s="120"/>
      <c r="AC218" s="120"/>
      <c r="AD218" s="120"/>
      <c r="AE218" s="120"/>
      <c r="AF218" s="120"/>
      <c r="AG218" s="120"/>
      <c r="AH218" s="120"/>
      <c r="AI218" s="120"/>
      <c r="AJ218" s="120"/>
      <c r="AK218" s="120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  <c r="AX218" s="120"/>
      <c r="AY218" s="120"/>
      <c r="AZ218" s="120"/>
    </row>
    <row r="219" spans="1:52" x14ac:dyDescent="0.25">
      <c r="A219" s="120"/>
      <c r="B219" s="120"/>
      <c r="C219" s="120"/>
      <c r="D219" s="120"/>
      <c r="E219" s="120"/>
      <c r="F219" s="120"/>
      <c r="G219" s="120"/>
      <c r="H219" s="120"/>
      <c r="I219" s="120"/>
      <c r="J219" s="120"/>
      <c r="K219" s="120"/>
      <c r="L219" s="120"/>
      <c r="M219" s="120"/>
      <c r="N219" s="120"/>
      <c r="O219" s="120"/>
      <c r="P219" s="120"/>
      <c r="Q219" s="120"/>
      <c r="R219" s="120"/>
      <c r="S219" s="120"/>
      <c r="T219" s="120"/>
      <c r="U219" s="120"/>
      <c r="V219" s="120"/>
      <c r="W219" s="120"/>
      <c r="X219" s="120"/>
      <c r="Y219" s="120"/>
      <c r="Z219" s="120"/>
      <c r="AA219" s="120"/>
      <c r="AB219" s="120"/>
      <c r="AC219" s="120"/>
      <c r="AD219" s="120"/>
      <c r="AE219" s="120"/>
      <c r="AF219" s="120"/>
      <c r="AG219" s="120"/>
      <c r="AH219" s="120"/>
      <c r="AI219" s="120"/>
      <c r="AJ219" s="120"/>
      <c r="AK219" s="120"/>
      <c r="AL219" s="120"/>
      <c r="AM219" s="120"/>
      <c r="AN219" s="120"/>
      <c r="AO219" s="120"/>
      <c r="AP219" s="120"/>
      <c r="AQ219" s="120"/>
      <c r="AR219" s="120"/>
      <c r="AS219" s="120"/>
      <c r="AT219" s="120"/>
      <c r="AU219" s="120"/>
      <c r="AV219" s="120"/>
      <c r="AW219" s="120"/>
      <c r="AX219" s="120"/>
      <c r="AY219" s="120"/>
      <c r="AZ219" s="120"/>
    </row>
    <row r="220" spans="1:52" x14ac:dyDescent="0.25">
      <c r="A220" s="120"/>
      <c r="B220" s="120"/>
      <c r="C220" s="120"/>
      <c r="D220" s="120"/>
      <c r="E220" s="120"/>
      <c r="F220" s="120"/>
      <c r="G220" s="120"/>
      <c r="H220" s="120"/>
      <c r="I220" s="120"/>
      <c r="J220" s="120"/>
      <c r="K220" s="120"/>
      <c r="L220" s="120"/>
      <c r="M220" s="120"/>
      <c r="N220" s="120"/>
      <c r="O220" s="120"/>
      <c r="P220" s="120"/>
      <c r="Q220" s="120"/>
      <c r="R220" s="120"/>
      <c r="S220" s="120"/>
      <c r="T220" s="120"/>
      <c r="U220" s="120"/>
      <c r="V220" s="120"/>
      <c r="W220" s="120"/>
      <c r="X220" s="120"/>
      <c r="Y220" s="120"/>
      <c r="Z220" s="120"/>
      <c r="AA220" s="120"/>
      <c r="AB220" s="120"/>
      <c r="AC220" s="120"/>
      <c r="AD220" s="120"/>
      <c r="AE220" s="120"/>
      <c r="AF220" s="120"/>
      <c r="AG220" s="120"/>
      <c r="AH220" s="120"/>
      <c r="AI220" s="120"/>
      <c r="AJ220" s="120"/>
      <c r="AK220" s="120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  <c r="AX220" s="120"/>
      <c r="AY220" s="120"/>
      <c r="AZ220" s="120"/>
    </row>
  </sheetData>
  <sheetProtection sort="0" autoFilter="0" pivotTables="0"/>
  <mergeCells count="1">
    <mergeCell ref="B2:D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22C55E"/>
  </sheetPr>
  <dimension ref="A1:AZ420"/>
  <sheetViews>
    <sheetView tabSelected="1" workbookViewId="0">
      <selection activeCell="C6" sqref="C6"/>
    </sheetView>
  </sheetViews>
  <sheetFormatPr defaultColWidth="0" defaultRowHeight="14.25" zeroHeight="1" x14ac:dyDescent="0.25"/>
  <cols>
    <col min="1" max="1" width="24.7109375" style="5" customWidth="1"/>
    <col min="2" max="2" width="42.7109375" style="5" customWidth="1"/>
    <col min="3" max="3" width="14.7109375" style="5" customWidth="1"/>
    <col min="4" max="4" width="18.7109375" style="5" customWidth="1"/>
    <col min="5" max="5" width="12.7109375" style="5" customWidth="1"/>
    <col min="6" max="8" width="16.7109375" style="5" customWidth="1"/>
    <col min="9" max="16384" width="9.140625" style="5" hidden="1"/>
  </cols>
  <sheetData>
    <row r="1" spans="1:52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</row>
    <row r="2" spans="1:52" ht="26.25" x14ac:dyDescent="0.45">
      <c r="A2" s="120"/>
      <c r="B2" s="153" t="s">
        <v>138</v>
      </c>
      <c r="C2" s="151"/>
      <c r="D2" s="151"/>
      <c r="E2" s="151"/>
      <c r="F2" s="151"/>
      <c r="G2" s="151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</row>
    <row r="3" spans="1:52" x14ac:dyDescent="0.25">
      <c r="A3" s="120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</row>
    <row r="4" spans="1:52" x14ac:dyDescent="0.25">
      <c r="A4" s="120"/>
      <c r="B4" s="118" t="s">
        <v>1</v>
      </c>
      <c r="C4" s="16"/>
      <c r="D4" s="16"/>
      <c r="E4" s="16"/>
      <c r="F4" s="118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</row>
    <row r="5" spans="1:52" x14ac:dyDescent="0.25">
      <c r="A5" s="120"/>
      <c r="B5" s="118"/>
      <c r="C5" s="118"/>
      <c r="D5" s="118"/>
      <c r="E5" s="118"/>
      <c r="F5" s="118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</row>
    <row r="6" spans="1:52" x14ac:dyDescent="0.25">
      <c r="A6" s="120"/>
      <c r="B6" s="118" t="s">
        <v>2</v>
      </c>
      <c r="C6" s="16"/>
      <c r="D6" s="16"/>
      <c r="E6" s="16"/>
      <c r="F6" s="16"/>
      <c r="G6" s="17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</row>
    <row r="7" spans="1:52" x14ac:dyDescent="0.25">
      <c r="A7" s="120"/>
      <c r="B7" s="118"/>
      <c r="C7" s="118"/>
      <c r="D7" s="118"/>
      <c r="E7" s="118"/>
      <c r="F7" s="118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</row>
    <row r="8" spans="1:52" x14ac:dyDescent="0.25">
      <c r="A8" s="120"/>
      <c r="B8" s="118" t="s">
        <v>116</v>
      </c>
      <c r="C8" s="16" t="s">
        <v>140</v>
      </c>
      <c r="D8" s="118" t="s">
        <v>99</v>
      </c>
      <c r="E8" s="16" t="s">
        <v>135</v>
      </c>
      <c r="F8" s="118" t="s">
        <v>139</v>
      </c>
      <c r="G8" s="17" t="s">
        <v>6</v>
      </c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</row>
    <row r="9" spans="1:52" x14ac:dyDescent="0.25">
      <c r="A9" s="120"/>
      <c r="B9" s="120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</row>
    <row r="10" spans="1:52" x14ac:dyDescent="0.25">
      <c r="A10" s="120"/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</row>
    <row r="11" spans="1:52" x14ac:dyDescent="0.25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</row>
    <row r="12" spans="1:52" x14ac:dyDescent="0.25">
      <c r="A12" s="7" t="s">
        <v>1</v>
      </c>
      <c r="B12" s="7" t="s">
        <v>2</v>
      </c>
      <c r="C12" s="7" t="s">
        <v>116</v>
      </c>
      <c r="D12" s="7" t="s">
        <v>99</v>
      </c>
      <c r="E12" s="7" t="s">
        <v>139</v>
      </c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</row>
    <row r="13" spans="1:52" x14ac:dyDescent="0.25">
      <c r="A13" s="18" t="s">
        <v>4</v>
      </c>
      <c r="B13" s="18" t="s">
        <v>5</v>
      </c>
      <c r="C13" s="18" t="s">
        <v>6</v>
      </c>
      <c r="D13" s="18" t="s">
        <v>135</v>
      </c>
      <c r="E13" s="18" t="s">
        <v>6</v>
      </c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20"/>
      <c r="AL13" s="120"/>
      <c r="AM13" s="120"/>
      <c r="AN13" s="120"/>
      <c r="AO13" s="120"/>
      <c r="AP13" s="120"/>
      <c r="AQ13" s="120"/>
      <c r="AR13" s="120"/>
      <c r="AS13" s="120"/>
      <c r="AT13" s="120"/>
      <c r="AU13" s="120"/>
      <c r="AV13" s="120"/>
      <c r="AW13" s="120"/>
      <c r="AX13" s="120"/>
      <c r="AY13" s="120"/>
      <c r="AZ13" s="120"/>
    </row>
    <row r="14" spans="1:52" x14ac:dyDescent="0.25">
      <c r="A14" s="18" t="s">
        <v>4</v>
      </c>
      <c r="B14" s="18" t="s">
        <v>7</v>
      </c>
      <c r="C14" s="18" t="s">
        <v>6</v>
      </c>
      <c r="D14" s="18" t="s">
        <v>135</v>
      </c>
      <c r="E14" s="18" t="s">
        <v>6</v>
      </c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</row>
    <row r="15" spans="1:52" x14ac:dyDescent="0.25">
      <c r="A15" s="18" t="s">
        <v>4</v>
      </c>
      <c r="B15" s="18" t="s">
        <v>8</v>
      </c>
      <c r="C15" s="18" t="s">
        <v>6</v>
      </c>
      <c r="D15" s="18" t="s">
        <v>135</v>
      </c>
      <c r="E15" s="18" t="s">
        <v>6</v>
      </c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O15" s="120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</row>
    <row r="16" spans="1:52" x14ac:dyDescent="0.25">
      <c r="A16" s="18" t="s">
        <v>4</v>
      </c>
      <c r="B16" s="18" t="s">
        <v>9</v>
      </c>
      <c r="C16" s="18" t="s">
        <v>6</v>
      </c>
      <c r="D16" s="18" t="s">
        <v>135</v>
      </c>
      <c r="E16" s="18" t="s">
        <v>6</v>
      </c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120"/>
      <c r="AW16" s="120"/>
      <c r="AX16" s="120"/>
      <c r="AY16" s="120"/>
      <c r="AZ16" s="120"/>
    </row>
    <row r="17" spans="1:52" x14ac:dyDescent="0.25">
      <c r="A17" s="18" t="s">
        <v>4</v>
      </c>
      <c r="B17" s="18" t="s">
        <v>10</v>
      </c>
      <c r="C17" s="18" t="s">
        <v>6</v>
      </c>
      <c r="D17" s="18" t="s">
        <v>135</v>
      </c>
      <c r="E17" s="18" t="s">
        <v>6</v>
      </c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</row>
    <row r="18" spans="1:52" x14ac:dyDescent="0.25">
      <c r="A18" s="18" t="s">
        <v>4</v>
      </c>
      <c r="B18" s="18" t="s">
        <v>11</v>
      </c>
      <c r="C18" s="18" t="s">
        <v>6</v>
      </c>
      <c r="D18" s="18" t="s">
        <v>135</v>
      </c>
      <c r="E18" s="18" t="s">
        <v>6</v>
      </c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</row>
    <row r="19" spans="1:52" x14ac:dyDescent="0.25">
      <c r="A19" s="18" t="s">
        <v>4</v>
      </c>
      <c r="B19" s="18" t="s">
        <v>12</v>
      </c>
      <c r="C19" s="18" t="s">
        <v>6</v>
      </c>
      <c r="D19" s="18" t="s">
        <v>135</v>
      </c>
      <c r="E19" s="18" t="s">
        <v>6</v>
      </c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20"/>
      <c r="AL19" s="120"/>
      <c r="AM19" s="120"/>
      <c r="AN19" s="120"/>
      <c r="AO19" s="120"/>
      <c r="AP19" s="120"/>
      <c r="AQ19" s="120"/>
      <c r="AR19" s="120"/>
      <c r="AS19" s="120"/>
      <c r="AT19" s="120"/>
      <c r="AU19" s="120"/>
      <c r="AV19" s="120"/>
      <c r="AW19" s="120"/>
      <c r="AX19" s="120"/>
      <c r="AY19" s="120"/>
      <c r="AZ19" s="120"/>
    </row>
    <row r="20" spans="1:52" x14ac:dyDescent="0.25">
      <c r="A20" s="18" t="s">
        <v>13</v>
      </c>
      <c r="B20" s="18" t="s">
        <v>14</v>
      </c>
      <c r="C20" s="18" t="s">
        <v>137</v>
      </c>
      <c r="D20" s="18" t="s">
        <v>135</v>
      </c>
      <c r="E20" s="18" t="s">
        <v>6</v>
      </c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20"/>
    </row>
    <row r="21" spans="1:52" x14ac:dyDescent="0.25">
      <c r="A21" s="18" t="s">
        <v>13</v>
      </c>
      <c r="B21" s="18" t="s">
        <v>15</v>
      </c>
      <c r="C21" s="18" t="s">
        <v>137</v>
      </c>
      <c r="D21" s="18" t="s">
        <v>135</v>
      </c>
      <c r="E21" s="18" t="s">
        <v>6</v>
      </c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  <c r="AK21" s="120"/>
      <c r="AL21" s="120"/>
      <c r="AM21" s="120"/>
      <c r="AN21" s="120"/>
      <c r="AO21" s="120"/>
      <c r="AP21" s="120"/>
      <c r="AQ21" s="120"/>
      <c r="AR21" s="120"/>
      <c r="AS21" s="120"/>
      <c r="AT21" s="120"/>
      <c r="AU21" s="120"/>
      <c r="AV21" s="120"/>
      <c r="AW21" s="120"/>
      <c r="AX21" s="120"/>
      <c r="AY21" s="120"/>
      <c r="AZ21" s="120"/>
    </row>
    <row r="22" spans="1:52" x14ac:dyDescent="0.25">
      <c r="A22" s="18" t="s">
        <v>13</v>
      </c>
      <c r="B22" s="18" t="s">
        <v>16</v>
      </c>
      <c r="C22" s="18" t="s">
        <v>137</v>
      </c>
      <c r="D22" s="18" t="s">
        <v>135</v>
      </c>
      <c r="E22" s="18" t="s">
        <v>6</v>
      </c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  <c r="AK22" s="120"/>
      <c r="AL22" s="120"/>
      <c r="AM22" s="120"/>
      <c r="AN22" s="120"/>
      <c r="AO22" s="120"/>
      <c r="AP22" s="120"/>
      <c r="AQ22" s="120"/>
      <c r="AR22" s="120"/>
      <c r="AS22" s="120"/>
      <c r="AT22" s="120"/>
      <c r="AU22" s="120"/>
      <c r="AV22" s="120"/>
      <c r="AW22" s="120"/>
      <c r="AX22" s="120"/>
      <c r="AY22" s="120"/>
      <c r="AZ22" s="120"/>
    </row>
    <row r="23" spans="1:52" x14ac:dyDescent="0.25">
      <c r="A23" s="18" t="s">
        <v>17</v>
      </c>
      <c r="B23" s="18" t="s">
        <v>18</v>
      </c>
      <c r="C23" s="18"/>
      <c r="D23" s="18" t="s">
        <v>135</v>
      </c>
      <c r="E23" s="18" t="s">
        <v>6</v>
      </c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0"/>
      <c r="AL23" s="120"/>
      <c r="AM23" s="120"/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  <c r="AZ23" s="120"/>
    </row>
    <row r="24" spans="1:52" x14ac:dyDescent="0.25">
      <c r="A24" s="18" t="s">
        <v>17</v>
      </c>
      <c r="B24" s="18" t="s">
        <v>19</v>
      </c>
      <c r="C24" s="18"/>
      <c r="D24" s="18" t="s">
        <v>135</v>
      </c>
      <c r="E24" s="18" t="s">
        <v>6</v>
      </c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  <c r="AV24" s="120"/>
      <c r="AW24" s="120"/>
      <c r="AX24" s="120"/>
      <c r="AY24" s="120"/>
      <c r="AZ24" s="120"/>
    </row>
    <row r="25" spans="1:52" x14ac:dyDescent="0.25">
      <c r="A25" s="18" t="s">
        <v>17</v>
      </c>
      <c r="B25" s="18" t="s">
        <v>20</v>
      </c>
      <c r="C25" s="18"/>
      <c r="D25" s="18" t="s">
        <v>135</v>
      </c>
      <c r="E25" s="18" t="s">
        <v>6</v>
      </c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20"/>
    </row>
    <row r="26" spans="1:52" x14ac:dyDescent="0.25">
      <c r="A26" s="18" t="s">
        <v>17</v>
      </c>
      <c r="B26" s="18" t="s">
        <v>21</v>
      </c>
      <c r="C26" s="18"/>
      <c r="D26" s="18" t="s">
        <v>135</v>
      </c>
      <c r="E26" s="18" t="s">
        <v>6</v>
      </c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</row>
    <row r="27" spans="1:52" x14ac:dyDescent="0.25">
      <c r="A27" s="18" t="s">
        <v>17</v>
      </c>
      <c r="B27" s="18" t="s">
        <v>22</v>
      </c>
      <c r="C27" s="18"/>
      <c r="D27" s="18" t="s">
        <v>135</v>
      </c>
      <c r="E27" s="18" t="s">
        <v>6</v>
      </c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AX27" s="120"/>
      <c r="AY27" s="120"/>
      <c r="AZ27" s="120"/>
    </row>
    <row r="28" spans="1:52" x14ac:dyDescent="0.25">
      <c r="A28" s="18" t="s">
        <v>17</v>
      </c>
      <c r="B28" s="18" t="s">
        <v>23</v>
      </c>
      <c r="C28" s="18"/>
      <c r="D28" s="18" t="s">
        <v>135</v>
      </c>
      <c r="E28" s="18" t="s">
        <v>6</v>
      </c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AX28" s="120"/>
      <c r="AY28" s="120"/>
      <c r="AZ28" s="120"/>
    </row>
    <row r="29" spans="1:52" x14ac:dyDescent="0.25">
      <c r="A29" s="18" t="s">
        <v>17</v>
      </c>
      <c r="B29" s="18" t="s">
        <v>24</v>
      </c>
      <c r="C29" s="18"/>
      <c r="D29" s="18" t="s">
        <v>135</v>
      </c>
      <c r="E29" s="18" t="s">
        <v>6</v>
      </c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</row>
    <row r="30" spans="1:52" x14ac:dyDescent="0.25">
      <c r="A30" s="18" t="s">
        <v>17</v>
      </c>
      <c r="B30" s="18" t="s">
        <v>25</v>
      </c>
      <c r="C30" s="18"/>
      <c r="D30" s="18" t="s">
        <v>135</v>
      </c>
      <c r="E30" s="18" t="s">
        <v>6</v>
      </c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</row>
    <row r="31" spans="1:52" x14ac:dyDescent="0.25">
      <c r="A31" s="18" t="s">
        <v>17</v>
      </c>
      <c r="B31" s="18" t="s">
        <v>26</v>
      </c>
      <c r="C31" s="18"/>
      <c r="D31" s="18" t="s">
        <v>135</v>
      </c>
      <c r="E31" s="18" t="s">
        <v>6</v>
      </c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</row>
    <row r="32" spans="1:52" x14ac:dyDescent="0.25">
      <c r="A32" s="18" t="s">
        <v>27</v>
      </c>
      <c r="B32" s="18" t="s">
        <v>28</v>
      </c>
      <c r="C32" s="18"/>
      <c r="D32" s="18" t="s">
        <v>135</v>
      </c>
      <c r="E32" s="18" t="s">
        <v>6</v>
      </c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</row>
    <row r="33" spans="1:52" x14ac:dyDescent="0.25">
      <c r="A33" s="18" t="s">
        <v>27</v>
      </c>
      <c r="B33" s="18" t="s">
        <v>29</v>
      </c>
      <c r="C33" s="18"/>
      <c r="D33" s="18" t="s">
        <v>135</v>
      </c>
      <c r="E33" s="18" t="s">
        <v>6</v>
      </c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</row>
    <row r="34" spans="1:52" x14ac:dyDescent="0.25">
      <c r="A34" s="18" t="s">
        <v>27</v>
      </c>
      <c r="B34" s="18" t="s">
        <v>30</v>
      </c>
      <c r="C34" s="18"/>
      <c r="D34" s="18" t="s">
        <v>135</v>
      </c>
      <c r="E34" s="18" t="s">
        <v>6</v>
      </c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</row>
    <row r="35" spans="1:52" x14ac:dyDescent="0.25">
      <c r="A35" s="18" t="s">
        <v>27</v>
      </c>
      <c r="B35" s="18" t="s">
        <v>31</v>
      </c>
      <c r="C35" s="18"/>
      <c r="D35" s="18" t="s">
        <v>135</v>
      </c>
      <c r="E35" s="18" t="s">
        <v>6</v>
      </c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</row>
    <row r="36" spans="1:52" x14ac:dyDescent="0.25">
      <c r="A36" s="18" t="s">
        <v>27</v>
      </c>
      <c r="B36" s="18" t="s">
        <v>32</v>
      </c>
      <c r="C36" s="18"/>
      <c r="D36" s="18" t="s">
        <v>135</v>
      </c>
      <c r="E36" s="18" t="s">
        <v>6</v>
      </c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/>
      <c r="AW36" s="120"/>
      <c r="AX36" s="120"/>
      <c r="AY36" s="120"/>
      <c r="AZ36" s="120"/>
    </row>
    <row r="37" spans="1:52" x14ac:dyDescent="0.25">
      <c r="A37" s="18" t="s">
        <v>27</v>
      </c>
      <c r="B37" s="18" t="s">
        <v>33</v>
      </c>
      <c r="C37" s="18"/>
      <c r="D37" s="18" t="s">
        <v>135</v>
      </c>
      <c r="E37" s="18" t="s">
        <v>6</v>
      </c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</row>
    <row r="38" spans="1:52" x14ac:dyDescent="0.25">
      <c r="A38" s="18" t="s">
        <v>27</v>
      </c>
      <c r="B38" s="18" t="s">
        <v>34</v>
      </c>
      <c r="C38" s="18"/>
      <c r="D38" s="18" t="s">
        <v>135</v>
      </c>
      <c r="E38" s="18" t="s">
        <v>6</v>
      </c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</row>
    <row r="39" spans="1:52" x14ac:dyDescent="0.25">
      <c r="A39" s="18" t="s">
        <v>27</v>
      </c>
      <c r="B39" s="18" t="s">
        <v>35</v>
      </c>
      <c r="C39" s="18"/>
      <c r="D39" s="18" t="s">
        <v>135</v>
      </c>
      <c r="E39" s="18" t="s">
        <v>6</v>
      </c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  <c r="AZ39" s="120"/>
    </row>
    <row r="40" spans="1:52" x14ac:dyDescent="0.25">
      <c r="A40" s="18" t="s">
        <v>27</v>
      </c>
      <c r="B40" s="18" t="s">
        <v>36</v>
      </c>
      <c r="C40" s="18"/>
      <c r="D40" s="18" t="s">
        <v>135</v>
      </c>
      <c r="E40" s="18" t="s">
        <v>6</v>
      </c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</row>
    <row r="41" spans="1:52" x14ac:dyDescent="0.25">
      <c r="A41" s="18" t="s">
        <v>37</v>
      </c>
      <c r="B41" s="18" t="s">
        <v>38</v>
      </c>
      <c r="C41" s="18"/>
      <c r="D41" s="18" t="s">
        <v>135</v>
      </c>
      <c r="E41" s="18" t="s">
        <v>6</v>
      </c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</row>
    <row r="42" spans="1:52" x14ac:dyDescent="0.25">
      <c r="A42" s="18" t="s">
        <v>37</v>
      </c>
      <c r="B42" s="18" t="s">
        <v>39</v>
      </c>
      <c r="C42" s="18"/>
      <c r="D42" s="18" t="s">
        <v>135</v>
      </c>
      <c r="E42" s="18" t="s">
        <v>6</v>
      </c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</row>
    <row r="43" spans="1:52" x14ac:dyDescent="0.25">
      <c r="A43" s="18" t="s">
        <v>37</v>
      </c>
      <c r="B43" s="18" t="s">
        <v>40</v>
      </c>
      <c r="C43" s="18"/>
      <c r="D43" s="18" t="s">
        <v>135</v>
      </c>
      <c r="E43" s="18" t="s">
        <v>6</v>
      </c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</row>
    <row r="44" spans="1:52" x14ac:dyDescent="0.25">
      <c r="A44" s="18" t="s">
        <v>37</v>
      </c>
      <c r="B44" s="18" t="s">
        <v>41</v>
      </c>
      <c r="C44" s="18"/>
      <c r="D44" s="18" t="s">
        <v>135</v>
      </c>
      <c r="E44" s="18" t="s">
        <v>6</v>
      </c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</row>
    <row r="45" spans="1:52" x14ac:dyDescent="0.25">
      <c r="A45" s="18" t="s">
        <v>42</v>
      </c>
      <c r="B45" s="18" t="s">
        <v>43</v>
      </c>
      <c r="C45" s="18"/>
      <c r="D45" s="18" t="s">
        <v>135</v>
      </c>
      <c r="E45" s="18" t="s">
        <v>6</v>
      </c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</row>
    <row r="46" spans="1:52" x14ac:dyDescent="0.25">
      <c r="A46" s="18" t="s">
        <v>42</v>
      </c>
      <c r="B46" s="18" t="s">
        <v>44</v>
      </c>
      <c r="C46" s="18"/>
      <c r="D46" s="18" t="s">
        <v>135</v>
      </c>
      <c r="E46" s="18" t="s">
        <v>6</v>
      </c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</row>
    <row r="47" spans="1:52" x14ac:dyDescent="0.25">
      <c r="A47" s="18" t="s">
        <v>42</v>
      </c>
      <c r="B47" s="18" t="s">
        <v>45</v>
      </c>
      <c r="C47" s="18"/>
      <c r="D47" s="18" t="s">
        <v>135</v>
      </c>
      <c r="E47" s="18" t="s">
        <v>6</v>
      </c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</row>
    <row r="48" spans="1:52" x14ac:dyDescent="0.25">
      <c r="A48" s="18" t="s">
        <v>42</v>
      </c>
      <c r="B48" s="18" t="s">
        <v>46</v>
      </c>
      <c r="C48" s="18"/>
      <c r="D48" s="18" t="s">
        <v>135</v>
      </c>
      <c r="E48" s="18" t="s">
        <v>6</v>
      </c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</row>
    <row r="49" spans="1:52" x14ac:dyDescent="0.25">
      <c r="A49" s="18" t="s">
        <v>42</v>
      </c>
      <c r="B49" s="18" t="s">
        <v>47</v>
      </c>
      <c r="C49" s="18"/>
      <c r="D49" s="18" t="s">
        <v>135</v>
      </c>
      <c r="E49" s="18" t="s">
        <v>6</v>
      </c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</row>
    <row r="50" spans="1:52" x14ac:dyDescent="0.25">
      <c r="A50" s="18" t="s">
        <v>48</v>
      </c>
      <c r="B50" s="18" t="s">
        <v>49</v>
      </c>
      <c r="C50" s="18"/>
      <c r="D50" s="18" t="s">
        <v>135</v>
      </c>
      <c r="E50" s="18" t="s">
        <v>6</v>
      </c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</row>
    <row r="51" spans="1:52" x14ac:dyDescent="0.25">
      <c r="A51" s="18" t="s">
        <v>48</v>
      </c>
      <c r="B51" s="18" t="s">
        <v>50</v>
      </c>
      <c r="C51" s="18"/>
      <c r="D51" s="18" t="s">
        <v>135</v>
      </c>
      <c r="E51" s="18" t="s">
        <v>6</v>
      </c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</row>
    <row r="52" spans="1:52" x14ac:dyDescent="0.25">
      <c r="A52" s="18" t="s">
        <v>48</v>
      </c>
      <c r="B52" s="18" t="s">
        <v>51</v>
      </c>
      <c r="C52" s="18"/>
      <c r="D52" s="18" t="s">
        <v>135</v>
      </c>
      <c r="E52" s="18" t="s">
        <v>6</v>
      </c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</row>
    <row r="53" spans="1:52" x14ac:dyDescent="0.25">
      <c r="A53" s="18" t="s">
        <v>48</v>
      </c>
      <c r="B53" s="18" t="s">
        <v>52</v>
      </c>
      <c r="C53" s="18"/>
      <c r="D53" s="18" t="s">
        <v>135</v>
      </c>
      <c r="E53" s="18" t="s">
        <v>6</v>
      </c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</row>
    <row r="54" spans="1:52" x14ac:dyDescent="0.25">
      <c r="A54" s="18" t="s">
        <v>53</v>
      </c>
      <c r="B54" s="18" t="s">
        <v>54</v>
      </c>
      <c r="C54" s="18"/>
      <c r="D54" s="18" t="s">
        <v>135</v>
      </c>
      <c r="E54" s="18" t="s">
        <v>6</v>
      </c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  <c r="AZ54" s="120"/>
    </row>
    <row r="55" spans="1:52" x14ac:dyDescent="0.25">
      <c r="A55" s="18" t="s">
        <v>53</v>
      </c>
      <c r="B55" s="18" t="s">
        <v>55</v>
      </c>
      <c r="C55" s="18"/>
      <c r="D55" s="18" t="s">
        <v>135</v>
      </c>
      <c r="E55" s="18" t="s">
        <v>6</v>
      </c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  <c r="AZ55" s="120"/>
    </row>
    <row r="56" spans="1:52" x14ac:dyDescent="0.25">
      <c r="A56" s="18" t="s">
        <v>53</v>
      </c>
      <c r="B56" s="18" t="s">
        <v>56</v>
      </c>
      <c r="C56" s="18"/>
      <c r="D56" s="18" t="s">
        <v>135</v>
      </c>
      <c r="E56" s="18" t="s">
        <v>6</v>
      </c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</row>
    <row r="57" spans="1:52" x14ac:dyDescent="0.25">
      <c r="A57" s="18" t="s">
        <v>53</v>
      </c>
      <c r="B57" s="18" t="s">
        <v>57</v>
      </c>
      <c r="C57" s="18"/>
      <c r="D57" s="18" t="s">
        <v>135</v>
      </c>
      <c r="E57" s="18" t="s">
        <v>6</v>
      </c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</row>
    <row r="58" spans="1:52" x14ac:dyDescent="0.25">
      <c r="A58" s="18" t="s">
        <v>58</v>
      </c>
      <c r="B58" s="18" t="s">
        <v>59</v>
      </c>
      <c r="C58" s="18"/>
      <c r="D58" s="18" t="s">
        <v>135</v>
      </c>
      <c r="E58" s="18" t="s">
        <v>6</v>
      </c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</row>
    <row r="59" spans="1:52" x14ac:dyDescent="0.25">
      <c r="A59" s="18" t="s">
        <v>58</v>
      </c>
      <c r="B59" s="18" t="s">
        <v>60</v>
      </c>
      <c r="C59" s="18"/>
      <c r="D59" s="18" t="s">
        <v>135</v>
      </c>
      <c r="E59" s="18" t="s">
        <v>6</v>
      </c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</row>
    <row r="60" spans="1:52" x14ac:dyDescent="0.25">
      <c r="A60" s="18" t="s">
        <v>58</v>
      </c>
      <c r="B60" s="18" t="s">
        <v>61</v>
      </c>
      <c r="C60" s="18"/>
      <c r="D60" s="18" t="s">
        <v>135</v>
      </c>
      <c r="E60" s="18" t="s">
        <v>6</v>
      </c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</row>
    <row r="61" spans="1:52" x14ac:dyDescent="0.25">
      <c r="A61" s="18" t="s">
        <v>58</v>
      </c>
      <c r="B61" s="18" t="s">
        <v>62</v>
      </c>
      <c r="C61" s="18" t="s">
        <v>6</v>
      </c>
      <c r="D61" s="18" t="s">
        <v>135</v>
      </c>
      <c r="E61" s="18" t="s">
        <v>6</v>
      </c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  <c r="AZ61" s="120"/>
    </row>
    <row r="62" spans="1:52" x14ac:dyDescent="0.25">
      <c r="A62" s="18" t="s">
        <v>63</v>
      </c>
      <c r="B62" s="18" t="s">
        <v>64</v>
      </c>
      <c r="C62" s="18"/>
      <c r="D62" s="18" t="s">
        <v>135</v>
      </c>
      <c r="E62" s="18" t="s">
        <v>6</v>
      </c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</row>
    <row r="63" spans="1:52" x14ac:dyDescent="0.25">
      <c r="A63" s="18" t="s">
        <v>63</v>
      </c>
      <c r="B63" s="18" t="s">
        <v>65</v>
      </c>
      <c r="C63" s="18"/>
      <c r="D63" s="18" t="s">
        <v>135</v>
      </c>
      <c r="E63" s="18" t="s">
        <v>6</v>
      </c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</row>
    <row r="64" spans="1:52" x14ac:dyDescent="0.25">
      <c r="A64" s="18" t="s">
        <v>63</v>
      </c>
      <c r="B64" s="18" t="s">
        <v>66</v>
      </c>
      <c r="C64" s="18"/>
      <c r="D64" s="18" t="s">
        <v>135</v>
      </c>
      <c r="E64" s="18" t="s">
        <v>6</v>
      </c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0"/>
    </row>
    <row r="65" spans="1:52" x14ac:dyDescent="0.25">
      <c r="A65" s="18" t="s">
        <v>63</v>
      </c>
      <c r="B65" s="18" t="s">
        <v>67</v>
      </c>
      <c r="C65" s="18"/>
      <c r="D65" s="18" t="s">
        <v>135</v>
      </c>
      <c r="E65" s="18" t="s">
        <v>6</v>
      </c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</row>
    <row r="66" spans="1:52" x14ac:dyDescent="0.25">
      <c r="A66" s="18"/>
      <c r="B66" s="18"/>
      <c r="C66" s="18"/>
      <c r="D66" s="18"/>
      <c r="E66" s="18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  <c r="AZ66" s="120"/>
    </row>
    <row r="67" spans="1:52" x14ac:dyDescent="0.25">
      <c r="A67" s="18"/>
      <c r="B67" s="18"/>
      <c r="C67" s="18"/>
      <c r="D67" s="18"/>
      <c r="E67" s="18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</row>
    <row r="68" spans="1:52" x14ac:dyDescent="0.25">
      <c r="A68" s="18"/>
      <c r="B68" s="18"/>
      <c r="C68" s="18"/>
      <c r="D68" s="18"/>
      <c r="E68" s="18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</row>
    <row r="69" spans="1:52" x14ac:dyDescent="0.25">
      <c r="A69" s="18"/>
      <c r="B69" s="18"/>
      <c r="C69" s="18"/>
      <c r="D69" s="18"/>
      <c r="E69" s="18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  <c r="AZ69" s="120"/>
    </row>
    <row r="70" spans="1:52" x14ac:dyDescent="0.25">
      <c r="A70" s="18"/>
      <c r="B70" s="18"/>
      <c r="C70" s="18"/>
      <c r="D70" s="18"/>
      <c r="E70" s="18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</row>
    <row r="71" spans="1:52" hidden="1" x14ac:dyDescent="0.25">
      <c r="A71" s="120"/>
      <c r="B71" s="120"/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</row>
    <row r="72" spans="1:52" hidden="1" x14ac:dyDescent="0.25">
      <c r="A72" s="120"/>
      <c r="B72" s="120"/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0"/>
    </row>
    <row r="73" spans="1:52" hidden="1" x14ac:dyDescent="0.25">
      <c r="A73" s="120"/>
      <c r="B73" s="120"/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0"/>
    </row>
    <row r="74" spans="1:52" hidden="1" x14ac:dyDescent="0.25">
      <c r="A74" s="120"/>
      <c r="B74" s="12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  <c r="AZ74" s="120"/>
    </row>
    <row r="75" spans="1:52" hidden="1" x14ac:dyDescent="0.25">
      <c r="A75" s="120"/>
      <c r="B75" s="120"/>
      <c r="C75" s="120"/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  <c r="AZ75" s="120"/>
    </row>
    <row r="76" spans="1:52" hidden="1" x14ac:dyDescent="0.25">
      <c r="A76" s="120"/>
      <c r="B76" s="120"/>
      <c r="C76" s="120"/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  <c r="AZ76" s="120"/>
    </row>
    <row r="77" spans="1:52" hidden="1" x14ac:dyDescent="0.25">
      <c r="A77" s="120"/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0"/>
    </row>
    <row r="78" spans="1:52" hidden="1" x14ac:dyDescent="0.25">
      <c r="A78" s="120"/>
      <c r="B78" s="120"/>
      <c r="C78" s="120"/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0"/>
    </row>
    <row r="79" spans="1:52" hidden="1" x14ac:dyDescent="0.25">
      <c r="A79" s="120"/>
      <c r="B79" s="120"/>
      <c r="C79" s="120"/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0"/>
    </row>
    <row r="80" spans="1:52" hidden="1" x14ac:dyDescent="0.25">
      <c r="A80" s="120"/>
      <c r="B80" s="120"/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0"/>
    </row>
    <row r="81" spans="1:52" hidden="1" x14ac:dyDescent="0.25">
      <c r="A81" s="120"/>
      <c r="B81" s="120"/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0"/>
    </row>
    <row r="82" spans="1:52" hidden="1" x14ac:dyDescent="0.25">
      <c r="A82" s="120"/>
      <c r="B82" s="120"/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  <c r="AZ82" s="120"/>
    </row>
    <row r="83" spans="1:52" hidden="1" x14ac:dyDescent="0.25">
      <c r="A83" s="120"/>
      <c r="B83" s="120"/>
      <c r="C83" s="120"/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</row>
    <row r="84" spans="1:52" hidden="1" x14ac:dyDescent="0.25">
      <c r="A84" s="120"/>
      <c r="B84" s="120"/>
      <c r="C84" s="120"/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0"/>
    </row>
    <row r="85" spans="1:52" hidden="1" x14ac:dyDescent="0.25">
      <c r="A85" s="120"/>
      <c r="B85" s="120"/>
      <c r="C85" s="120"/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</row>
    <row r="86" spans="1:52" hidden="1" x14ac:dyDescent="0.25">
      <c r="A86" s="120"/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</row>
    <row r="87" spans="1:52" hidden="1" x14ac:dyDescent="0.25">
      <c r="A87" s="120"/>
      <c r="B87" s="120"/>
      <c r="C87" s="120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</row>
    <row r="88" spans="1:52" hidden="1" x14ac:dyDescent="0.25">
      <c r="A88" s="120"/>
      <c r="B88" s="120"/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</row>
    <row r="89" spans="1:52" hidden="1" x14ac:dyDescent="0.25">
      <c r="A89" s="120"/>
      <c r="B89" s="120"/>
      <c r="C89" s="120"/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  <c r="AZ89" s="120"/>
    </row>
    <row r="90" spans="1:52" hidden="1" x14ac:dyDescent="0.25">
      <c r="A90" s="120"/>
      <c r="B90" s="120"/>
      <c r="C90" s="120"/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/>
      <c r="R90" s="120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  <c r="AZ90" s="120"/>
    </row>
    <row r="91" spans="1:52" hidden="1" x14ac:dyDescent="0.25">
      <c r="A91" s="120"/>
      <c r="B91" s="120"/>
      <c r="C91" s="120"/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  <c r="AZ91" s="120"/>
    </row>
    <row r="92" spans="1:52" hidden="1" x14ac:dyDescent="0.25">
      <c r="A92" s="120"/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0"/>
    </row>
    <row r="93" spans="1:52" hidden="1" x14ac:dyDescent="0.25">
      <c r="A93" s="120"/>
      <c r="B93" s="120"/>
      <c r="C93" s="120"/>
      <c r="D93" s="120"/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0"/>
    </row>
    <row r="94" spans="1:52" hidden="1" x14ac:dyDescent="0.25">
      <c r="A94" s="120"/>
      <c r="B94" s="120"/>
      <c r="C94" s="120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0"/>
    </row>
    <row r="95" spans="1:52" hidden="1" x14ac:dyDescent="0.25">
      <c r="A95" s="120"/>
      <c r="B95" s="120"/>
      <c r="C95" s="120"/>
      <c r="D95" s="120"/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0"/>
    </row>
    <row r="96" spans="1:52" hidden="1" x14ac:dyDescent="0.25">
      <c r="A96" s="120"/>
      <c r="B96" s="120"/>
      <c r="C96" s="120"/>
      <c r="D96" s="120"/>
      <c r="E96" s="120"/>
      <c r="F96" s="120"/>
      <c r="G96" s="120"/>
      <c r="H96" s="120"/>
      <c r="I96" s="120"/>
      <c r="J96" s="120"/>
      <c r="K96" s="120"/>
      <c r="L96" s="120"/>
      <c r="M96" s="120"/>
      <c r="N96" s="120"/>
      <c r="O96" s="120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</row>
    <row r="97" spans="1:52" hidden="1" x14ac:dyDescent="0.25">
      <c r="A97" s="120"/>
      <c r="B97" s="120"/>
      <c r="C97" s="120"/>
      <c r="D97" s="120"/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0"/>
    </row>
    <row r="98" spans="1:52" hidden="1" x14ac:dyDescent="0.25">
      <c r="A98" s="120"/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0"/>
    </row>
    <row r="99" spans="1:52" hidden="1" x14ac:dyDescent="0.25">
      <c r="A99" s="120"/>
      <c r="B99" s="120"/>
      <c r="C99" s="120"/>
      <c r="D99" s="120"/>
      <c r="E99" s="120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</row>
    <row r="100" spans="1:52" hidden="1" x14ac:dyDescent="0.25">
      <c r="A100" s="120"/>
      <c r="B100" s="120"/>
      <c r="C100" s="120"/>
      <c r="D100" s="120"/>
      <c r="E100" s="120"/>
      <c r="F100" s="120"/>
      <c r="G100" s="120"/>
      <c r="H100" s="120"/>
      <c r="I100" s="120"/>
      <c r="J100" s="120"/>
      <c r="K100" s="120"/>
      <c r="L100" s="120"/>
      <c r="M100" s="120"/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0"/>
    </row>
    <row r="101" spans="1:52" hidden="1" x14ac:dyDescent="0.25">
      <c r="A101" s="120"/>
      <c r="B101" s="120"/>
      <c r="C101" s="120"/>
      <c r="D101" s="120"/>
      <c r="E101" s="120"/>
      <c r="F101" s="120"/>
      <c r="G101" s="120"/>
      <c r="H101" s="120"/>
      <c r="I101" s="120"/>
      <c r="J101" s="120"/>
      <c r="K101" s="120"/>
      <c r="L101" s="120"/>
      <c r="M101" s="120"/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0"/>
    </row>
    <row r="102" spans="1:52" hidden="1" x14ac:dyDescent="0.25">
      <c r="A102" s="120"/>
      <c r="B102" s="120"/>
      <c r="C102" s="120"/>
      <c r="D102" s="120"/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/>
      <c r="AZ102" s="120"/>
    </row>
    <row r="103" spans="1:52" hidden="1" x14ac:dyDescent="0.25">
      <c r="A103" s="120"/>
      <c r="B103" s="120"/>
      <c r="C103" s="120"/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</row>
    <row r="104" spans="1:52" hidden="1" x14ac:dyDescent="0.25">
      <c r="A104" s="120"/>
      <c r="B104" s="120"/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</row>
    <row r="105" spans="1:52" hidden="1" x14ac:dyDescent="0.25">
      <c r="A105" s="120"/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</row>
    <row r="106" spans="1:52" hidden="1" x14ac:dyDescent="0.25">
      <c r="A106" s="120"/>
      <c r="B106" s="120"/>
      <c r="C106" s="120"/>
      <c r="D106" s="120"/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</row>
    <row r="107" spans="1:52" hidden="1" x14ac:dyDescent="0.25">
      <c r="A107" s="120"/>
      <c r="B107" s="120"/>
      <c r="C107" s="120"/>
      <c r="D107" s="120"/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</row>
    <row r="108" spans="1:52" hidden="1" x14ac:dyDescent="0.25">
      <c r="A108" s="120"/>
      <c r="B108" s="120"/>
      <c r="C108" s="120"/>
      <c r="D108" s="120"/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</row>
    <row r="109" spans="1:52" hidden="1" x14ac:dyDescent="0.25">
      <c r="A109" s="120"/>
      <c r="B109" s="120"/>
      <c r="C109" s="120"/>
      <c r="D109" s="120"/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</row>
    <row r="110" spans="1:52" hidden="1" x14ac:dyDescent="0.25">
      <c r="A110" s="120"/>
      <c r="B110" s="120"/>
      <c r="C110" s="120"/>
      <c r="D110" s="120"/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</row>
    <row r="111" spans="1:52" hidden="1" x14ac:dyDescent="0.25">
      <c r="A111" s="120"/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</row>
    <row r="112" spans="1:52" hidden="1" x14ac:dyDescent="0.25">
      <c r="A112" s="120"/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</row>
    <row r="113" spans="1:52" hidden="1" x14ac:dyDescent="0.25">
      <c r="A113" s="120"/>
      <c r="B113" s="120"/>
      <c r="C113" s="120"/>
      <c r="D113" s="120"/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</row>
    <row r="114" spans="1:52" hidden="1" x14ac:dyDescent="0.25">
      <c r="A114" s="120"/>
      <c r="B114" s="120"/>
      <c r="C114" s="120"/>
      <c r="D114" s="120"/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</row>
    <row r="115" spans="1:52" hidden="1" x14ac:dyDescent="0.25">
      <c r="A115" s="120"/>
      <c r="B115" s="120"/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</row>
    <row r="116" spans="1:52" hidden="1" x14ac:dyDescent="0.25">
      <c r="A116" s="120"/>
      <c r="B116" s="120"/>
      <c r="C116" s="120"/>
      <c r="D116" s="120"/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</row>
    <row r="117" spans="1:52" hidden="1" x14ac:dyDescent="0.25">
      <c r="A117" s="120"/>
      <c r="B117" s="120"/>
      <c r="C117" s="120"/>
      <c r="D117" s="120"/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</row>
    <row r="118" spans="1:52" hidden="1" x14ac:dyDescent="0.25">
      <c r="A118" s="120"/>
      <c r="B118" s="120"/>
      <c r="C118" s="120"/>
      <c r="D118" s="120"/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</row>
    <row r="119" spans="1:52" hidden="1" x14ac:dyDescent="0.25">
      <c r="A119" s="120"/>
      <c r="B119" s="120"/>
      <c r="C119" s="120"/>
      <c r="D119" s="120"/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</row>
    <row r="120" spans="1:52" hidden="1" x14ac:dyDescent="0.25">
      <c r="A120" s="120"/>
      <c r="B120" s="120"/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</row>
    <row r="121" spans="1:52" hidden="1" x14ac:dyDescent="0.25">
      <c r="A121" s="120"/>
      <c r="B121" s="120"/>
      <c r="C121" s="120"/>
      <c r="D121" s="120"/>
      <c r="E121" s="120"/>
      <c r="F121" s="120"/>
      <c r="G121" s="120"/>
      <c r="H121" s="120"/>
      <c r="I121" s="120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</row>
    <row r="122" spans="1:52" hidden="1" x14ac:dyDescent="0.25">
      <c r="A122" s="120"/>
      <c r="B122" s="120"/>
      <c r="C122" s="120"/>
      <c r="D122" s="120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</row>
    <row r="123" spans="1:52" hidden="1" x14ac:dyDescent="0.25">
      <c r="A123" s="120"/>
      <c r="B123" s="120"/>
      <c r="C123" s="120"/>
      <c r="D123" s="120"/>
      <c r="E123" s="120"/>
      <c r="F123" s="120"/>
      <c r="G123" s="120"/>
      <c r="H123" s="120"/>
      <c r="I123" s="120"/>
      <c r="J123" s="120"/>
      <c r="K123" s="120"/>
      <c r="L123" s="120"/>
      <c r="M123" s="120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</row>
    <row r="124" spans="1:52" hidden="1" x14ac:dyDescent="0.25">
      <c r="A124" s="120"/>
      <c r="B124" s="120"/>
      <c r="C124" s="120"/>
      <c r="D124" s="120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</row>
    <row r="125" spans="1:52" hidden="1" x14ac:dyDescent="0.25">
      <c r="A125" s="120"/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0"/>
      <c r="AX125" s="120"/>
      <c r="AY125" s="120"/>
      <c r="AZ125" s="120"/>
    </row>
    <row r="126" spans="1:52" hidden="1" x14ac:dyDescent="0.25">
      <c r="A126" s="120"/>
      <c r="B126" s="120"/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0"/>
    </row>
    <row r="127" spans="1:52" hidden="1" x14ac:dyDescent="0.25">
      <c r="A127" s="120"/>
      <c r="B127" s="120"/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20"/>
      <c r="AS127" s="120"/>
      <c r="AT127" s="120"/>
      <c r="AU127" s="120"/>
      <c r="AV127" s="120"/>
      <c r="AW127" s="120"/>
      <c r="AX127" s="120"/>
      <c r="AY127" s="120"/>
      <c r="AZ127" s="120"/>
    </row>
    <row r="128" spans="1:52" hidden="1" x14ac:dyDescent="0.25">
      <c r="A128" s="120"/>
      <c r="B128" s="120"/>
      <c r="C128" s="120"/>
      <c r="D128" s="12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20"/>
      <c r="AS128" s="120"/>
      <c r="AT128" s="120"/>
      <c r="AU128" s="120"/>
      <c r="AV128" s="120"/>
      <c r="AW128" s="120"/>
      <c r="AX128" s="120"/>
      <c r="AY128" s="120"/>
      <c r="AZ128" s="120"/>
    </row>
    <row r="129" spans="1:52" hidden="1" x14ac:dyDescent="0.25">
      <c r="A129" s="120"/>
      <c r="B129" s="120"/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20"/>
      <c r="AM129" s="120"/>
      <c r="AN129" s="120"/>
      <c r="AO129" s="120"/>
      <c r="AP129" s="120"/>
      <c r="AQ129" s="120"/>
      <c r="AR129" s="120"/>
      <c r="AS129" s="120"/>
      <c r="AT129" s="120"/>
      <c r="AU129" s="120"/>
      <c r="AV129" s="120"/>
      <c r="AW129" s="120"/>
      <c r="AX129" s="120"/>
      <c r="AY129" s="120"/>
      <c r="AZ129" s="120"/>
    </row>
    <row r="130" spans="1:52" hidden="1" x14ac:dyDescent="0.25">
      <c r="A130" s="120"/>
      <c r="B130" s="120"/>
      <c r="C130" s="120"/>
      <c r="D130" s="120"/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20"/>
      <c r="AM130" s="120"/>
      <c r="AN130" s="120"/>
      <c r="AO130" s="120"/>
      <c r="AP130" s="120"/>
      <c r="AQ130" s="120"/>
      <c r="AR130" s="120"/>
      <c r="AS130" s="120"/>
      <c r="AT130" s="120"/>
      <c r="AU130" s="120"/>
      <c r="AV130" s="120"/>
      <c r="AW130" s="120"/>
      <c r="AX130" s="120"/>
      <c r="AY130" s="120"/>
      <c r="AZ130" s="120"/>
    </row>
    <row r="131" spans="1:52" hidden="1" x14ac:dyDescent="0.25">
      <c r="A131" s="120"/>
      <c r="B131" s="120"/>
      <c r="C131" s="120"/>
      <c r="D131" s="120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</row>
    <row r="132" spans="1:52" hidden="1" x14ac:dyDescent="0.25">
      <c r="A132" s="120"/>
      <c r="B132" s="120"/>
      <c r="C132" s="120"/>
      <c r="D132" s="120"/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  <c r="AX132" s="120"/>
      <c r="AY132" s="120"/>
      <c r="AZ132" s="120"/>
    </row>
    <row r="133" spans="1:52" hidden="1" x14ac:dyDescent="0.25">
      <c r="A133" s="120"/>
      <c r="B133" s="120"/>
      <c r="C133" s="120"/>
      <c r="D133" s="120"/>
      <c r="E133" s="120"/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20"/>
      <c r="AM133" s="120"/>
      <c r="AN133" s="120"/>
      <c r="AO133" s="120"/>
      <c r="AP133" s="120"/>
      <c r="AQ133" s="120"/>
      <c r="AR133" s="120"/>
      <c r="AS133" s="120"/>
      <c r="AT133" s="120"/>
      <c r="AU133" s="120"/>
      <c r="AV133" s="120"/>
      <c r="AW133" s="120"/>
      <c r="AX133" s="120"/>
      <c r="AY133" s="120"/>
      <c r="AZ133" s="120"/>
    </row>
    <row r="134" spans="1:52" hidden="1" x14ac:dyDescent="0.25">
      <c r="A134" s="120"/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20"/>
      <c r="AM134" s="120"/>
      <c r="AN134" s="120"/>
      <c r="AO134" s="120"/>
      <c r="AP134" s="120"/>
      <c r="AQ134" s="120"/>
      <c r="AR134" s="120"/>
      <c r="AS134" s="120"/>
      <c r="AT134" s="120"/>
      <c r="AU134" s="120"/>
      <c r="AV134" s="120"/>
      <c r="AW134" s="120"/>
      <c r="AX134" s="120"/>
      <c r="AY134" s="120"/>
      <c r="AZ134" s="120"/>
    </row>
    <row r="135" spans="1:52" hidden="1" x14ac:dyDescent="0.25">
      <c r="A135" s="120"/>
      <c r="B135" s="120"/>
      <c r="C135" s="120"/>
      <c r="D135" s="120"/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20"/>
      <c r="AM135" s="120"/>
      <c r="AN135" s="120"/>
      <c r="AO135" s="120"/>
      <c r="AP135" s="120"/>
      <c r="AQ135" s="120"/>
      <c r="AR135" s="120"/>
      <c r="AS135" s="120"/>
      <c r="AT135" s="120"/>
      <c r="AU135" s="120"/>
      <c r="AV135" s="120"/>
      <c r="AW135" s="120"/>
      <c r="AX135" s="120"/>
      <c r="AY135" s="120"/>
      <c r="AZ135" s="120"/>
    </row>
    <row r="136" spans="1:52" hidden="1" x14ac:dyDescent="0.25">
      <c r="A136" s="120"/>
      <c r="B136" s="120"/>
      <c r="C136" s="120"/>
      <c r="D136" s="120"/>
      <c r="E136" s="120"/>
      <c r="F136" s="120"/>
      <c r="G136" s="120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20"/>
      <c r="AM136" s="120"/>
      <c r="AN136" s="120"/>
      <c r="AO136" s="120"/>
      <c r="AP136" s="120"/>
      <c r="AQ136" s="120"/>
      <c r="AR136" s="120"/>
      <c r="AS136" s="120"/>
      <c r="AT136" s="120"/>
      <c r="AU136" s="120"/>
      <c r="AV136" s="120"/>
      <c r="AW136" s="120"/>
      <c r="AX136" s="120"/>
      <c r="AY136" s="120"/>
      <c r="AZ136" s="120"/>
    </row>
    <row r="137" spans="1:52" hidden="1" x14ac:dyDescent="0.25">
      <c r="A137" s="120"/>
      <c r="B137" s="120"/>
      <c r="C137" s="120"/>
      <c r="D137" s="120"/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20"/>
      <c r="AM137" s="120"/>
      <c r="AN137" s="120"/>
      <c r="AO137" s="120"/>
      <c r="AP137" s="120"/>
      <c r="AQ137" s="120"/>
      <c r="AR137" s="120"/>
      <c r="AS137" s="120"/>
      <c r="AT137" s="120"/>
      <c r="AU137" s="120"/>
      <c r="AV137" s="120"/>
      <c r="AW137" s="120"/>
      <c r="AX137" s="120"/>
      <c r="AY137" s="120"/>
      <c r="AZ137" s="120"/>
    </row>
    <row r="138" spans="1:52" hidden="1" x14ac:dyDescent="0.25">
      <c r="A138" s="120"/>
      <c r="B138" s="120"/>
      <c r="C138" s="120"/>
      <c r="D138" s="120"/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20"/>
      <c r="AM138" s="120"/>
      <c r="AN138" s="120"/>
      <c r="AO138" s="120"/>
      <c r="AP138" s="120"/>
      <c r="AQ138" s="120"/>
      <c r="AR138" s="120"/>
      <c r="AS138" s="120"/>
      <c r="AT138" s="120"/>
      <c r="AU138" s="120"/>
      <c r="AV138" s="120"/>
      <c r="AW138" s="120"/>
      <c r="AX138" s="120"/>
      <c r="AY138" s="120"/>
      <c r="AZ138" s="120"/>
    </row>
    <row r="139" spans="1:52" hidden="1" x14ac:dyDescent="0.25">
      <c r="A139" s="120"/>
      <c r="B139" s="120"/>
      <c r="C139" s="120"/>
      <c r="D139" s="120"/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20"/>
      <c r="AM139" s="120"/>
      <c r="AN139" s="120"/>
      <c r="AO139" s="120"/>
      <c r="AP139" s="120"/>
      <c r="AQ139" s="120"/>
      <c r="AR139" s="120"/>
      <c r="AS139" s="120"/>
      <c r="AT139" s="120"/>
      <c r="AU139" s="120"/>
      <c r="AV139" s="120"/>
      <c r="AW139" s="120"/>
      <c r="AX139" s="120"/>
      <c r="AY139" s="120"/>
      <c r="AZ139" s="120"/>
    </row>
    <row r="140" spans="1:52" hidden="1" x14ac:dyDescent="0.25">
      <c r="A140" s="120"/>
      <c r="B140" s="120"/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</row>
    <row r="141" spans="1:52" hidden="1" x14ac:dyDescent="0.25">
      <c r="A141" s="120"/>
      <c r="B141" s="120"/>
      <c r="C141" s="120"/>
      <c r="D141" s="120"/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0"/>
    </row>
    <row r="142" spans="1:52" hidden="1" x14ac:dyDescent="0.25">
      <c r="A142" s="120"/>
      <c r="B142" s="120"/>
      <c r="C142" s="120"/>
      <c r="D142" s="120"/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  <c r="AU142" s="120"/>
      <c r="AV142" s="120"/>
      <c r="AW142" s="120"/>
      <c r="AX142" s="120"/>
      <c r="AY142" s="120"/>
      <c r="AZ142" s="120"/>
    </row>
    <row r="143" spans="1:52" hidden="1" x14ac:dyDescent="0.25">
      <c r="A143" s="120"/>
      <c r="B143" s="120"/>
      <c r="C143" s="120"/>
      <c r="D143" s="120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  <c r="AU143" s="120"/>
      <c r="AV143" s="120"/>
      <c r="AW143" s="120"/>
      <c r="AX143" s="120"/>
      <c r="AY143" s="120"/>
      <c r="AZ143" s="120"/>
    </row>
    <row r="144" spans="1:52" hidden="1" x14ac:dyDescent="0.25">
      <c r="A144" s="120"/>
      <c r="B144" s="120"/>
      <c r="C144" s="120"/>
      <c r="D144" s="120"/>
      <c r="E144" s="120"/>
      <c r="F144" s="120"/>
      <c r="G144" s="120"/>
      <c r="H144" s="120"/>
      <c r="I144" s="120"/>
      <c r="J144" s="120"/>
      <c r="K144" s="120"/>
      <c r="L144" s="12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20"/>
      <c r="AM144" s="120"/>
      <c r="AN144" s="120"/>
      <c r="AO144" s="120"/>
      <c r="AP144" s="120"/>
      <c r="AQ144" s="120"/>
      <c r="AR144" s="120"/>
      <c r="AS144" s="120"/>
      <c r="AT144" s="120"/>
      <c r="AU144" s="120"/>
      <c r="AV144" s="120"/>
      <c r="AW144" s="120"/>
      <c r="AX144" s="120"/>
      <c r="AY144" s="120"/>
      <c r="AZ144" s="120"/>
    </row>
    <row r="145" spans="1:52" hidden="1" x14ac:dyDescent="0.25">
      <c r="A145" s="120"/>
      <c r="B145" s="120"/>
      <c r="C145" s="120"/>
      <c r="D145" s="120"/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20"/>
      <c r="AM145" s="120"/>
      <c r="AN145" s="120"/>
      <c r="AO145" s="120"/>
      <c r="AP145" s="120"/>
      <c r="AQ145" s="120"/>
      <c r="AR145" s="120"/>
      <c r="AS145" s="120"/>
      <c r="AT145" s="120"/>
      <c r="AU145" s="120"/>
      <c r="AV145" s="120"/>
      <c r="AW145" s="120"/>
      <c r="AX145" s="120"/>
      <c r="AY145" s="120"/>
      <c r="AZ145" s="120"/>
    </row>
    <row r="146" spans="1:52" hidden="1" x14ac:dyDescent="0.25">
      <c r="A146" s="120"/>
      <c r="B146" s="120"/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0"/>
      <c r="AX146" s="120"/>
      <c r="AY146" s="120"/>
      <c r="AZ146" s="120"/>
    </row>
    <row r="147" spans="1:52" hidden="1" x14ac:dyDescent="0.25">
      <c r="A147" s="120"/>
      <c r="B147" s="120"/>
      <c r="C147" s="120"/>
      <c r="D147" s="120"/>
      <c r="E147" s="120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</row>
    <row r="148" spans="1:52" hidden="1" x14ac:dyDescent="0.25">
      <c r="A148" s="120"/>
      <c r="B148" s="120"/>
      <c r="C148" s="120"/>
      <c r="D148" s="120"/>
      <c r="E148" s="120"/>
      <c r="F148" s="120"/>
      <c r="G148" s="120"/>
      <c r="H148" s="120"/>
      <c r="I148" s="120"/>
      <c r="J148" s="120"/>
      <c r="K148" s="120"/>
      <c r="L148" s="120"/>
      <c r="M148" s="120"/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0"/>
    </row>
    <row r="149" spans="1:52" hidden="1" x14ac:dyDescent="0.25">
      <c r="A149" s="120"/>
      <c r="B149" s="120"/>
      <c r="C149" s="120"/>
      <c r="D149" s="120"/>
      <c r="E149" s="120"/>
      <c r="F149" s="120"/>
      <c r="G149" s="120"/>
      <c r="H149" s="120"/>
      <c r="I149" s="120"/>
      <c r="J149" s="120"/>
      <c r="K149" s="120"/>
      <c r="L149" s="120"/>
      <c r="M149" s="120"/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0"/>
    </row>
    <row r="150" spans="1:52" hidden="1" x14ac:dyDescent="0.25">
      <c r="A150" s="120"/>
      <c r="B150" s="120"/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0"/>
    </row>
    <row r="151" spans="1:52" hidden="1" x14ac:dyDescent="0.25">
      <c r="A151" s="120"/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0"/>
    </row>
    <row r="152" spans="1:52" hidden="1" x14ac:dyDescent="0.25">
      <c r="A152" s="120"/>
      <c r="B152" s="120"/>
      <c r="C152" s="120"/>
      <c r="D152" s="120"/>
      <c r="E152" s="120"/>
      <c r="F152" s="120"/>
      <c r="G152" s="120"/>
      <c r="H152" s="120"/>
      <c r="I152" s="120"/>
      <c r="J152" s="120"/>
      <c r="K152" s="120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0"/>
      <c r="AX152" s="120"/>
      <c r="AY152" s="120"/>
      <c r="AZ152" s="120"/>
    </row>
    <row r="153" spans="1:52" hidden="1" x14ac:dyDescent="0.25">
      <c r="A153" s="120"/>
      <c r="B153" s="120"/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0"/>
    </row>
    <row r="154" spans="1:52" hidden="1" x14ac:dyDescent="0.25">
      <c r="A154" s="120"/>
      <c r="B154" s="120"/>
      <c r="C154" s="120"/>
      <c r="D154" s="120"/>
      <c r="E154" s="120"/>
      <c r="F154" s="120"/>
      <c r="G154" s="120"/>
      <c r="H154" s="120"/>
      <c r="I154" s="120"/>
      <c r="J154" s="120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0"/>
      <c r="AX154" s="120"/>
      <c r="AY154" s="120"/>
      <c r="AZ154" s="120"/>
    </row>
    <row r="155" spans="1:52" hidden="1" x14ac:dyDescent="0.25">
      <c r="A155" s="120"/>
      <c r="B155" s="120"/>
      <c r="C155" s="120"/>
      <c r="D155" s="120"/>
      <c r="E155" s="120"/>
      <c r="F155" s="120"/>
      <c r="G155" s="120"/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0"/>
    </row>
    <row r="156" spans="1:52" hidden="1" x14ac:dyDescent="0.25">
      <c r="A156" s="120"/>
      <c r="B156" s="120"/>
      <c r="C156" s="120"/>
      <c r="D156" s="120"/>
      <c r="E156" s="120"/>
      <c r="F156" s="120"/>
      <c r="G156" s="120"/>
      <c r="H156" s="120"/>
      <c r="I156" s="120"/>
      <c r="J156" s="120"/>
      <c r="K156" s="120"/>
      <c r="L156" s="120"/>
      <c r="M156" s="120"/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0"/>
    </row>
    <row r="157" spans="1:52" hidden="1" x14ac:dyDescent="0.25">
      <c r="A157" s="120"/>
      <c r="B157" s="120"/>
      <c r="C157" s="120"/>
      <c r="D157" s="120"/>
      <c r="E157" s="120"/>
      <c r="F157" s="120"/>
      <c r="G157" s="120"/>
      <c r="H157" s="120"/>
      <c r="I157" s="120"/>
      <c r="J157" s="120"/>
      <c r="K157" s="120"/>
      <c r="L157" s="120"/>
      <c r="M157" s="120"/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0"/>
    </row>
    <row r="158" spans="1:52" hidden="1" x14ac:dyDescent="0.25">
      <c r="A158" s="120"/>
      <c r="B158" s="120"/>
      <c r="C158" s="120"/>
      <c r="D158" s="120"/>
      <c r="E158" s="120"/>
      <c r="F158" s="120"/>
      <c r="G158" s="120"/>
      <c r="H158" s="120"/>
      <c r="I158" s="120"/>
      <c r="J158" s="120"/>
      <c r="K158" s="120"/>
      <c r="L158" s="120"/>
      <c r="M158" s="120"/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0"/>
    </row>
    <row r="159" spans="1:52" hidden="1" x14ac:dyDescent="0.25">
      <c r="A159" s="120"/>
      <c r="B159" s="120"/>
      <c r="C159" s="120"/>
      <c r="D159" s="120"/>
      <c r="E159" s="120"/>
      <c r="F159" s="120"/>
      <c r="G159" s="120"/>
      <c r="H159" s="120"/>
      <c r="I159" s="120"/>
      <c r="J159" s="120"/>
      <c r="K159" s="120"/>
      <c r="L159" s="120"/>
      <c r="M159" s="120"/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</row>
    <row r="160" spans="1:52" hidden="1" x14ac:dyDescent="0.25">
      <c r="A160" s="120"/>
      <c r="B160" s="120"/>
      <c r="C160" s="120"/>
      <c r="D160" s="120"/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120"/>
      <c r="Q160" s="120"/>
      <c r="R160" s="120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</row>
    <row r="161" spans="1:52" hidden="1" x14ac:dyDescent="0.25">
      <c r="A161" s="120"/>
      <c r="B161" s="120"/>
      <c r="C161" s="120"/>
      <c r="D161" s="120"/>
      <c r="E161" s="120"/>
      <c r="F161" s="120"/>
      <c r="G161" s="120"/>
      <c r="H161" s="120"/>
      <c r="I161" s="120"/>
      <c r="J161" s="120"/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20"/>
      <c r="AM161" s="120"/>
      <c r="AN161" s="120"/>
      <c r="AO161" s="120"/>
      <c r="AP161" s="120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0"/>
    </row>
    <row r="162" spans="1:52" hidden="1" x14ac:dyDescent="0.25">
      <c r="A162" s="120"/>
      <c r="B162" s="120"/>
      <c r="C162" s="120"/>
      <c r="D162" s="120"/>
      <c r="E162" s="120"/>
      <c r="F162" s="120"/>
      <c r="G162" s="120"/>
      <c r="H162" s="120"/>
      <c r="I162" s="120"/>
      <c r="J162" s="120"/>
      <c r="K162" s="120"/>
      <c r="L162" s="120"/>
      <c r="M162" s="120"/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0"/>
    </row>
    <row r="163" spans="1:52" hidden="1" x14ac:dyDescent="0.25">
      <c r="A163" s="120"/>
      <c r="B163" s="120"/>
      <c r="C163" s="120"/>
      <c r="D163" s="120"/>
      <c r="E163" s="120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</row>
    <row r="164" spans="1:52" hidden="1" x14ac:dyDescent="0.25">
      <c r="A164" s="120"/>
      <c r="B164" s="120"/>
      <c r="C164" s="120"/>
      <c r="D164" s="120"/>
      <c r="E164" s="120"/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0"/>
      <c r="AX164" s="120"/>
      <c r="AY164" s="120"/>
      <c r="AZ164" s="120"/>
    </row>
    <row r="165" spans="1:52" hidden="1" x14ac:dyDescent="0.25">
      <c r="A165" s="120"/>
      <c r="B165" s="120"/>
      <c r="C165" s="120"/>
      <c r="D165" s="120"/>
      <c r="E165" s="120"/>
      <c r="F165" s="120"/>
      <c r="G165" s="120"/>
      <c r="H165" s="120"/>
      <c r="I165" s="120"/>
      <c r="J165" s="120"/>
      <c r="K165" s="120"/>
      <c r="L165" s="120"/>
      <c r="M165" s="120"/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0"/>
      <c r="AX165" s="120"/>
      <c r="AY165" s="120"/>
      <c r="AZ165" s="120"/>
    </row>
    <row r="166" spans="1:52" hidden="1" x14ac:dyDescent="0.25">
      <c r="A166" s="120"/>
      <c r="B166" s="120"/>
      <c r="C166" s="120"/>
      <c r="D166" s="120"/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0"/>
    </row>
    <row r="167" spans="1:52" hidden="1" x14ac:dyDescent="0.25">
      <c r="A167" s="120"/>
      <c r="B167" s="120"/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</row>
    <row r="168" spans="1:52" hidden="1" x14ac:dyDescent="0.25">
      <c r="A168" s="120"/>
      <c r="B168" s="120"/>
      <c r="C168" s="120"/>
      <c r="D168" s="120"/>
      <c r="E168" s="120"/>
      <c r="F168" s="120"/>
      <c r="G168" s="120"/>
      <c r="H168" s="120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0"/>
    </row>
    <row r="169" spans="1:52" hidden="1" x14ac:dyDescent="0.25">
      <c r="A169" s="120"/>
      <c r="B169" s="120"/>
      <c r="C169" s="120"/>
      <c r="D169" s="120"/>
      <c r="E169" s="120"/>
      <c r="F169" s="120"/>
      <c r="G169" s="120"/>
      <c r="H169" s="120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0"/>
    </row>
    <row r="170" spans="1:52" hidden="1" x14ac:dyDescent="0.25">
      <c r="A170" s="120"/>
      <c r="B170" s="120"/>
      <c r="C170" s="120"/>
      <c r="D170" s="120"/>
      <c r="E170" s="120"/>
      <c r="F170" s="120"/>
      <c r="G170" s="120"/>
      <c r="H170" s="120"/>
      <c r="I170" s="120"/>
      <c r="J170" s="120"/>
      <c r="K170" s="120"/>
      <c r="L170" s="120"/>
      <c r="M170" s="120"/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/>
      <c r="AZ170" s="120"/>
    </row>
    <row r="171" spans="1:52" hidden="1" x14ac:dyDescent="0.25">
      <c r="A171" s="120"/>
      <c r="B171" s="120"/>
      <c r="C171" s="120"/>
      <c r="D171" s="120"/>
      <c r="E171" s="120"/>
      <c r="F171" s="120"/>
      <c r="G171" s="120"/>
      <c r="H171" s="120"/>
      <c r="I171" s="120"/>
      <c r="J171" s="120"/>
      <c r="K171" s="120"/>
      <c r="L171" s="120"/>
      <c r="M171" s="120"/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0"/>
      <c r="AX171" s="120"/>
      <c r="AY171" s="120"/>
      <c r="AZ171" s="120"/>
    </row>
    <row r="172" spans="1:52" hidden="1" x14ac:dyDescent="0.25">
      <c r="A172" s="120"/>
      <c r="B172" s="120"/>
      <c r="C172" s="120"/>
      <c r="D172" s="120"/>
      <c r="E172" s="120"/>
      <c r="F172" s="120"/>
      <c r="G172" s="120"/>
      <c r="H172" s="120"/>
      <c r="I172" s="120"/>
      <c r="J172" s="120"/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0"/>
      <c r="AX172" s="120"/>
      <c r="AY172" s="120"/>
      <c r="AZ172" s="120"/>
    </row>
    <row r="173" spans="1:52" hidden="1" x14ac:dyDescent="0.25">
      <c r="A173" s="120"/>
      <c r="B173" s="120"/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0"/>
      <c r="AX173" s="120"/>
      <c r="AY173" s="120"/>
      <c r="AZ173" s="120"/>
    </row>
    <row r="174" spans="1:52" hidden="1" x14ac:dyDescent="0.25">
      <c r="A174" s="120"/>
      <c r="B174" s="120"/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0"/>
      <c r="AX174" s="120"/>
      <c r="AY174" s="120"/>
      <c r="AZ174" s="120"/>
    </row>
    <row r="175" spans="1:52" hidden="1" x14ac:dyDescent="0.25">
      <c r="A175" s="120"/>
      <c r="B175" s="120"/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0"/>
      <c r="AX175" s="120"/>
      <c r="AY175" s="120"/>
      <c r="AZ175" s="120"/>
    </row>
    <row r="176" spans="1:52" hidden="1" x14ac:dyDescent="0.25">
      <c r="A176" s="120"/>
      <c r="B176" s="120"/>
      <c r="C176" s="120"/>
      <c r="D176" s="120"/>
      <c r="E176" s="120"/>
      <c r="F176" s="120"/>
      <c r="G176" s="120"/>
      <c r="H176" s="120"/>
      <c r="I176" s="120"/>
      <c r="J176" s="120"/>
      <c r="K176" s="120"/>
      <c r="L176" s="120"/>
      <c r="M176" s="120"/>
      <c r="N176" s="120"/>
      <c r="O176" s="120"/>
      <c r="P176" s="120"/>
      <c r="Q176" s="120"/>
      <c r="R176" s="120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  <c r="AU176" s="120"/>
      <c r="AV176" s="120"/>
      <c r="AW176" s="120"/>
      <c r="AX176" s="120"/>
      <c r="AY176" s="120"/>
      <c r="AZ176" s="120"/>
    </row>
    <row r="177" spans="1:52" hidden="1" x14ac:dyDescent="0.25">
      <c r="A177" s="120"/>
      <c r="B177" s="120"/>
      <c r="C177" s="120"/>
      <c r="D177" s="120"/>
      <c r="E177" s="120"/>
      <c r="F177" s="120"/>
      <c r="G177" s="120"/>
      <c r="H177" s="120"/>
      <c r="I177" s="120"/>
      <c r="J177" s="120"/>
      <c r="K177" s="120"/>
      <c r="L177" s="120"/>
      <c r="M177" s="120"/>
      <c r="N177" s="120"/>
      <c r="O177" s="120"/>
      <c r="P177" s="120"/>
      <c r="Q177" s="120"/>
      <c r="R177" s="120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  <c r="AU177" s="120"/>
      <c r="AV177" s="120"/>
      <c r="AW177" s="120"/>
      <c r="AX177" s="120"/>
      <c r="AY177" s="120"/>
      <c r="AZ177" s="120"/>
    </row>
    <row r="178" spans="1:52" hidden="1" x14ac:dyDescent="0.25">
      <c r="A178" s="120"/>
      <c r="B178" s="120"/>
      <c r="C178" s="120"/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  <c r="AU178" s="120"/>
      <c r="AV178" s="120"/>
      <c r="AW178" s="120"/>
      <c r="AX178" s="120"/>
      <c r="AY178" s="120"/>
      <c r="AZ178" s="120"/>
    </row>
    <row r="179" spans="1:52" hidden="1" x14ac:dyDescent="0.25">
      <c r="A179" s="120"/>
      <c r="B179" s="120"/>
      <c r="C179" s="120"/>
      <c r="D179" s="120"/>
      <c r="E179" s="120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</row>
    <row r="180" spans="1:52" hidden="1" x14ac:dyDescent="0.25">
      <c r="A180" s="120"/>
      <c r="B180" s="120"/>
      <c r="C180" s="120"/>
      <c r="D180" s="120"/>
      <c r="E180" s="120"/>
      <c r="F180" s="120"/>
      <c r="G180" s="120"/>
      <c r="H180" s="120"/>
      <c r="I180" s="120"/>
      <c r="J180" s="120"/>
      <c r="K180" s="120"/>
      <c r="L180" s="120"/>
      <c r="M180" s="120"/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  <c r="AU180" s="120"/>
      <c r="AV180" s="120"/>
      <c r="AW180" s="120"/>
      <c r="AX180" s="120"/>
      <c r="AY180" s="120"/>
      <c r="AZ180" s="120"/>
    </row>
    <row r="181" spans="1:52" hidden="1" x14ac:dyDescent="0.25">
      <c r="A181" s="120"/>
      <c r="B181" s="120"/>
      <c r="C181" s="120"/>
      <c r="D181" s="120"/>
      <c r="E181" s="120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  <c r="AU181" s="120"/>
      <c r="AV181" s="120"/>
      <c r="AW181" s="120"/>
      <c r="AX181" s="120"/>
      <c r="AY181" s="120"/>
      <c r="AZ181" s="120"/>
    </row>
    <row r="182" spans="1:52" hidden="1" x14ac:dyDescent="0.25">
      <c r="A182" s="120"/>
      <c r="B182" s="120"/>
      <c r="C182" s="120"/>
      <c r="D182" s="120"/>
      <c r="E182" s="120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  <c r="AU182" s="120"/>
      <c r="AV182" s="120"/>
      <c r="AW182" s="120"/>
      <c r="AX182" s="120"/>
      <c r="AY182" s="120"/>
      <c r="AZ182" s="120"/>
    </row>
    <row r="183" spans="1:52" hidden="1" x14ac:dyDescent="0.25">
      <c r="A183" s="120"/>
      <c r="B183" s="120"/>
      <c r="C183" s="120"/>
      <c r="D183" s="120"/>
      <c r="E183" s="120"/>
      <c r="F183" s="120"/>
      <c r="G183" s="120"/>
      <c r="H183" s="120"/>
      <c r="I183" s="120"/>
      <c r="J183" s="120"/>
      <c r="K183" s="120"/>
      <c r="L183" s="120"/>
      <c r="M183" s="120"/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  <c r="AU183" s="120"/>
      <c r="AV183" s="120"/>
      <c r="AW183" s="120"/>
      <c r="AX183" s="120"/>
      <c r="AY183" s="120"/>
      <c r="AZ183" s="120"/>
    </row>
    <row r="184" spans="1:52" hidden="1" x14ac:dyDescent="0.25">
      <c r="A184" s="120"/>
      <c r="B184" s="120"/>
      <c r="C184" s="120"/>
      <c r="D184" s="120"/>
      <c r="E184" s="120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  <c r="AU184" s="120"/>
      <c r="AV184" s="120"/>
      <c r="AW184" s="120"/>
      <c r="AX184" s="120"/>
      <c r="AY184" s="120"/>
      <c r="AZ184" s="120"/>
    </row>
    <row r="185" spans="1:52" hidden="1" x14ac:dyDescent="0.25">
      <c r="A185" s="120"/>
      <c r="B185" s="120"/>
      <c r="C185" s="120"/>
      <c r="D185" s="120"/>
      <c r="E185" s="120"/>
      <c r="F185" s="120"/>
      <c r="G185" s="120"/>
      <c r="H185" s="120"/>
      <c r="I185" s="120"/>
      <c r="J185" s="120"/>
      <c r="K185" s="120"/>
      <c r="L185" s="120"/>
      <c r="M185" s="120"/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  <c r="AU185" s="120"/>
      <c r="AV185" s="120"/>
      <c r="AW185" s="120"/>
      <c r="AX185" s="120"/>
      <c r="AY185" s="120"/>
      <c r="AZ185" s="120"/>
    </row>
    <row r="186" spans="1:52" hidden="1" x14ac:dyDescent="0.25">
      <c r="A186" s="120"/>
      <c r="B186" s="120"/>
      <c r="C186" s="120"/>
      <c r="D186" s="120"/>
      <c r="E186" s="120"/>
      <c r="F186" s="120"/>
      <c r="G186" s="120"/>
      <c r="H186" s="120"/>
      <c r="I186" s="120"/>
      <c r="J186" s="120"/>
      <c r="K186" s="120"/>
      <c r="L186" s="120"/>
      <c r="M186" s="120"/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  <c r="AU186" s="120"/>
      <c r="AV186" s="120"/>
      <c r="AW186" s="120"/>
      <c r="AX186" s="120"/>
      <c r="AY186" s="120"/>
      <c r="AZ186" s="120"/>
    </row>
    <row r="187" spans="1:52" hidden="1" x14ac:dyDescent="0.25">
      <c r="A187" s="120"/>
      <c r="B187" s="120"/>
      <c r="C187" s="120"/>
      <c r="D187" s="120"/>
      <c r="E187" s="120"/>
      <c r="F187" s="120"/>
      <c r="G187" s="120"/>
      <c r="H187" s="120"/>
      <c r="I187" s="120"/>
      <c r="J187" s="120"/>
      <c r="K187" s="120"/>
      <c r="L187" s="120"/>
      <c r="M187" s="120"/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  <c r="AU187" s="120"/>
      <c r="AV187" s="120"/>
      <c r="AW187" s="120"/>
      <c r="AX187" s="120"/>
      <c r="AY187" s="120"/>
      <c r="AZ187" s="120"/>
    </row>
    <row r="188" spans="1:52" hidden="1" x14ac:dyDescent="0.25">
      <c r="A188" s="120"/>
      <c r="B188" s="120"/>
      <c r="C188" s="120"/>
      <c r="D188" s="120"/>
      <c r="E188" s="120"/>
      <c r="F188" s="120"/>
      <c r="G188" s="120"/>
      <c r="H188" s="120"/>
      <c r="I188" s="120"/>
      <c r="J188" s="120"/>
      <c r="K188" s="120"/>
      <c r="L188" s="120"/>
      <c r="M188" s="120"/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  <c r="AU188" s="120"/>
      <c r="AV188" s="120"/>
      <c r="AW188" s="120"/>
      <c r="AX188" s="120"/>
      <c r="AY188" s="120"/>
      <c r="AZ188" s="120"/>
    </row>
    <row r="189" spans="1:52" hidden="1" x14ac:dyDescent="0.25">
      <c r="A189" s="120"/>
      <c r="B189" s="120"/>
      <c r="C189" s="120"/>
      <c r="D189" s="120"/>
      <c r="E189" s="120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  <c r="AU189" s="120"/>
      <c r="AV189" s="120"/>
      <c r="AW189" s="120"/>
      <c r="AX189" s="120"/>
      <c r="AY189" s="120"/>
      <c r="AZ189" s="120"/>
    </row>
    <row r="190" spans="1:52" hidden="1" x14ac:dyDescent="0.25">
      <c r="A190" s="120"/>
      <c r="B190" s="120"/>
      <c r="C190" s="120"/>
      <c r="D190" s="120"/>
      <c r="E190" s="120"/>
      <c r="F190" s="120"/>
      <c r="G190" s="120"/>
      <c r="H190" s="120"/>
      <c r="I190" s="120"/>
      <c r="J190" s="120"/>
      <c r="K190" s="120"/>
      <c r="L190" s="120"/>
      <c r="M190" s="120"/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  <c r="AU190" s="120"/>
      <c r="AV190" s="120"/>
      <c r="AW190" s="120"/>
      <c r="AX190" s="120"/>
      <c r="AY190" s="120"/>
      <c r="AZ190" s="120"/>
    </row>
    <row r="191" spans="1:52" hidden="1" x14ac:dyDescent="0.25">
      <c r="A191" s="120"/>
      <c r="B191" s="120"/>
      <c r="C191" s="120"/>
      <c r="D191" s="120"/>
      <c r="E191" s="120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  <c r="AU191" s="120"/>
      <c r="AV191" s="120"/>
      <c r="AW191" s="120"/>
      <c r="AX191" s="120"/>
      <c r="AY191" s="120"/>
      <c r="AZ191" s="120"/>
    </row>
    <row r="192" spans="1:52" hidden="1" x14ac:dyDescent="0.25">
      <c r="A192" s="120"/>
      <c r="B192" s="120"/>
      <c r="C192" s="120"/>
      <c r="D192" s="120"/>
      <c r="E192" s="120"/>
      <c r="F192" s="120"/>
      <c r="G192" s="120"/>
      <c r="H192" s="120"/>
      <c r="I192" s="120"/>
      <c r="J192" s="120"/>
      <c r="K192" s="120"/>
      <c r="L192" s="120"/>
      <c r="M192" s="120"/>
      <c r="N192" s="120"/>
      <c r="O192" s="120"/>
      <c r="P192" s="120"/>
      <c r="Q192" s="120"/>
      <c r="R192" s="120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  <c r="AU192" s="120"/>
      <c r="AV192" s="120"/>
      <c r="AW192" s="120"/>
      <c r="AX192" s="120"/>
      <c r="AY192" s="120"/>
      <c r="AZ192" s="120"/>
    </row>
    <row r="193" spans="1:52" hidden="1" x14ac:dyDescent="0.25">
      <c r="A193" s="120"/>
      <c r="B193" s="120"/>
      <c r="C193" s="120"/>
      <c r="D193" s="120"/>
      <c r="E193" s="120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120"/>
      <c r="Q193" s="120"/>
      <c r="R193" s="120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  <c r="AU193" s="120"/>
      <c r="AV193" s="120"/>
      <c r="AW193" s="120"/>
      <c r="AX193" s="120"/>
      <c r="AY193" s="120"/>
      <c r="AZ193" s="120"/>
    </row>
    <row r="194" spans="1:52" hidden="1" x14ac:dyDescent="0.25">
      <c r="A194" s="120"/>
      <c r="B194" s="120"/>
      <c r="C194" s="120"/>
      <c r="D194" s="120"/>
      <c r="E194" s="120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120"/>
      <c r="Q194" s="120"/>
      <c r="R194" s="120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0"/>
    </row>
    <row r="195" spans="1:52" hidden="1" x14ac:dyDescent="0.25">
      <c r="A195" s="120"/>
      <c r="B195" s="120"/>
      <c r="C195" s="120"/>
      <c r="D195" s="120"/>
      <c r="E195" s="120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</row>
    <row r="196" spans="1:52" hidden="1" x14ac:dyDescent="0.25">
      <c r="A196" s="120"/>
      <c r="B196" s="120"/>
      <c r="C196" s="120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120"/>
      <c r="Q196" s="120"/>
      <c r="R196" s="120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  <c r="AU196" s="120"/>
      <c r="AV196" s="120"/>
      <c r="AW196" s="120"/>
      <c r="AX196" s="120"/>
      <c r="AY196" s="120"/>
      <c r="AZ196" s="120"/>
    </row>
    <row r="197" spans="1:52" hidden="1" x14ac:dyDescent="0.25">
      <c r="A197" s="120"/>
      <c r="B197" s="120"/>
      <c r="C197" s="120"/>
      <c r="D197" s="120"/>
      <c r="E197" s="120"/>
      <c r="F197" s="120"/>
      <c r="G197" s="120"/>
      <c r="H197" s="120"/>
      <c r="I197" s="120"/>
      <c r="J197" s="120"/>
      <c r="K197" s="120"/>
      <c r="L197" s="120"/>
      <c r="M197" s="120"/>
      <c r="N197" s="120"/>
      <c r="O197" s="120"/>
      <c r="P197" s="120"/>
      <c r="Q197" s="120"/>
      <c r="R197" s="120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  <c r="AU197" s="120"/>
      <c r="AV197" s="120"/>
      <c r="AW197" s="120"/>
      <c r="AX197" s="120"/>
      <c r="AY197" s="120"/>
      <c r="AZ197" s="120"/>
    </row>
    <row r="198" spans="1:52" hidden="1" x14ac:dyDescent="0.25">
      <c r="A198" s="120"/>
      <c r="B198" s="120"/>
      <c r="C198" s="120"/>
      <c r="D198" s="120"/>
      <c r="E198" s="120"/>
      <c r="F198" s="120"/>
      <c r="G198" s="120"/>
      <c r="H198" s="120"/>
      <c r="I198" s="120"/>
      <c r="J198" s="120"/>
      <c r="K198" s="120"/>
      <c r="L198" s="120"/>
      <c r="M198" s="120"/>
      <c r="N198" s="120"/>
      <c r="O198" s="120"/>
      <c r="P198" s="120"/>
      <c r="Q198" s="120"/>
      <c r="R198" s="120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0"/>
    </row>
    <row r="199" spans="1:52" hidden="1" x14ac:dyDescent="0.25">
      <c r="A199" s="120"/>
      <c r="B199" s="120"/>
      <c r="C199" s="120"/>
      <c r="D199" s="120"/>
      <c r="E199" s="120"/>
      <c r="F199" s="120"/>
      <c r="G199" s="120"/>
      <c r="H199" s="120"/>
      <c r="I199" s="120"/>
      <c r="J199" s="120"/>
      <c r="K199" s="120"/>
      <c r="L199" s="120"/>
      <c r="M199" s="120"/>
      <c r="N199" s="120"/>
      <c r="O199" s="120"/>
      <c r="P199" s="120"/>
      <c r="Q199" s="120"/>
      <c r="R199" s="120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0"/>
    </row>
    <row r="200" spans="1:52" hidden="1" x14ac:dyDescent="0.25">
      <c r="A200" s="120"/>
      <c r="B200" s="120"/>
      <c r="C200" s="120"/>
      <c r="D200" s="120"/>
      <c r="E200" s="120"/>
      <c r="F200" s="120"/>
      <c r="G200" s="120"/>
      <c r="H200" s="120"/>
      <c r="I200" s="120"/>
      <c r="J200" s="120"/>
      <c r="K200" s="120"/>
      <c r="L200" s="120"/>
      <c r="M200" s="120"/>
      <c r="N200" s="120"/>
      <c r="O200" s="120"/>
      <c r="P200" s="120"/>
      <c r="Q200" s="120"/>
      <c r="R200" s="120"/>
      <c r="S200" s="120"/>
      <c r="T200" s="120"/>
      <c r="U200" s="120"/>
      <c r="V200" s="120"/>
      <c r="W200" s="120"/>
      <c r="X200" s="120"/>
      <c r="Y200" s="120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0"/>
    </row>
    <row r="201" spans="1:52" hidden="1" x14ac:dyDescent="0.25">
      <c r="A201" s="120"/>
      <c r="B201" s="120"/>
      <c r="C201" s="120"/>
      <c r="D201" s="120"/>
      <c r="E201" s="120"/>
      <c r="F201" s="120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0"/>
    </row>
    <row r="202" spans="1:52" hidden="1" x14ac:dyDescent="0.25">
      <c r="A202" s="120"/>
      <c r="B202" s="120"/>
      <c r="C202" s="120"/>
      <c r="D202" s="120"/>
      <c r="E202" s="120"/>
      <c r="F202" s="120"/>
      <c r="G202" s="120"/>
      <c r="H202" s="120"/>
      <c r="I202" s="120"/>
      <c r="J202" s="120"/>
      <c r="K202" s="120"/>
      <c r="L202" s="120"/>
      <c r="M202" s="120"/>
      <c r="N202" s="120"/>
      <c r="O202" s="120"/>
      <c r="P202" s="120"/>
      <c r="Q202" s="120"/>
      <c r="R202" s="120"/>
      <c r="S202" s="120"/>
      <c r="T202" s="120"/>
      <c r="U202" s="120"/>
      <c r="V202" s="120"/>
      <c r="W202" s="120"/>
      <c r="X202" s="120"/>
      <c r="Y202" s="120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0"/>
    </row>
    <row r="203" spans="1:52" hidden="1" x14ac:dyDescent="0.25">
      <c r="A203" s="120"/>
      <c r="B203" s="120"/>
      <c r="C203" s="120"/>
      <c r="D203" s="120"/>
      <c r="E203" s="120"/>
      <c r="F203" s="120"/>
      <c r="G203" s="120"/>
      <c r="H203" s="120"/>
      <c r="I203" s="120"/>
      <c r="J203" s="120"/>
      <c r="K203" s="120"/>
      <c r="L203" s="120"/>
      <c r="M203" s="120"/>
      <c r="N203" s="120"/>
      <c r="O203" s="120"/>
      <c r="P203" s="120"/>
      <c r="Q203" s="120"/>
      <c r="R203" s="120"/>
      <c r="S203" s="120"/>
      <c r="T203" s="120"/>
      <c r="U203" s="120"/>
      <c r="V203" s="120"/>
      <c r="W203" s="120"/>
      <c r="X203" s="120"/>
      <c r="Y203" s="120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  <c r="AK203" s="120"/>
      <c r="AL203" s="120"/>
      <c r="AM203" s="120"/>
      <c r="AN203" s="120"/>
      <c r="AO203" s="120"/>
      <c r="AP203" s="120"/>
      <c r="AQ203" s="120"/>
      <c r="AR203" s="120"/>
      <c r="AS203" s="120"/>
      <c r="AT203" s="120"/>
      <c r="AU203" s="120"/>
      <c r="AV203" s="120"/>
      <c r="AW203" s="120"/>
      <c r="AX203" s="120"/>
      <c r="AY203" s="120"/>
      <c r="AZ203" s="120"/>
    </row>
    <row r="204" spans="1:52" hidden="1" x14ac:dyDescent="0.25">
      <c r="A204" s="120"/>
      <c r="B204" s="120"/>
      <c r="C204" s="120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0"/>
      <c r="R204" s="120"/>
      <c r="S204" s="120"/>
      <c r="T204" s="120"/>
      <c r="U204" s="120"/>
      <c r="V204" s="120"/>
      <c r="W204" s="120"/>
      <c r="X204" s="120"/>
      <c r="Y204" s="120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0"/>
    </row>
    <row r="205" spans="1:52" hidden="1" x14ac:dyDescent="0.25">
      <c r="A205" s="120"/>
      <c r="B205" s="120"/>
      <c r="C205" s="120"/>
      <c r="D205" s="120"/>
      <c r="E205" s="120"/>
      <c r="F205" s="120"/>
      <c r="G205" s="120"/>
      <c r="H205" s="120"/>
      <c r="I205" s="120"/>
      <c r="J205" s="120"/>
      <c r="K205" s="120"/>
      <c r="L205" s="120"/>
      <c r="M205" s="120"/>
      <c r="N205" s="120"/>
      <c r="O205" s="120"/>
      <c r="P205" s="120"/>
      <c r="Q205" s="120"/>
      <c r="R205" s="120"/>
      <c r="S205" s="120"/>
      <c r="T205" s="120"/>
      <c r="U205" s="120"/>
      <c r="V205" s="120"/>
      <c r="W205" s="120"/>
      <c r="X205" s="120"/>
      <c r="Y205" s="120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0"/>
    </row>
    <row r="206" spans="1:52" hidden="1" x14ac:dyDescent="0.25">
      <c r="A206" s="120"/>
      <c r="B206" s="120"/>
      <c r="C206" s="120"/>
      <c r="D206" s="120"/>
      <c r="E206" s="120"/>
      <c r="F206" s="120"/>
      <c r="G206" s="120"/>
      <c r="H206" s="120"/>
      <c r="I206" s="120"/>
      <c r="J206" s="120"/>
      <c r="K206" s="120"/>
      <c r="L206" s="120"/>
      <c r="M206" s="120"/>
      <c r="N206" s="120"/>
      <c r="O206" s="120"/>
      <c r="P206" s="120"/>
      <c r="Q206" s="120"/>
      <c r="R206" s="120"/>
      <c r="S206" s="120"/>
      <c r="T206" s="120"/>
      <c r="U206" s="120"/>
      <c r="V206" s="120"/>
      <c r="W206" s="120"/>
      <c r="X206" s="120"/>
      <c r="Y206" s="120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0"/>
    </row>
    <row r="207" spans="1:52" hidden="1" x14ac:dyDescent="0.25">
      <c r="A207" s="120"/>
      <c r="B207" s="120"/>
      <c r="C207" s="120"/>
      <c r="D207" s="120"/>
      <c r="E207" s="120"/>
      <c r="F207" s="120"/>
      <c r="G207" s="120"/>
      <c r="H207" s="120"/>
      <c r="I207" s="120"/>
      <c r="J207" s="120"/>
      <c r="K207" s="120"/>
      <c r="L207" s="120"/>
      <c r="M207" s="120"/>
      <c r="N207" s="120"/>
      <c r="O207" s="120"/>
      <c r="P207" s="120"/>
      <c r="Q207" s="120"/>
      <c r="R207" s="120"/>
      <c r="S207" s="120"/>
      <c r="T207" s="120"/>
      <c r="U207" s="120"/>
      <c r="V207" s="120"/>
      <c r="W207" s="120"/>
      <c r="X207" s="120"/>
      <c r="Y207" s="120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0"/>
    </row>
    <row r="208" spans="1:52" hidden="1" x14ac:dyDescent="0.25">
      <c r="A208" s="120"/>
      <c r="B208" s="120"/>
      <c r="C208" s="120"/>
      <c r="D208" s="120"/>
      <c r="E208" s="120"/>
      <c r="F208" s="120"/>
      <c r="G208" s="120"/>
      <c r="H208" s="120"/>
      <c r="I208" s="120"/>
      <c r="J208" s="120"/>
      <c r="K208" s="120"/>
      <c r="L208" s="120"/>
      <c r="M208" s="120"/>
      <c r="N208" s="120"/>
      <c r="O208" s="120"/>
      <c r="P208" s="120"/>
      <c r="Q208" s="120"/>
      <c r="R208" s="120"/>
      <c r="S208" s="120"/>
      <c r="T208" s="120"/>
      <c r="U208" s="120"/>
      <c r="V208" s="120"/>
      <c r="W208" s="120"/>
      <c r="X208" s="120"/>
      <c r="Y208" s="120"/>
      <c r="Z208" s="120"/>
      <c r="AA208" s="120"/>
      <c r="AB208" s="120"/>
      <c r="AC208" s="120"/>
      <c r="AD208" s="120"/>
      <c r="AE208" s="120"/>
      <c r="AF208" s="120"/>
      <c r="AG208" s="120"/>
      <c r="AH208" s="120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0"/>
    </row>
    <row r="209" spans="1:52" hidden="1" x14ac:dyDescent="0.25">
      <c r="A209" s="120"/>
      <c r="B209" s="120"/>
      <c r="C209" s="120"/>
      <c r="D209" s="120"/>
      <c r="E209" s="120"/>
      <c r="F209" s="120"/>
      <c r="G209" s="120"/>
      <c r="H209" s="120"/>
      <c r="I209" s="120"/>
      <c r="J209" s="120"/>
      <c r="K209" s="120"/>
      <c r="L209" s="120"/>
      <c r="M209" s="120"/>
      <c r="N209" s="120"/>
      <c r="O209" s="120"/>
      <c r="P209" s="120"/>
      <c r="Q209" s="120"/>
      <c r="R209" s="120"/>
      <c r="S209" s="120"/>
      <c r="T209" s="120"/>
      <c r="U209" s="120"/>
      <c r="V209" s="120"/>
      <c r="W209" s="120"/>
      <c r="X209" s="120"/>
      <c r="Y209" s="120"/>
      <c r="Z209" s="120"/>
      <c r="AA209" s="120"/>
      <c r="AB209" s="120"/>
      <c r="AC209" s="120"/>
      <c r="AD209" s="120"/>
      <c r="AE209" s="120"/>
      <c r="AF209" s="120"/>
      <c r="AG209" s="120"/>
      <c r="AH209" s="120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0"/>
    </row>
    <row r="210" spans="1:52" hidden="1" x14ac:dyDescent="0.25">
      <c r="A210" s="120"/>
      <c r="B210" s="120"/>
      <c r="C210" s="120"/>
      <c r="D210" s="120"/>
      <c r="E210" s="120"/>
      <c r="F210" s="120"/>
      <c r="G210" s="120"/>
      <c r="H210" s="120"/>
      <c r="I210" s="120"/>
      <c r="J210" s="120"/>
      <c r="K210" s="120"/>
      <c r="L210" s="120"/>
      <c r="M210" s="120"/>
      <c r="N210" s="120"/>
      <c r="O210" s="120"/>
      <c r="P210" s="120"/>
      <c r="Q210" s="120"/>
      <c r="R210" s="120"/>
      <c r="S210" s="120"/>
      <c r="T210" s="120"/>
      <c r="U210" s="120"/>
      <c r="V210" s="120"/>
      <c r="W210" s="120"/>
      <c r="X210" s="120"/>
      <c r="Y210" s="120"/>
      <c r="Z210" s="120"/>
      <c r="AA210" s="120"/>
      <c r="AB210" s="120"/>
      <c r="AC210" s="120"/>
      <c r="AD210" s="120"/>
      <c r="AE210" s="120"/>
      <c r="AF210" s="120"/>
      <c r="AG210" s="120"/>
      <c r="AH210" s="120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0"/>
    </row>
    <row r="211" spans="1:52" hidden="1" x14ac:dyDescent="0.25">
      <c r="A211" s="120"/>
      <c r="B211" s="120"/>
      <c r="C211" s="120"/>
      <c r="D211" s="120"/>
      <c r="E211" s="120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120"/>
      <c r="Q211" s="120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</row>
    <row r="212" spans="1:52" hidden="1" x14ac:dyDescent="0.25">
      <c r="A212" s="120"/>
      <c r="B212" s="120"/>
      <c r="C212" s="120"/>
      <c r="D212" s="120"/>
      <c r="E212" s="120"/>
      <c r="F212" s="120"/>
      <c r="G212" s="120"/>
      <c r="H212" s="120"/>
      <c r="I212" s="120"/>
      <c r="J212" s="120"/>
      <c r="K212" s="120"/>
      <c r="L212" s="120"/>
      <c r="M212" s="120"/>
      <c r="N212" s="120"/>
      <c r="O212" s="120"/>
      <c r="P212" s="120"/>
      <c r="Q212" s="120"/>
      <c r="R212" s="120"/>
      <c r="S212" s="120"/>
      <c r="T212" s="120"/>
      <c r="U212" s="120"/>
      <c r="V212" s="120"/>
      <c r="W212" s="120"/>
      <c r="X212" s="120"/>
      <c r="Y212" s="120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0"/>
    </row>
    <row r="213" spans="1:52" hidden="1" x14ac:dyDescent="0.25">
      <c r="A213" s="120"/>
      <c r="B213" s="120"/>
      <c r="C213" s="120"/>
      <c r="D213" s="120"/>
      <c r="E213" s="120"/>
      <c r="F213" s="120"/>
      <c r="G213" s="120"/>
      <c r="H213" s="120"/>
      <c r="I213" s="120"/>
      <c r="J213" s="120"/>
      <c r="K213" s="120"/>
      <c r="L213" s="120"/>
      <c r="M213" s="120"/>
      <c r="N213" s="120"/>
      <c r="O213" s="120"/>
      <c r="P213" s="120"/>
      <c r="Q213" s="120"/>
      <c r="R213" s="120"/>
      <c r="S213" s="120"/>
      <c r="T213" s="120"/>
      <c r="U213" s="120"/>
      <c r="V213" s="120"/>
      <c r="W213" s="120"/>
      <c r="X213" s="120"/>
      <c r="Y213" s="120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0"/>
    </row>
    <row r="214" spans="1:52" hidden="1" x14ac:dyDescent="0.25">
      <c r="A214" s="120"/>
      <c r="B214" s="120"/>
      <c r="C214" s="120"/>
      <c r="D214" s="120"/>
      <c r="E214" s="120"/>
      <c r="F214" s="120"/>
      <c r="G214" s="120"/>
      <c r="H214" s="120"/>
      <c r="I214" s="120"/>
      <c r="J214" s="120"/>
      <c r="K214" s="120"/>
      <c r="L214" s="120"/>
      <c r="M214" s="120"/>
      <c r="N214" s="120"/>
      <c r="O214" s="120"/>
      <c r="P214" s="120"/>
      <c r="Q214" s="120"/>
      <c r="R214" s="120"/>
      <c r="S214" s="120"/>
      <c r="T214" s="120"/>
      <c r="U214" s="120"/>
      <c r="V214" s="120"/>
      <c r="W214" s="120"/>
      <c r="X214" s="120"/>
      <c r="Y214" s="120"/>
      <c r="Z214" s="120"/>
      <c r="AA214" s="120"/>
      <c r="AB214" s="120"/>
      <c r="AC214" s="120"/>
      <c r="AD214" s="120"/>
      <c r="AE214" s="120"/>
      <c r="AF214" s="120"/>
      <c r="AG214" s="120"/>
      <c r="AH214" s="120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120"/>
      <c r="AS214" s="120"/>
      <c r="AT214" s="120"/>
      <c r="AU214" s="120"/>
      <c r="AV214" s="120"/>
      <c r="AW214" s="120"/>
      <c r="AX214" s="120"/>
      <c r="AY214" s="120"/>
      <c r="AZ214" s="120"/>
    </row>
    <row r="215" spans="1:52" hidden="1" x14ac:dyDescent="0.25">
      <c r="A215" s="120"/>
      <c r="B215" s="120"/>
      <c r="C215" s="120"/>
      <c r="D215" s="120"/>
      <c r="E215" s="120"/>
      <c r="F215" s="120"/>
      <c r="G215" s="120"/>
      <c r="H215" s="120"/>
      <c r="I215" s="120"/>
      <c r="J215" s="120"/>
      <c r="K215" s="120"/>
      <c r="L215" s="120"/>
      <c r="M215" s="120"/>
      <c r="N215" s="120"/>
      <c r="O215" s="120"/>
      <c r="P215" s="120"/>
      <c r="Q215" s="120"/>
      <c r="R215" s="120"/>
      <c r="S215" s="120"/>
      <c r="T215" s="120"/>
      <c r="U215" s="120"/>
      <c r="V215" s="120"/>
      <c r="W215" s="120"/>
      <c r="X215" s="120"/>
      <c r="Y215" s="120"/>
      <c r="Z215" s="120"/>
      <c r="AA215" s="120"/>
      <c r="AB215" s="120"/>
      <c r="AC215" s="120"/>
      <c r="AD215" s="120"/>
      <c r="AE215" s="120"/>
      <c r="AF215" s="120"/>
      <c r="AG215" s="120"/>
      <c r="AH215" s="120"/>
      <c r="AI215" s="120"/>
      <c r="AJ215" s="120"/>
      <c r="AK215" s="120"/>
      <c r="AL215" s="120"/>
      <c r="AM215" s="120"/>
      <c r="AN215" s="120"/>
      <c r="AO215" s="120"/>
      <c r="AP215" s="120"/>
      <c r="AQ215" s="120"/>
      <c r="AR215" s="120"/>
      <c r="AS215" s="120"/>
      <c r="AT215" s="120"/>
      <c r="AU215" s="120"/>
      <c r="AV215" s="120"/>
      <c r="AW215" s="120"/>
      <c r="AX215" s="120"/>
      <c r="AY215" s="120"/>
      <c r="AZ215" s="120"/>
    </row>
    <row r="216" spans="1:52" hidden="1" x14ac:dyDescent="0.25">
      <c r="A216" s="120"/>
      <c r="B216" s="120"/>
      <c r="C216" s="120"/>
      <c r="D216" s="120"/>
      <c r="E216" s="120"/>
      <c r="F216" s="120"/>
      <c r="G216" s="120"/>
      <c r="H216" s="120"/>
      <c r="I216" s="120"/>
      <c r="J216" s="120"/>
      <c r="K216" s="120"/>
      <c r="L216" s="120"/>
      <c r="M216" s="120"/>
      <c r="N216" s="120"/>
      <c r="O216" s="120"/>
      <c r="P216" s="120"/>
      <c r="Q216" s="120"/>
      <c r="R216" s="120"/>
      <c r="S216" s="120"/>
      <c r="T216" s="120"/>
      <c r="U216" s="120"/>
      <c r="V216" s="120"/>
      <c r="W216" s="120"/>
      <c r="X216" s="120"/>
      <c r="Y216" s="120"/>
      <c r="Z216" s="120"/>
      <c r="AA216" s="120"/>
      <c r="AB216" s="120"/>
      <c r="AC216" s="120"/>
      <c r="AD216" s="120"/>
      <c r="AE216" s="120"/>
      <c r="AF216" s="120"/>
      <c r="AG216" s="120"/>
      <c r="AH216" s="120"/>
      <c r="AI216" s="120"/>
      <c r="AJ216" s="120"/>
      <c r="AK216" s="120"/>
      <c r="AL216" s="120"/>
      <c r="AM216" s="120"/>
      <c r="AN216" s="120"/>
      <c r="AO216" s="120"/>
      <c r="AP216" s="120"/>
      <c r="AQ216" s="120"/>
      <c r="AR216" s="120"/>
      <c r="AS216" s="120"/>
      <c r="AT216" s="120"/>
      <c r="AU216" s="120"/>
      <c r="AV216" s="120"/>
      <c r="AW216" s="120"/>
      <c r="AX216" s="120"/>
      <c r="AY216" s="120"/>
      <c r="AZ216" s="120"/>
    </row>
    <row r="217" spans="1:52" hidden="1" x14ac:dyDescent="0.25">
      <c r="A217" s="120"/>
      <c r="B217" s="120"/>
      <c r="C217" s="120"/>
      <c r="D217" s="120"/>
      <c r="E217" s="120"/>
      <c r="F217" s="120"/>
      <c r="G217" s="120"/>
      <c r="H217" s="120"/>
      <c r="I217" s="120"/>
      <c r="J217" s="120"/>
      <c r="K217" s="120"/>
      <c r="L217" s="120"/>
      <c r="M217" s="120"/>
      <c r="N217" s="120"/>
      <c r="O217" s="120"/>
      <c r="P217" s="120"/>
      <c r="Q217" s="120"/>
      <c r="R217" s="120"/>
      <c r="S217" s="120"/>
      <c r="T217" s="120"/>
      <c r="U217" s="120"/>
      <c r="V217" s="120"/>
      <c r="W217" s="120"/>
      <c r="X217" s="120"/>
      <c r="Y217" s="120"/>
      <c r="Z217" s="120"/>
      <c r="AA217" s="120"/>
      <c r="AB217" s="120"/>
      <c r="AC217" s="120"/>
      <c r="AD217" s="120"/>
      <c r="AE217" s="120"/>
      <c r="AF217" s="120"/>
      <c r="AG217" s="120"/>
      <c r="AH217" s="120"/>
      <c r="AI217" s="120"/>
      <c r="AJ217" s="120"/>
      <c r="AK217" s="120"/>
      <c r="AL217" s="120"/>
      <c r="AM217" s="120"/>
      <c r="AN217" s="120"/>
      <c r="AO217" s="120"/>
      <c r="AP217" s="120"/>
      <c r="AQ217" s="120"/>
      <c r="AR217" s="120"/>
      <c r="AS217" s="120"/>
      <c r="AT217" s="120"/>
      <c r="AU217" s="120"/>
      <c r="AV217" s="120"/>
      <c r="AW217" s="120"/>
      <c r="AX217" s="120"/>
      <c r="AY217" s="120"/>
      <c r="AZ217" s="120"/>
    </row>
    <row r="218" spans="1:52" hidden="1" x14ac:dyDescent="0.25">
      <c r="A218" s="120"/>
      <c r="B218" s="120"/>
      <c r="C218" s="120"/>
      <c r="D218" s="120"/>
      <c r="E218" s="120"/>
      <c r="F218" s="120"/>
      <c r="G218" s="120"/>
      <c r="H218" s="120"/>
      <c r="I218" s="120"/>
      <c r="J218" s="120"/>
      <c r="K218" s="120"/>
      <c r="L218" s="120"/>
      <c r="M218" s="120"/>
      <c r="N218" s="120"/>
      <c r="O218" s="120"/>
      <c r="P218" s="120"/>
      <c r="Q218" s="120"/>
      <c r="R218" s="120"/>
      <c r="S218" s="120"/>
      <c r="T218" s="120"/>
      <c r="U218" s="120"/>
      <c r="V218" s="120"/>
      <c r="W218" s="120"/>
      <c r="X218" s="120"/>
      <c r="Y218" s="120"/>
      <c r="Z218" s="120"/>
      <c r="AA218" s="120"/>
      <c r="AB218" s="120"/>
      <c r="AC218" s="120"/>
      <c r="AD218" s="120"/>
      <c r="AE218" s="120"/>
      <c r="AF218" s="120"/>
      <c r="AG218" s="120"/>
      <c r="AH218" s="120"/>
      <c r="AI218" s="120"/>
      <c r="AJ218" s="120"/>
      <c r="AK218" s="120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  <c r="AX218" s="120"/>
      <c r="AY218" s="120"/>
      <c r="AZ218" s="120"/>
    </row>
    <row r="219" spans="1:52" hidden="1" x14ac:dyDescent="0.25">
      <c r="A219" s="120"/>
      <c r="B219" s="120"/>
      <c r="C219" s="120"/>
      <c r="D219" s="120"/>
      <c r="E219" s="120"/>
      <c r="F219" s="120"/>
      <c r="G219" s="120"/>
      <c r="H219" s="120"/>
      <c r="I219" s="120"/>
      <c r="J219" s="120"/>
      <c r="K219" s="120"/>
      <c r="L219" s="120"/>
      <c r="M219" s="120"/>
      <c r="N219" s="120"/>
      <c r="O219" s="120"/>
      <c r="P219" s="120"/>
      <c r="Q219" s="120"/>
      <c r="R219" s="120"/>
      <c r="S219" s="120"/>
      <c r="T219" s="120"/>
      <c r="U219" s="120"/>
      <c r="V219" s="120"/>
      <c r="W219" s="120"/>
      <c r="X219" s="120"/>
      <c r="Y219" s="120"/>
      <c r="Z219" s="120"/>
      <c r="AA219" s="120"/>
      <c r="AB219" s="120"/>
      <c r="AC219" s="120"/>
      <c r="AD219" s="120"/>
      <c r="AE219" s="120"/>
      <c r="AF219" s="120"/>
      <c r="AG219" s="120"/>
      <c r="AH219" s="120"/>
      <c r="AI219" s="120"/>
      <c r="AJ219" s="120"/>
      <c r="AK219" s="120"/>
      <c r="AL219" s="120"/>
      <c r="AM219" s="120"/>
      <c r="AN219" s="120"/>
      <c r="AO219" s="120"/>
      <c r="AP219" s="120"/>
      <c r="AQ219" s="120"/>
      <c r="AR219" s="120"/>
      <c r="AS219" s="120"/>
      <c r="AT219" s="120"/>
      <c r="AU219" s="120"/>
      <c r="AV219" s="120"/>
      <c r="AW219" s="120"/>
      <c r="AX219" s="120"/>
      <c r="AY219" s="120"/>
      <c r="AZ219" s="120"/>
    </row>
    <row r="220" spans="1:52" hidden="1" x14ac:dyDescent="0.25">
      <c r="A220" s="120"/>
      <c r="B220" s="120"/>
      <c r="C220" s="120"/>
      <c r="D220" s="120"/>
      <c r="E220" s="120"/>
      <c r="F220" s="120"/>
      <c r="G220" s="120"/>
      <c r="H220" s="120"/>
      <c r="I220" s="120"/>
      <c r="J220" s="120"/>
      <c r="K220" s="120"/>
      <c r="L220" s="120"/>
      <c r="M220" s="120"/>
      <c r="N220" s="120"/>
      <c r="O220" s="120"/>
      <c r="P220" s="120"/>
      <c r="Q220" s="120"/>
      <c r="R220" s="120"/>
      <c r="S220" s="120"/>
      <c r="T220" s="120"/>
      <c r="U220" s="120"/>
      <c r="V220" s="120"/>
      <c r="W220" s="120"/>
      <c r="X220" s="120"/>
      <c r="Y220" s="120"/>
      <c r="Z220" s="120"/>
      <c r="AA220" s="120"/>
      <c r="AB220" s="120"/>
      <c r="AC220" s="120"/>
      <c r="AD220" s="120"/>
      <c r="AE220" s="120"/>
      <c r="AF220" s="120"/>
      <c r="AG220" s="120"/>
      <c r="AH220" s="120"/>
      <c r="AI220" s="120"/>
      <c r="AJ220" s="120"/>
      <c r="AK220" s="120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  <c r="AX220" s="120"/>
      <c r="AY220" s="120"/>
      <c r="AZ220" s="120"/>
    </row>
    <row r="221" spans="1:52" hidden="1" x14ac:dyDescent="0.25"/>
    <row r="222" spans="1:52" hidden="1" x14ac:dyDescent="0.25"/>
    <row r="223" spans="1:52" hidden="1" x14ac:dyDescent="0.25"/>
    <row r="224" spans="1:52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</sheetData>
  <mergeCells count="1">
    <mergeCell ref="B2:G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Despesas</vt:lpstr>
      <vt:lpstr>Controle</vt:lpstr>
      <vt:lpstr>Resumo e Rateio</vt:lpstr>
      <vt:lpstr>Config</vt:lpstr>
      <vt:lpstr>Import</vt:lpstr>
      <vt:lpstr>Fila</vt:lpstr>
      <vt:lpstr>Editar</vt:lpstr>
      <vt:lpstr>Cadastros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Usuário do Windows</cp:lastModifiedBy>
  <dcterms:created xsi:type="dcterms:W3CDTF">2026-09-07T18:47:14Z</dcterms:created>
  <dcterms:modified xsi:type="dcterms:W3CDTF">2026-09-09T17:14:35Z</dcterms:modified>
</cp:coreProperties>
</file>